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slicers/slicer4.xml" ContentType="application/vnd.ms-excel.slicer+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8.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9.xml" ContentType="application/vnd.openxmlformats-officedocument.spreadsheetml.pivotTable+xml"/>
  <Override PartName="/xl/drawings/drawing14.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0.xml" ContentType="application/vnd.openxmlformats-officedocument.spreadsheetml.pivotTable+xml"/>
  <Override PartName="/xl/drawings/drawing15.xml" ContentType="application/vnd.openxmlformats-officedocument.drawing+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p\Desktop\Heart\"/>
    </mc:Choice>
  </mc:AlternateContent>
  <xr:revisionPtr revIDLastSave="0" documentId="13_ncr:1_{D84E1EFD-1630-431A-BD55-07115F5E6A63}" xr6:coauthVersionLast="47" xr6:coauthVersionMax="47" xr10:uidLastSave="{00000000-0000-0000-0000-000000000000}"/>
  <bookViews>
    <workbookView xWindow="-120" yWindow="-120" windowWidth="20730" windowHeight="11160" firstSheet="8" activeTab="12" xr2:uid="{305A5990-41D0-4948-A114-F790EED4260A}"/>
  </bookViews>
  <sheets>
    <sheet name="heart_disease_data" sheetId="1" r:id="rId1"/>
    <sheet name="OC-1" sheetId="3" state="hidden" r:id="rId2"/>
    <sheet name="OC-2" sheetId="4" state="hidden" r:id="rId3"/>
    <sheet name="OC-3" sheetId="5" state="hidden" r:id="rId4"/>
    <sheet name="OC-4" sheetId="6" state="hidden" r:id="rId5"/>
    <sheet name="OC-5" sheetId="7" state="hidden" r:id="rId6"/>
    <sheet name="OC-6" sheetId="9" state="hidden" r:id="rId7"/>
    <sheet name="Okpi" sheetId="8" state="hidden" r:id="rId8"/>
    <sheet name="OverView" sheetId="2" r:id="rId9"/>
    <sheet name="Analysis" sheetId="10" r:id="rId10"/>
    <sheet name="Sheet1" sheetId="21" state="hidden" r:id="rId11"/>
    <sheet name="Key Insights" sheetId="22" r:id="rId12"/>
    <sheet name="Data Dictionary" sheetId="20" r:id="rId13"/>
    <sheet name="AC-1" sheetId="11" state="hidden" r:id="rId14"/>
    <sheet name="AC-2" sheetId="13" state="hidden" r:id="rId15"/>
    <sheet name="AC-3" sheetId="14" state="hidden" r:id="rId16"/>
    <sheet name="AC-4" sheetId="15" state="hidden" r:id="rId17"/>
    <sheet name="A-koi" sheetId="17" state="hidden" r:id="rId18"/>
  </sheets>
  <definedNames>
    <definedName name="Slicer_age1">#N/A</definedName>
    <definedName name="Slicer_Gender1">#N/A</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 i="8" l="1"/>
  <c r="M7" i="8"/>
  <c r="K11" i="8"/>
  <c r="K10" i="8"/>
  <c r="K8" i="8"/>
  <c r="K7" i="8"/>
  <c r="D12" i="8"/>
  <c r="D11" i="8"/>
  <c r="I12" i="8"/>
  <c r="I11" i="8"/>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C15" i="11"/>
  <c r="C16" i="11"/>
  <c r="U18" i="1"/>
  <c r="U22" i="1"/>
  <c r="U26" i="1"/>
  <c r="U30" i="1"/>
  <c r="U38" i="1"/>
  <c r="U46" i="1"/>
  <c r="U50" i="1"/>
  <c r="U62" i="1"/>
  <c r="U66" i="1"/>
  <c r="U74" i="1"/>
  <c r="U90" i="1"/>
  <c r="U94" i="1"/>
  <c r="U102" i="1"/>
  <c r="U106" i="1"/>
  <c r="U122" i="1"/>
  <c r="U138" i="1"/>
  <c r="U142" i="1"/>
  <c r="U146" i="1"/>
  <c r="U154" i="1"/>
  <c r="U163" i="1"/>
  <c r="U165" i="1"/>
  <c r="U167" i="1"/>
  <c r="U177" i="1"/>
  <c r="U181" i="1"/>
  <c r="U197" i="1"/>
  <c r="U205" i="1"/>
  <c r="U215" i="1"/>
  <c r="U217" i="1"/>
  <c r="U221" i="1"/>
  <c r="U223" i="1"/>
  <c r="U225" i="1"/>
  <c r="U227" i="1"/>
  <c r="U229" i="1"/>
  <c r="U231" i="1"/>
  <c r="U239" i="1"/>
  <c r="U241" i="1"/>
  <c r="U243" i="1"/>
  <c r="U245" i="1"/>
  <c r="U247" i="1"/>
  <c r="U249" i="1"/>
  <c r="U251" i="1"/>
  <c r="U253" i="1"/>
  <c r="U255" i="1"/>
  <c r="U257" i="1"/>
  <c r="U259" i="1"/>
  <c r="U263" i="1"/>
  <c r="U265" i="1"/>
  <c r="U267" i="1"/>
  <c r="U271" i="1"/>
  <c r="U275" i="1"/>
  <c r="U279" i="1"/>
  <c r="U283" i="1"/>
  <c r="U285" i="1"/>
  <c r="U287" i="1"/>
  <c r="U291" i="1"/>
  <c r="U293" i="1"/>
  <c r="U295" i="1"/>
  <c r="U297" i="1"/>
  <c r="U299" i="1"/>
  <c r="U301" i="1"/>
  <c r="U303" i="1"/>
  <c r="T49" i="1"/>
  <c r="U49" i="1" s="1"/>
  <c r="T81" i="1"/>
  <c r="U81" i="1" s="1"/>
  <c r="T97" i="1"/>
  <c r="U97" i="1" s="1"/>
  <c r="T121" i="1"/>
  <c r="U121" i="1" s="1"/>
  <c r="T145" i="1"/>
  <c r="U145" i="1" s="1"/>
  <c r="T175" i="1"/>
  <c r="U175" i="1" s="1"/>
  <c r="T183" i="1"/>
  <c r="U183" i="1" s="1"/>
  <c r="T191" i="1"/>
  <c r="U191" i="1" s="1"/>
  <c r="T235" i="1"/>
  <c r="U235" i="1" s="1"/>
  <c r="T260" i="1"/>
  <c r="U260" i="1" s="1"/>
  <c r="T264" i="1"/>
  <c r="U264" i="1" s="1"/>
  <c r="T268" i="1"/>
  <c r="U268" i="1" s="1"/>
  <c r="T278" i="1"/>
  <c r="U278" i="1" s="1"/>
  <c r="T288" i="1"/>
  <c r="U288" i="1" s="1"/>
  <c r="T298" i="1"/>
  <c r="U298" i="1" s="1"/>
  <c r="R134" i="1"/>
  <c r="S134" i="1" s="1"/>
  <c r="T134" i="1" s="1"/>
  <c r="U134" i="1" s="1"/>
  <c r="R298" i="1"/>
  <c r="S298" i="1" s="1"/>
  <c r="R251" i="1"/>
  <c r="S251" i="1" s="1"/>
  <c r="T251" i="1" s="1"/>
  <c r="R275" i="1"/>
  <c r="S275" i="1" s="1"/>
  <c r="T275" i="1" s="1"/>
  <c r="R211" i="1"/>
  <c r="S211" i="1" s="1"/>
  <c r="T211" i="1" s="1"/>
  <c r="U211" i="1" s="1"/>
  <c r="R129" i="1"/>
  <c r="S129" i="1" s="1"/>
  <c r="T129" i="1" s="1"/>
  <c r="U129" i="1" s="1"/>
  <c r="R153" i="1"/>
  <c r="S153" i="1" s="1"/>
  <c r="T153" i="1" s="1"/>
  <c r="U153" i="1" s="1"/>
  <c r="R258" i="1"/>
  <c r="S258" i="1" s="1"/>
  <c r="T258" i="1" s="1"/>
  <c r="U258" i="1" s="1"/>
  <c r="R200" i="1"/>
  <c r="S200" i="1" s="1"/>
  <c r="T200" i="1" s="1"/>
  <c r="U200" i="1" s="1"/>
  <c r="R266" i="1"/>
  <c r="S266" i="1" s="1"/>
  <c r="T266" i="1" s="1"/>
  <c r="U266" i="1" s="1"/>
  <c r="R186" i="1"/>
  <c r="S186" i="1" s="1"/>
  <c r="T186" i="1" s="1"/>
  <c r="U186" i="1" s="1"/>
  <c r="R85" i="1"/>
  <c r="S85" i="1" s="1"/>
  <c r="T85" i="1" s="1"/>
  <c r="U85" i="1" s="1"/>
  <c r="R247" i="1"/>
  <c r="S247" i="1" s="1"/>
  <c r="T247" i="1" s="1"/>
  <c r="R109" i="1"/>
  <c r="S109" i="1" s="1"/>
  <c r="T109" i="1" s="1"/>
  <c r="U109" i="1" s="1"/>
  <c r="R201" i="1"/>
  <c r="S201" i="1" s="1"/>
  <c r="T201" i="1" s="1"/>
  <c r="U201" i="1" s="1"/>
  <c r="R176" i="1"/>
  <c r="S176" i="1" s="1"/>
  <c r="T176" i="1" s="1"/>
  <c r="U176" i="1" s="1"/>
  <c r="R252" i="1"/>
  <c r="S252" i="1" s="1"/>
  <c r="T252" i="1" s="1"/>
  <c r="U252" i="1" s="1"/>
  <c r="R26" i="1"/>
  <c r="S26" i="1" s="1"/>
  <c r="T26" i="1" s="1"/>
  <c r="R248" i="1"/>
  <c r="S248" i="1" s="1"/>
  <c r="T248" i="1" s="1"/>
  <c r="U248" i="1" s="1"/>
  <c r="R141" i="1"/>
  <c r="S141" i="1" s="1"/>
  <c r="T141" i="1" s="1"/>
  <c r="U141" i="1" s="1"/>
  <c r="R195" i="1"/>
  <c r="S195" i="1" s="1"/>
  <c r="T195" i="1" s="1"/>
  <c r="U195" i="1" s="1"/>
  <c r="R280" i="1"/>
  <c r="S280" i="1" s="1"/>
  <c r="T280" i="1" s="1"/>
  <c r="U280" i="1" s="1"/>
  <c r="R276" i="1"/>
  <c r="S276" i="1" s="1"/>
  <c r="T276" i="1" s="1"/>
  <c r="U276" i="1" s="1"/>
  <c r="R81" i="1"/>
  <c r="S81" i="1" s="1"/>
  <c r="R277" i="1"/>
  <c r="S277" i="1" s="1"/>
  <c r="T277" i="1" s="1"/>
  <c r="U277" i="1" s="1"/>
  <c r="R202" i="1"/>
  <c r="S202" i="1" s="1"/>
  <c r="T202" i="1" s="1"/>
  <c r="U202" i="1" s="1"/>
  <c r="R171" i="1"/>
  <c r="S171" i="1" s="1"/>
  <c r="T171" i="1" s="1"/>
  <c r="U171" i="1" s="1"/>
  <c r="R44" i="1"/>
  <c r="S44" i="1" s="1"/>
  <c r="T44" i="1" s="1"/>
  <c r="U44" i="1" s="1"/>
  <c r="R172" i="1"/>
  <c r="S172" i="1" s="1"/>
  <c r="T172" i="1" s="1"/>
  <c r="U172" i="1" s="1"/>
  <c r="R145" i="1"/>
  <c r="S145" i="1" s="1"/>
  <c r="R231" i="1"/>
  <c r="S231" i="1" s="1"/>
  <c r="T231" i="1" s="1"/>
  <c r="R87" i="1"/>
  <c r="S87" i="1" s="1"/>
  <c r="T87" i="1" s="1"/>
  <c r="U87" i="1" s="1"/>
  <c r="R299" i="1"/>
  <c r="S299" i="1" s="1"/>
  <c r="T299" i="1" s="1"/>
  <c r="R146" i="1"/>
  <c r="S146" i="1" s="1"/>
  <c r="T146" i="1" s="1"/>
  <c r="R47" i="1"/>
  <c r="S47" i="1" s="1"/>
  <c r="T47" i="1" s="1"/>
  <c r="U47" i="1" s="1"/>
  <c r="R187" i="1"/>
  <c r="S187" i="1" s="1"/>
  <c r="T187" i="1" s="1"/>
  <c r="U187" i="1" s="1"/>
  <c r="R242" i="1"/>
  <c r="S242" i="1" s="1"/>
  <c r="T242" i="1" s="1"/>
  <c r="U242" i="1" s="1"/>
  <c r="R222" i="1"/>
  <c r="S222" i="1" s="1"/>
  <c r="T222" i="1" s="1"/>
  <c r="U222" i="1" s="1"/>
  <c r="R130" i="1"/>
  <c r="S130" i="1" s="1"/>
  <c r="T130" i="1" s="1"/>
  <c r="U130" i="1" s="1"/>
  <c r="R142" i="1"/>
  <c r="S142" i="1" s="1"/>
  <c r="T142" i="1" s="1"/>
  <c r="R96" i="1"/>
  <c r="S96" i="1" s="1"/>
  <c r="T96" i="1" s="1"/>
  <c r="U96" i="1" s="1"/>
  <c r="R285" i="1"/>
  <c r="S285" i="1" s="1"/>
  <c r="T285" i="1" s="1"/>
  <c r="R131" i="1"/>
  <c r="S131" i="1" s="1"/>
  <c r="T131" i="1" s="1"/>
  <c r="U131" i="1" s="1"/>
  <c r="R102" i="1"/>
  <c r="S102" i="1" s="1"/>
  <c r="T102" i="1" s="1"/>
  <c r="R289" i="1"/>
  <c r="S289" i="1" s="1"/>
  <c r="T289" i="1" s="1"/>
  <c r="U289" i="1" s="1"/>
  <c r="R253" i="1"/>
  <c r="S253" i="1" s="1"/>
  <c r="T253" i="1" s="1"/>
  <c r="R286" i="1"/>
  <c r="S286" i="1" s="1"/>
  <c r="T286" i="1" s="1"/>
  <c r="U286" i="1" s="1"/>
  <c r="R165" i="1"/>
  <c r="S165" i="1" s="1"/>
  <c r="T165" i="1" s="1"/>
  <c r="R29" i="1"/>
  <c r="S29" i="1" s="1"/>
  <c r="T29" i="1" s="1"/>
  <c r="U29" i="1" s="1"/>
  <c r="R188" i="1"/>
  <c r="S188" i="1" s="1"/>
  <c r="T188" i="1" s="1"/>
  <c r="U188" i="1" s="1"/>
  <c r="R132" i="1"/>
  <c r="S132" i="1" s="1"/>
  <c r="T132" i="1" s="1"/>
  <c r="U132" i="1" s="1"/>
  <c r="R143" i="1"/>
  <c r="S143" i="1" s="1"/>
  <c r="T143" i="1" s="1"/>
  <c r="U143" i="1" s="1"/>
  <c r="R120" i="1"/>
  <c r="S120" i="1" s="1"/>
  <c r="T120" i="1" s="1"/>
  <c r="U120" i="1" s="1"/>
  <c r="R271" i="1"/>
  <c r="S271" i="1" s="1"/>
  <c r="T271" i="1" s="1"/>
  <c r="R254" i="1"/>
  <c r="S254" i="1" s="1"/>
  <c r="T254" i="1" s="1"/>
  <c r="U254" i="1" s="1"/>
  <c r="R177" i="1"/>
  <c r="S177" i="1" s="1"/>
  <c r="T177" i="1" s="1"/>
  <c r="R296" i="1"/>
  <c r="S296" i="1" s="1"/>
  <c r="T296" i="1" s="1"/>
  <c r="U296" i="1" s="1"/>
  <c r="R295" i="1"/>
  <c r="S295" i="1" s="1"/>
  <c r="T295" i="1" s="1"/>
  <c r="R267" i="1"/>
  <c r="S267" i="1" s="1"/>
  <c r="T267" i="1" s="1"/>
  <c r="R182" i="1"/>
  <c r="S182" i="1" s="1"/>
  <c r="T182" i="1" s="1"/>
  <c r="U182" i="1" s="1"/>
  <c r="R61" i="1"/>
  <c r="S61" i="1" s="1"/>
  <c r="T61" i="1" s="1"/>
  <c r="U61" i="1" s="1"/>
  <c r="R166" i="1"/>
  <c r="S166" i="1" s="1"/>
  <c r="T166" i="1" s="1"/>
  <c r="U166" i="1" s="1"/>
  <c r="R300" i="1"/>
  <c r="S300" i="1" s="1"/>
  <c r="T300" i="1" s="1"/>
  <c r="U300" i="1" s="1"/>
  <c r="R69" i="1"/>
  <c r="S69" i="1" s="1"/>
  <c r="T69" i="1" s="1"/>
  <c r="U69" i="1" s="1"/>
  <c r="R223" i="1"/>
  <c r="S223" i="1" s="1"/>
  <c r="T223" i="1" s="1"/>
  <c r="R290" i="1"/>
  <c r="S290" i="1" s="1"/>
  <c r="T290" i="1" s="1"/>
  <c r="U290" i="1" s="1"/>
  <c r="R103" i="1"/>
  <c r="S103" i="1" s="1"/>
  <c r="T103" i="1" s="1"/>
  <c r="U103" i="1" s="1"/>
  <c r="R272" i="1"/>
  <c r="S272" i="1" s="1"/>
  <c r="T272" i="1" s="1"/>
  <c r="U272" i="1" s="1"/>
  <c r="R243" i="1"/>
  <c r="S243" i="1" s="1"/>
  <c r="T243" i="1" s="1"/>
  <c r="R212" i="1"/>
  <c r="S212" i="1" s="1"/>
  <c r="T212" i="1" s="1"/>
  <c r="U212" i="1" s="1"/>
  <c r="R124" i="1"/>
  <c r="S124" i="1" s="1"/>
  <c r="T124" i="1" s="1"/>
  <c r="U124" i="1" s="1"/>
  <c r="R156" i="1"/>
  <c r="S156" i="1" s="1"/>
  <c r="T156" i="1" s="1"/>
  <c r="U156" i="1" s="1"/>
  <c r="R304" i="1"/>
  <c r="S304" i="1" s="1"/>
  <c r="T304" i="1" s="1"/>
  <c r="U304" i="1" s="1"/>
  <c r="R297" i="1"/>
  <c r="S297" i="1" s="1"/>
  <c r="T297" i="1" s="1"/>
  <c r="R224" i="1"/>
  <c r="S224" i="1" s="1"/>
  <c r="T224" i="1" s="1"/>
  <c r="U224" i="1" s="1"/>
  <c r="R196" i="1"/>
  <c r="S196" i="1" s="1"/>
  <c r="T196" i="1" s="1"/>
  <c r="U196" i="1" s="1"/>
  <c r="R227" i="1"/>
  <c r="S227" i="1" s="1"/>
  <c r="T227" i="1" s="1"/>
  <c r="R220" i="1"/>
  <c r="S220" i="1" s="1"/>
  <c r="T220" i="1" s="1"/>
  <c r="U220" i="1" s="1"/>
  <c r="R294" i="1"/>
  <c r="S294" i="1" s="1"/>
  <c r="T294" i="1" s="1"/>
  <c r="U294" i="1" s="1"/>
  <c r="R157" i="1"/>
  <c r="S157" i="1" s="1"/>
  <c r="T157" i="1" s="1"/>
  <c r="U157" i="1" s="1"/>
  <c r="R281" i="1"/>
  <c r="S281" i="1" s="1"/>
  <c r="T281" i="1" s="1"/>
  <c r="U281" i="1" s="1"/>
  <c r="R244" i="1"/>
  <c r="S244" i="1" s="1"/>
  <c r="T244" i="1" s="1"/>
  <c r="U244" i="1" s="1"/>
  <c r="R189" i="1"/>
  <c r="S189" i="1" s="1"/>
  <c r="T189" i="1" s="1"/>
  <c r="U189" i="1" s="1"/>
  <c r="R278" i="1"/>
  <c r="S278" i="1" s="1"/>
  <c r="R40" i="1"/>
  <c r="S40" i="1" s="1"/>
  <c r="T40" i="1" s="1"/>
  <c r="U40" i="1" s="1"/>
  <c r="R190" i="1"/>
  <c r="S190" i="1" s="1"/>
  <c r="T190" i="1" s="1"/>
  <c r="U190" i="1" s="1"/>
  <c r="R144" i="1"/>
  <c r="S144" i="1" s="1"/>
  <c r="T144" i="1" s="1"/>
  <c r="U144" i="1" s="1"/>
  <c r="R167" i="1"/>
  <c r="S167" i="1" s="1"/>
  <c r="T167" i="1" s="1"/>
  <c r="R178" i="1"/>
  <c r="S178" i="1" s="1"/>
  <c r="T178" i="1" s="1"/>
  <c r="U178" i="1" s="1"/>
  <c r="R41" i="1"/>
  <c r="S41" i="1" s="1"/>
  <c r="T41" i="1" s="1"/>
  <c r="U41" i="1" s="1"/>
  <c r="R273" i="1"/>
  <c r="S273" i="1" s="1"/>
  <c r="T273" i="1" s="1"/>
  <c r="U273" i="1" s="1"/>
  <c r="R232" i="1"/>
  <c r="S232" i="1" s="1"/>
  <c r="T232" i="1" s="1"/>
  <c r="U232" i="1" s="1"/>
  <c r="R236" i="1"/>
  <c r="S236" i="1" s="1"/>
  <c r="T236" i="1" s="1"/>
  <c r="U236" i="1" s="1"/>
  <c r="R183" i="1"/>
  <c r="S183" i="1" s="1"/>
  <c r="R82" i="1"/>
  <c r="S82" i="1" s="1"/>
  <c r="T82" i="1" s="1"/>
  <c r="U82" i="1" s="1"/>
  <c r="R20" i="1"/>
  <c r="S20" i="1" s="1"/>
  <c r="T20" i="1" s="1"/>
  <c r="U20" i="1" s="1"/>
  <c r="R173" i="1"/>
  <c r="S173" i="1" s="1"/>
  <c r="T173" i="1" s="1"/>
  <c r="U173" i="1" s="1"/>
  <c r="R125" i="1"/>
  <c r="S125" i="1" s="1"/>
  <c r="T125" i="1" s="1"/>
  <c r="U125" i="1" s="1"/>
  <c r="R203" i="1"/>
  <c r="S203" i="1" s="1"/>
  <c r="T203" i="1" s="1"/>
  <c r="U203" i="1" s="1"/>
  <c r="R259" i="1"/>
  <c r="S259" i="1" s="1"/>
  <c r="T259" i="1" s="1"/>
  <c r="R279" i="1"/>
  <c r="S279" i="1" s="1"/>
  <c r="T279" i="1" s="1"/>
  <c r="R116" i="1"/>
  <c r="S116" i="1" s="1"/>
  <c r="T116" i="1" s="1"/>
  <c r="U116" i="1" s="1"/>
  <c r="R282" i="1"/>
  <c r="S282" i="1" s="1"/>
  <c r="T282" i="1" s="1"/>
  <c r="U282" i="1" s="1"/>
  <c r="R302" i="1"/>
  <c r="S302" i="1" s="1"/>
  <c r="T302" i="1" s="1"/>
  <c r="U302" i="1" s="1"/>
  <c r="R213" i="1"/>
  <c r="S213" i="1" s="1"/>
  <c r="T213" i="1" s="1"/>
  <c r="U213" i="1" s="1"/>
  <c r="R30" i="1"/>
  <c r="S30" i="1" s="1"/>
  <c r="T30" i="1" s="1"/>
  <c r="R65" i="1"/>
  <c r="S65" i="1" s="1"/>
  <c r="T65" i="1" s="1"/>
  <c r="U65" i="1" s="1"/>
  <c r="R147" i="1"/>
  <c r="S147" i="1" s="1"/>
  <c r="T147" i="1" s="1"/>
  <c r="U147" i="1" s="1"/>
  <c r="R204" i="1"/>
  <c r="S204" i="1" s="1"/>
  <c r="T204" i="1" s="1"/>
  <c r="U204" i="1" s="1"/>
  <c r="R184" i="1"/>
  <c r="S184" i="1" s="1"/>
  <c r="T184" i="1" s="1"/>
  <c r="U184" i="1" s="1"/>
  <c r="R158" i="1"/>
  <c r="S158" i="1" s="1"/>
  <c r="T158" i="1" s="1"/>
  <c r="U158" i="1" s="1"/>
  <c r="R260" i="1"/>
  <c r="S260" i="1" s="1"/>
  <c r="R76" i="1"/>
  <c r="S76" i="1" s="1"/>
  <c r="T76" i="1" s="1"/>
  <c r="U76" i="1" s="1"/>
  <c r="R197" i="1"/>
  <c r="S197" i="1" s="1"/>
  <c r="T197" i="1" s="1"/>
  <c r="R161" i="1"/>
  <c r="S161" i="1" s="1"/>
  <c r="T161" i="1" s="1"/>
  <c r="U161" i="1" s="1"/>
  <c r="R245" i="1"/>
  <c r="S245" i="1" s="1"/>
  <c r="T245" i="1" s="1"/>
  <c r="R233" i="1"/>
  <c r="S233" i="1" s="1"/>
  <c r="T233" i="1" s="1"/>
  <c r="U233" i="1" s="1"/>
  <c r="R205" i="1"/>
  <c r="S205" i="1" s="1"/>
  <c r="T205" i="1" s="1"/>
  <c r="R255" i="1"/>
  <c r="S255" i="1" s="1"/>
  <c r="T255" i="1" s="1"/>
  <c r="R148" i="1"/>
  <c r="S148" i="1" s="1"/>
  <c r="T148" i="1" s="1"/>
  <c r="U148" i="1" s="1"/>
  <c r="R42" i="1"/>
  <c r="S42" i="1" s="1"/>
  <c r="T42" i="1" s="1"/>
  <c r="U42" i="1" s="1"/>
  <c r="R291" i="1"/>
  <c r="S291" i="1" s="1"/>
  <c r="T291" i="1" s="1"/>
  <c r="R256" i="1"/>
  <c r="S256" i="1" s="1"/>
  <c r="T256" i="1" s="1"/>
  <c r="U256" i="1" s="1"/>
  <c r="R230" i="1"/>
  <c r="S230" i="1" s="1"/>
  <c r="T230" i="1" s="1"/>
  <c r="U230" i="1" s="1"/>
  <c r="R283" i="1"/>
  <c r="S283" i="1" s="1"/>
  <c r="T283" i="1" s="1"/>
  <c r="R301" i="1"/>
  <c r="S301" i="1" s="1"/>
  <c r="T301" i="1" s="1"/>
  <c r="R104" i="1"/>
  <c r="S104" i="1" s="1"/>
  <c r="T104" i="1" s="1"/>
  <c r="U104" i="1" s="1"/>
  <c r="R257" i="1"/>
  <c r="S257" i="1" s="1"/>
  <c r="T257" i="1" s="1"/>
  <c r="R237" i="1"/>
  <c r="S237" i="1" s="1"/>
  <c r="T237" i="1" s="1"/>
  <c r="U237" i="1" s="1"/>
  <c r="R39" i="1"/>
  <c r="S39" i="1" s="1"/>
  <c r="T39" i="1" s="1"/>
  <c r="U39" i="1" s="1"/>
  <c r="R214" i="1"/>
  <c r="S214" i="1" s="1"/>
  <c r="T214" i="1" s="1"/>
  <c r="U214" i="1" s="1"/>
  <c r="R206" i="1"/>
  <c r="S206" i="1" s="1"/>
  <c r="T206" i="1" s="1"/>
  <c r="U206" i="1" s="1"/>
  <c r="R207" i="1"/>
  <c r="S207" i="1" s="1"/>
  <c r="T207" i="1" s="1"/>
  <c r="U207" i="1" s="1"/>
  <c r="R154" i="1"/>
  <c r="S154" i="1" s="1"/>
  <c r="T154" i="1" s="1"/>
  <c r="R215" i="1"/>
  <c r="S215" i="1" s="1"/>
  <c r="T215" i="1" s="1"/>
  <c r="R216" i="1"/>
  <c r="S216" i="1" s="1"/>
  <c r="T216" i="1" s="1"/>
  <c r="U216" i="1" s="1"/>
  <c r="R6" i="1"/>
  <c r="S6" i="1" s="1"/>
  <c r="T6" i="1" s="1"/>
  <c r="U6" i="1" s="1"/>
  <c r="R88" i="1"/>
  <c r="S88" i="1" s="1"/>
  <c r="T88" i="1" s="1"/>
  <c r="U88" i="1" s="1"/>
  <c r="R54" i="1"/>
  <c r="S54" i="1" s="1"/>
  <c r="T54" i="1" s="1"/>
  <c r="U54" i="1" s="1"/>
  <c r="R12" i="1"/>
  <c r="S12" i="1" s="1"/>
  <c r="T12" i="1" s="1"/>
  <c r="U12" i="1" s="1"/>
  <c r="R174" i="1"/>
  <c r="S174" i="1" s="1"/>
  <c r="T174" i="1" s="1"/>
  <c r="U174" i="1" s="1"/>
  <c r="R287" i="1"/>
  <c r="S287" i="1" s="1"/>
  <c r="T287" i="1" s="1"/>
  <c r="R261" i="1"/>
  <c r="S261" i="1" s="1"/>
  <c r="T261" i="1" s="1"/>
  <c r="U261" i="1" s="1"/>
  <c r="R97" i="1"/>
  <c r="S97" i="1" s="1"/>
  <c r="R32" i="1"/>
  <c r="S32" i="1" s="1"/>
  <c r="T32" i="1" s="1"/>
  <c r="U32" i="1" s="1"/>
  <c r="R105" i="1"/>
  <c r="S105" i="1" s="1"/>
  <c r="T105" i="1" s="1"/>
  <c r="U105" i="1" s="1"/>
  <c r="R133" i="1"/>
  <c r="S133" i="1" s="1"/>
  <c r="T133" i="1" s="1"/>
  <c r="U133" i="1" s="1"/>
  <c r="R249" i="1"/>
  <c r="S249" i="1" s="1"/>
  <c r="T249" i="1" s="1"/>
  <c r="R238" i="1"/>
  <c r="S238" i="1" s="1"/>
  <c r="T238" i="1" s="1"/>
  <c r="U238" i="1" s="1"/>
  <c r="R135" i="1"/>
  <c r="S135" i="1" s="1"/>
  <c r="T135" i="1" s="1"/>
  <c r="U135" i="1" s="1"/>
  <c r="R83" i="1"/>
  <c r="S83" i="1" s="1"/>
  <c r="T83" i="1" s="1"/>
  <c r="U83" i="1" s="1"/>
  <c r="R48" i="1"/>
  <c r="S48" i="1" s="1"/>
  <c r="T48" i="1" s="1"/>
  <c r="U48" i="1" s="1"/>
  <c r="R162" i="1"/>
  <c r="S162" i="1" s="1"/>
  <c r="T162" i="1" s="1"/>
  <c r="U162" i="1" s="1"/>
  <c r="R149" i="1"/>
  <c r="S149" i="1" s="1"/>
  <c r="T149" i="1" s="1"/>
  <c r="U149" i="1" s="1"/>
  <c r="R150" i="1"/>
  <c r="S150" i="1" s="1"/>
  <c r="T150" i="1" s="1"/>
  <c r="U150" i="1" s="1"/>
  <c r="R66" i="1"/>
  <c r="S66" i="1" s="1"/>
  <c r="T66" i="1" s="1"/>
  <c r="R284" i="1"/>
  <c r="S284" i="1" s="1"/>
  <c r="T284" i="1" s="1"/>
  <c r="U284" i="1" s="1"/>
  <c r="R268" i="1"/>
  <c r="S268" i="1" s="1"/>
  <c r="R110" i="1"/>
  <c r="S110" i="1" s="1"/>
  <c r="T110" i="1" s="1"/>
  <c r="U110" i="1" s="1"/>
  <c r="R217" i="1"/>
  <c r="S217" i="1" s="1"/>
  <c r="T217" i="1" s="1"/>
  <c r="R239" i="1"/>
  <c r="S239" i="1" s="1"/>
  <c r="T239" i="1" s="1"/>
  <c r="R228" i="1"/>
  <c r="S228" i="1" s="1"/>
  <c r="T228" i="1" s="1"/>
  <c r="U228" i="1" s="1"/>
  <c r="R292" i="1"/>
  <c r="S292" i="1" s="1"/>
  <c r="T292" i="1" s="1"/>
  <c r="U292" i="1" s="1"/>
  <c r="R262" i="1"/>
  <c r="S262" i="1" s="1"/>
  <c r="T262" i="1" s="1"/>
  <c r="U262" i="1" s="1"/>
  <c r="R263" i="1"/>
  <c r="S263" i="1" s="1"/>
  <c r="T263" i="1" s="1"/>
  <c r="R16" i="1"/>
  <c r="S16" i="1" s="1"/>
  <c r="T16" i="1" s="1"/>
  <c r="U16" i="1" s="1"/>
  <c r="R60" i="1"/>
  <c r="S60" i="1" s="1"/>
  <c r="T60" i="1" s="1"/>
  <c r="U60" i="1" s="1"/>
  <c r="R191" i="1"/>
  <c r="S191" i="1" s="1"/>
  <c r="R126" i="1"/>
  <c r="S126" i="1" s="1"/>
  <c r="T126" i="1" s="1"/>
  <c r="U126" i="1" s="1"/>
  <c r="R163" i="1"/>
  <c r="S163" i="1" s="1"/>
  <c r="T163" i="1" s="1"/>
  <c r="R98" i="1"/>
  <c r="S98" i="1" s="1"/>
  <c r="T98" i="1" s="1"/>
  <c r="U98" i="1" s="1"/>
  <c r="R234" i="1"/>
  <c r="S234" i="1" s="1"/>
  <c r="T234" i="1" s="1"/>
  <c r="U234" i="1" s="1"/>
  <c r="R192" i="1"/>
  <c r="S192" i="1" s="1"/>
  <c r="T192" i="1" s="1"/>
  <c r="U192" i="1" s="1"/>
  <c r="R264" i="1"/>
  <c r="S264" i="1" s="1"/>
  <c r="R70" i="1"/>
  <c r="S70" i="1" s="1"/>
  <c r="T70" i="1" s="1"/>
  <c r="U70" i="1" s="1"/>
  <c r="R27" i="1"/>
  <c r="S27" i="1" s="1"/>
  <c r="T27" i="1" s="1"/>
  <c r="U27" i="1" s="1"/>
  <c r="R193" i="1"/>
  <c r="S193" i="1" s="1"/>
  <c r="T193" i="1" s="1"/>
  <c r="U193" i="1" s="1"/>
  <c r="R179" i="1"/>
  <c r="S179" i="1" s="1"/>
  <c r="T179" i="1" s="1"/>
  <c r="U179" i="1" s="1"/>
  <c r="R36" i="1"/>
  <c r="S36" i="1" s="1"/>
  <c r="T36" i="1" s="1"/>
  <c r="U36" i="1" s="1"/>
  <c r="R23" i="1"/>
  <c r="S23" i="1" s="1"/>
  <c r="T23" i="1" s="1"/>
  <c r="U23" i="1" s="1"/>
  <c r="R71" i="1"/>
  <c r="S71" i="1" s="1"/>
  <c r="T71" i="1" s="1"/>
  <c r="U71" i="1" s="1"/>
  <c r="R28" i="1"/>
  <c r="S28" i="1" s="1"/>
  <c r="T28" i="1" s="1"/>
  <c r="U28" i="1" s="1"/>
  <c r="R240" i="1"/>
  <c r="S240" i="1" s="1"/>
  <c r="T240" i="1" s="1"/>
  <c r="U240" i="1" s="1"/>
  <c r="R225" i="1"/>
  <c r="S225" i="1" s="1"/>
  <c r="T225" i="1" s="1"/>
  <c r="R59" i="1"/>
  <c r="S59" i="1" s="1"/>
  <c r="T59" i="1" s="1"/>
  <c r="U59" i="1" s="1"/>
  <c r="R155" i="1"/>
  <c r="S155" i="1" s="1"/>
  <c r="T155" i="1" s="1"/>
  <c r="U155" i="1" s="1"/>
  <c r="R111" i="1"/>
  <c r="S111" i="1" s="1"/>
  <c r="T111" i="1" s="1"/>
  <c r="U111" i="1" s="1"/>
  <c r="R18" i="1"/>
  <c r="S18" i="1" s="1"/>
  <c r="T18" i="1" s="1"/>
  <c r="R218" i="1"/>
  <c r="S218" i="1" s="1"/>
  <c r="T218" i="1" s="1"/>
  <c r="U218" i="1" s="1"/>
  <c r="R180" i="1"/>
  <c r="S180" i="1" s="1"/>
  <c r="T180" i="1" s="1"/>
  <c r="U180" i="1" s="1"/>
  <c r="R99" i="1"/>
  <c r="S99" i="1" s="1"/>
  <c r="T99" i="1" s="1"/>
  <c r="U99" i="1" s="1"/>
  <c r="R67" i="1"/>
  <c r="S67" i="1" s="1"/>
  <c r="T67" i="1" s="1"/>
  <c r="U67" i="1" s="1"/>
  <c r="R25" i="1"/>
  <c r="S25" i="1" s="1"/>
  <c r="T25" i="1" s="1"/>
  <c r="U25" i="1" s="1"/>
  <c r="R100" i="1"/>
  <c r="S100" i="1" s="1"/>
  <c r="T100" i="1" s="1"/>
  <c r="U100" i="1" s="1"/>
  <c r="R164" i="1"/>
  <c r="S164" i="1" s="1"/>
  <c r="T164" i="1" s="1"/>
  <c r="U164" i="1" s="1"/>
  <c r="R89" i="1"/>
  <c r="S89" i="1" s="1"/>
  <c r="T89" i="1" s="1"/>
  <c r="U89" i="1" s="1"/>
  <c r="R127" i="1"/>
  <c r="S127" i="1" s="1"/>
  <c r="T127" i="1" s="1"/>
  <c r="U127" i="1" s="1"/>
  <c r="R219" i="1"/>
  <c r="S219" i="1" s="1"/>
  <c r="T219" i="1" s="1"/>
  <c r="U219" i="1" s="1"/>
  <c r="R9" i="1"/>
  <c r="S9" i="1" s="1"/>
  <c r="T9" i="1" s="1"/>
  <c r="U9" i="1" s="1"/>
  <c r="R181" i="1"/>
  <c r="S181" i="1" s="1"/>
  <c r="T181" i="1" s="1"/>
  <c r="R274" i="1"/>
  <c r="S274" i="1" s="1"/>
  <c r="T274" i="1" s="1"/>
  <c r="U274" i="1" s="1"/>
  <c r="R93" i="1"/>
  <c r="S93" i="1" s="1"/>
  <c r="T93" i="1" s="1"/>
  <c r="U93" i="1" s="1"/>
  <c r="R21" i="1"/>
  <c r="S21" i="1" s="1"/>
  <c r="T21" i="1" s="1"/>
  <c r="U21" i="1" s="1"/>
  <c r="R136" i="1"/>
  <c r="S136" i="1" s="1"/>
  <c r="T136" i="1" s="1"/>
  <c r="U136" i="1" s="1"/>
  <c r="R117" i="1"/>
  <c r="S117" i="1" s="1"/>
  <c r="T117" i="1" s="1"/>
  <c r="U117" i="1" s="1"/>
  <c r="R198" i="1"/>
  <c r="S198" i="1" s="1"/>
  <c r="T198" i="1" s="1"/>
  <c r="U198" i="1" s="1"/>
  <c r="R101" i="1"/>
  <c r="S101" i="1" s="1"/>
  <c r="T101" i="1" s="1"/>
  <c r="U101" i="1" s="1"/>
  <c r="R175" i="1"/>
  <c r="S175" i="1" s="1"/>
  <c r="R86" i="1"/>
  <c r="S86" i="1" s="1"/>
  <c r="T86" i="1" s="1"/>
  <c r="U86" i="1" s="1"/>
  <c r="R208" i="1"/>
  <c r="S208" i="1" s="1"/>
  <c r="T208" i="1" s="1"/>
  <c r="U208" i="1" s="1"/>
  <c r="R137" i="1"/>
  <c r="S137" i="1" s="1"/>
  <c r="T137" i="1" s="1"/>
  <c r="U137" i="1" s="1"/>
  <c r="R90" i="1"/>
  <c r="S90" i="1" s="1"/>
  <c r="T90" i="1" s="1"/>
  <c r="R91" i="1"/>
  <c r="S91" i="1" s="1"/>
  <c r="T91" i="1" s="1"/>
  <c r="U91" i="1" s="1"/>
  <c r="R121" i="1"/>
  <c r="S121" i="1" s="1"/>
  <c r="R112" i="1"/>
  <c r="S112" i="1" s="1"/>
  <c r="T112" i="1" s="1"/>
  <c r="U112" i="1" s="1"/>
  <c r="R79" i="1"/>
  <c r="S79" i="1" s="1"/>
  <c r="T79" i="1" s="1"/>
  <c r="U79" i="1" s="1"/>
  <c r="R8" i="1"/>
  <c r="S8" i="1" s="1"/>
  <c r="T8" i="1" s="1"/>
  <c r="U8" i="1" s="1"/>
  <c r="R72" i="1"/>
  <c r="S72" i="1" s="1"/>
  <c r="T72" i="1" s="1"/>
  <c r="U72" i="1" s="1"/>
  <c r="R58" i="1"/>
  <c r="S58" i="1" s="1"/>
  <c r="T58" i="1" s="1"/>
  <c r="U58" i="1" s="1"/>
  <c r="R138" i="1"/>
  <c r="S138" i="1" s="1"/>
  <c r="T138" i="1" s="1"/>
  <c r="R159" i="1"/>
  <c r="S159" i="1" s="1"/>
  <c r="T159" i="1" s="1"/>
  <c r="U159" i="1" s="1"/>
  <c r="R22" i="1"/>
  <c r="S22" i="1" s="1"/>
  <c r="T22" i="1" s="1"/>
  <c r="R269" i="1"/>
  <c r="S269" i="1" s="1"/>
  <c r="T269" i="1" s="1"/>
  <c r="U269" i="1" s="1"/>
  <c r="R77" i="1"/>
  <c r="S77" i="1" s="1"/>
  <c r="T77" i="1" s="1"/>
  <c r="U77" i="1" s="1"/>
  <c r="R55" i="1"/>
  <c r="S55" i="1" s="1"/>
  <c r="T55" i="1" s="1"/>
  <c r="U55" i="1" s="1"/>
  <c r="R49" i="1"/>
  <c r="S49" i="1" s="1"/>
  <c r="R10" i="1"/>
  <c r="S10" i="1" s="1"/>
  <c r="T10" i="1" s="1"/>
  <c r="U10" i="1" s="1"/>
  <c r="R62" i="1"/>
  <c r="S62" i="1" s="1"/>
  <c r="T62" i="1" s="1"/>
  <c r="R185" i="1"/>
  <c r="S185" i="1" s="1"/>
  <c r="T185" i="1" s="1"/>
  <c r="U185" i="1" s="1"/>
  <c r="R68" i="1"/>
  <c r="S68" i="1" s="1"/>
  <c r="T68" i="1" s="1"/>
  <c r="U68" i="1" s="1"/>
  <c r="R151" i="1"/>
  <c r="S151" i="1" s="1"/>
  <c r="T151" i="1" s="1"/>
  <c r="U151" i="1" s="1"/>
  <c r="R46" i="1"/>
  <c r="S46" i="1" s="1"/>
  <c r="T46" i="1" s="1"/>
  <c r="R118" i="1"/>
  <c r="S118" i="1" s="1"/>
  <c r="T118" i="1" s="1"/>
  <c r="U118" i="1" s="1"/>
  <c r="R7" i="1"/>
  <c r="S7" i="1" s="1"/>
  <c r="T7" i="1" s="1"/>
  <c r="U7" i="1" s="1"/>
  <c r="R19" i="1"/>
  <c r="S19" i="1" s="1"/>
  <c r="T19" i="1" s="1"/>
  <c r="U19" i="1" s="1"/>
  <c r="R265" i="1"/>
  <c r="S265" i="1" s="1"/>
  <c r="T265" i="1" s="1"/>
  <c r="R250" i="1"/>
  <c r="S250" i="1" s="1"/>
  <c r="T250" i="1" s="1"/>
  <c r="U250" i="1" s="1"/>
  <c r="R246" i="1"/>
  <c r="S246" i="1" s="1"/>
  <c r="T246" i="1" s="1"/>
  <c r="U246" i="1" s="1"/>
  <c r="R209" i="1"/>
  <c r="S209" i="1" s="1"/>
  <c r="T209" i="1" s="1"/>
  <c r="U209" i="1" s="1"/>
  <c r="R168" i="1"/>
  <c r="S168" i="1" s="1"/>
  <c r="T168" i="1" s="1"/>
  <c r="U168" i="1" s="1"/>
  <c r="R24" i="1"/>
  <c r="S24" i="1" s="1"/>
  <c r="T24" i="1" s="1"/>
  <c r="U24" i="1" s="1"/>
  <c r="R106" i="1"/>
  <c r="S106" i="1" s="1"/>
  <c r="T106" i="1" s="1"/>
  <c r="R73" i="1"/>
  <c r="S73" i="1" s="1"/>
  <c r="T73" i="1" s="1"/>
  <c r="U73" i="1" s="1"/>
  <c r="R3" i="1"/>
  <c r="S3" i="1" s="1"/>
  <c r="T3" i="1" s="1"/>
  <c r="U3" i="1" s="1"/>
  <c r="R13" i="1"/>
  <c r="S13" i="1" s="1"/>
  <c r="T13" i="1" s="1"/>
  <c r="U13" i="1" s="1"/>
  <c r="R229" i="1"/>
  <c r="S229" i="1" s="1"/>
  <c r="T229" i="1" s="1"/>
  <c r="R139" i="1"/>
  <c r="S139" i="1" s="1"/>
  <c r="T139" i="1" s="1"/>
  <c r="U139" i="1" s="1"/>
  <c r="R37" i="1"/>
  <c r="S37" i="1" s="1"/>
  <c r="T37" i="1" s="1"/>
  <c r="U37" i="1" s="1"/>
  <c r="R303" i="1"/>
  <c r="S303" i="1" s="1"/>
  <c r="T303" i="1" s="1"/>
  <c r="R122" i="1"/>
  <c r="S122" i="1" s="1"/>
  <c r="T122" i="1" s="1"/>
  <c r="R43" i="1"/>
  <c r="S43" i="1" s="1"/>
  <c r="T43" i="1" s="1"/>
  <c r="U43" i="1" s="1"/>
  <c r="R107" i="1"/>
  <c r="S107" i="1" s="1"/>
  <c r="T107" i="1" s="1"/>
  <c r="U107" i="1" s="1"/>
  <c r="R15" i="1"/>
  <c r="S15" i="1" s="1"/>
  <c r="T15" i="1" s="1"/>
  <c r="U15" i="1" s="1"/>
  <c r="R50" i="1"/>
  <c r="S50" i="1" s="1"/>
  <c r="T50" i="1" s="1"/>
  <c r="R51" i="1"/>
  <c r="S51" i="1" s="1"/>
  <c r="T51" i="1" s="1"/>
  <c r="U51" i="1" s="1"/>
  <c r="R128" i="1"/>
  <c r="S128" i="1" s="1"/>
  <c r="T128" i="1" s="1"/>
  <c r="U128" i="1" s="1"/>
  <c r="R63" i="1"/>
  <c r="S63" i="1" s="1"/>
  <c r="T63" i="1" s="1"/>
  <c r="U63" i="1" s="1"/>
  <c r="R56" i="1"/>
  <c r="S56" i="1" s="1"/>
  <c r="T56" i="1" s="1"/>
  <c r="U56" i="1" s="1"/>
  <c r="R160" i="1"/>
  <c r="S160" i="1" s="1"/>
  <c r="T160" i="1" s="1"/>
  <c r="U160" i="1" s="1"/>
  <c r="R293" i="1"/>
  <c r="S293" i="1" s="1"/>
  <c r="T293" i="1" s="1"/>
  <c r="R226" i="1"/>
  <c r="S226" i="1" s="1"/>
  <c r="T226" i="1" s="1"/>
  <c r="U226" i="1" s="1"/>
  <c r="R194" i="1"/>
  <c r="S194" i="1" s="1"/>
  <c r="T194" i="1" s="1"/>
  <c r="U194" i="1" s="1"/>
  <c r="R5" i="1"/>
  <c r="S5" i="1" s="1"/>
  <c r="T5" i="1" s="1"/>
  <c r="U5" i="1" s="1"/>
  <c r="R241" i="1"/>
  <c r="S241" i="1" s="1"/>
  <c r="T241" i="1" s="1"/>
  <c r="R17" i="1"/>
  <c r="S17" i="1" s="1"/>
  <c r="T17" i="1" s="1"/>
  <c r="U17" i="1" s="1"/>
  <c r="R74" i="1"/>
  <c r="S74" i="1" s="1"/>
  <c r="T74" i="1" s="1"/>
  <c r="R34" i="1"/>
  <c r="S34" i="1" s="1"/>
  <c r="T34" i="1" s="1"/>
  <c r="U34" i="1" s="1"/>
  <c r="R57" i="1"/>
  <c r="S57" i="1" s="1"/>
  <c r="T57" i="1" s="1"/>
  <c r="U57" i="1" s="1"/>
  <c r="R33" i="1"/>
  <c r="S33" i="1" s="1"/>
  <c r="T33" i="1" s="1"/>
  <c r="U33" i="1" s="1"/>
  <c r="R11" i="1"/>
  <c r="S11" i="1" s="1"/>
  <c r="T11" i="1" s="1"/>
  <c r="U11" i="1" s="1"/>
  <c r="R113" i="1"/>
  <c r="S113" i="1" s="1"/>
  <c r="T113" i="1" s="1"/>
  <c r="U113" i="1" s="1"/>
  <c r="R119" i="1"/>
  <c r="S119" i="1" s="1"/>
  <c r="T119" i="1" s="1"/>
  <c r="U119" i="1" s="1"/>
  <c r="R2" i="1"/>
  <c r="R169" i="1"/>
  <c r="S169" i="1" s="1"/>
  <c r="T169" i="1" s="1"/>
  <c r="U169" i="1" s="1"/>
  <c r="R35" i="1"/>
  <c r="S35" i="1" s="1"/>
  <c r="T35" i="1" s="1"/>
  <c r="U35" i="1" s="1"/>
  <c r="R235" i="1"/>
  <c r="S235" i="1" s="1"/>
  <c r="R14" i="1"/>
  <c r="S14" i="1" s="1"/>
  <c r="T14" i="1" s="1"/>
  <c r="U14" i="1" s="1"/>
  <c r="R94" i="1"/>
  <c r="S94" i="1" s="1"/>
  <c r="T94" i="1" s="1"/>
  <c r="R152" i="1"/>
  <c r="S152" i="1" s="1"/>
  <c r="T152" i="1" s="1"/>
  <c r="U152" i="1" s="1"/>
  <c r="R52" i="1"/>
  <c r="S52" i="1" s="1"/>
  <c r="T52" i="1" s="1"/>
  <c r="U52" i="1" s="1"/>
  <c r="R53" i="1"/>
  <c r="S53" i="1" s="1"/>
  <c r="T53" i="1" s="1"/>
  <c r="U53" i="1" s="1"/>
  <c r="R170" i="1"/>
  <c r="S170" i="1" s="1"/>
  <c r="T170" i="1" s="1"/>
  <c r="U170" i="1" s="1"/>
  <c r="R78" i="1"/>
  <c r="S78" i="1" s="1"/>
  <c r="T78" i="1" s="1"/>
  <c r="U78" i="1" s="1"/>
  <c r="R288" i="1"/>
  <c r="S288" i="1" s="1"/>
  <c r="R84" i="1"/>
  <c r="S84" i="1" s="1"/>
  <c r="T84" i="1" s="1"/>
  <c r="U84" i="1" s="1"/>
  <c r="R38" i="1"/>
  <c r="S38" i="1" s="1"/>
  <c r="T38" i="1" s="1"/>
  <c r="R210" i="1"/>
  <c r="S210" i="1" s="1"/>
  <c r="T210" i="1" s="1"/>
  <c r="U210" i="1" s="1"/>
  <c r="R221" i="1"/>
  <c r="S221" i="1" s="1"/>
  <c r="T221" i="1" s="1"/>
  <c r="R108" i="1"/>
  <c r="S108" i="1" s="1"/>
  <c r="T108" i="1" s="1"/>
  <c r="U108" i="1" s="1"/>
  <c r="R64" i="1"/>
  <c r="S64" i="1" s="1"/>
  <c r="T64" i="1" s="1"/>
  <c r="U64" i="1" s="1"/>
  <c r="R199" i="1"/>
  <c r="S199" i="1" s="1"/>
  <c r="T199" i="1" s="1"/>
  <c r="U199" i="1" s="1"/>
  <c r="R92" i="1"/>
  <c r="S92" i="1" s="1"/>
  <c r="T92" i="1" s="1"/>
  <c r="U92" i="1" s="1"/>
  <c r="R123" i="1"/>
  <c r="S123" i="1" s="1"/>
  <c r="T123" i="1" s="1"/>
  <c r="U123" i="1" s="1"/>
  <c r="R140" i="1"/>
  <c r="S140" i="1" s="1"/>
  <c r="T140" i="1" s="1"/>
  <c r="U140" i="1" s="1"/>
  <c r="R114" i="1"/>
  <c r="S114" i="1" s="1"/>
  <c r="T114" i="1" s="1"/>
  <c r="U114" i="1" s="1"/>
  <c r="R115" i="1"/>
  <c r="S115" i="1" s="1"/>
  <c r="T115" i="1" s="1"/>
  <c r="U115" i="1" s="1"/>
  <c r="R80" i="1"/>
  <c r="S80" i="1" s="1"/>
  <c r="T80" i="1" s="1"/>
  <c r="U80" i="1" s="1"/>
  <c r="R4" i="1"/>
  <c r="S4" i="1" s="1"/>
  <c r="T4" i="1" s="1"/>
  <c r="U4" i="1" s="1"/>
  <c r="R45" i="1"/>
  <c r="S45" i="1" s="1"/>
  <c r="T45" i="1" s="1"/>
  <c r="U45" i="1" s="1"/>
  <c r="R75" i="1"/>
  <c r="S75" i="1" s="1"/>
  <c r="T75" i="1" s="1"/>
  <c r="U75" i="1" s="1"/>
  <c r="R95" i="1"/>
  <c r="S95" i="1" s="1"/>
  <c r="T95" i="1" s="1"/>
  <c r="U95" i="1" s="1"/>
  <c r="R31" i="1"/>
  <c r="S31" i="1" s="1"/>
  <c r="T31" i="1" s="1"/>
  <c r="U31" i="1" s="1"/>
  <c r="R270" i="1"/>
  <c r="S270" i="1" s="1"/>
  <c r="T270" i="1" s="1"/>
  <c r="U270" i="1" s="1"/>
  <c r="G8" i="8"/>
  <c r="D7" i="8"/>
  <c r="E6" i="8"/>
  <c r="D5" i="8"/>
  <c r="B3" i="8"/>
  <c r="Q134" i="1"/>
  <c r="Q298" i="1"/>
  <c r="Q251" i="1"/>
  <c r="Q275" i="1"/>
  <c r="Q211" i="1"/>
  <c r="Q129" i="1"/>
  <c r="Q153" i="1"/>
  <c r="Q258" i="1"/>
  <c r="Q200" i="1"/>
  <c r="Q266" i="1"/>
  <c r="Q186" i="1"/>
  <c r="Q85" i="1"/>
  <c r="Q247" i="1"/>
  <c r="Q109" i="1"/>
  <c r="Q201" i="1"/>
  <c r="Q176" i="1"/>
  <c r="Q252" i="1"/>
  <c r="Q26" i="1"/>
  <c r="Q248" i="1"/>
  <c r="Q141" i="1"/>
  <c r="Q195" i="1"/>
  <c r="Q280" i="1"/>
  <c r="Q276" i="1"/>
  <c r="Q81" i="1"/>
  <c r="Q277" i="1"/>
  <c r="Q202" i="1"/>
  <c r="Q171" i="1"/>
  <c r="Q44" i="1"/>
  <c r="Q172" i="1"/>
  <c r="Q145" i="1"/>
  <c r="Q231" i="1"/>
  <c r="Q87" i="1"/>
  <c r="Q299" i="1"/>
  <c r="Q146" i="1"/>
  <c r="Q47" i="1"/>
  <c r="Q187" i="1"/>
  <c r="Q242" i="1"/>
  <c r="Q222" i="1"/>
  <c r="Q130" i="1"/>
  <c r="Q142" i="1"/>
  <c r="Q96" i="1"/>
  <c r="Q285" i="1"/>
  <c r="Q131" i="1"/>
  <c r="Q102" i="1"/>
  <c r="Q289" i="1"/>
  <c r="Q253" i="1"/>
  <c r="Q286" i="1"/>
  <c r="Q165" i="1"/>
  <c r="Q29" i="1"/>
  <c r="Q188" i="1"/>
  <c r="Q132" i="1"/>
  <c r="Q143" i="1"/>
  <c r="Q120" i="1"/>
  <c r="Q271" i="1"/>
  <c r="Q254" i="1"/>
  <c r="Q177" i="1"/>
  <c r="Q296" i="1"/>
  <c r="Q295" i="1"/>
  <c r="Q267" i="1"/>
  <c r="Q182" i="1"/>
  <c r="Q61" i="1"/>
  <c r="Q166" i="1"/>
  <c r="Q300" i="1"/>
  <c r="Q69" i="1"/>
  <c r="Q223" i="1"/>
  <c r="Q290" i="1"/>
  <c r="Q103" i="1"/>
  <c r="Q272" i="1"/>
  <c r="Q243" i="1"/>
  <c r="Q212" i="1"/>
  <c r="Q124" i="1"/>
  <c r="Q156" i="1"/>
  <c r="Q304" i="1"/>
  <c r="Q297" i="1"/>
  <c r="Q224" i="1"/>
  <c r="Q196" i="1"/>
  <c r="Q227" i="1"/>
  <c r="Q220" i="1"/>
  <c r="Q294" i="1"/>
  <c r="Q157" i="1"/>
  <c r="Q281" i="1"/>
  <c r="Q244" i="1"/>
  <c r="Q189" i="1"/>
  <c r="Q278" i="1"/>
  <c r="Q40" i="1"/>
  <c r="Q190" i="1"/>
  <c r="Q144" i="1"/>
  <c r="Q167" i="1"/>
  <c r="Q178" i="1"/>
  <c r="Q41" i="1"/>
  <c r="Q273" i="1"/>
  <c r="Q232" i="1"/>
  <c r="Q236" i="1"/>
  <c r="Q183" i="1"/>
  <c r="Q82" i="1"/>
  <c r="Q20" i="1"/>
  <c r="Q173" i="1"/>
  <c r="Q125" i="1"/>
  <c r="Q203" i="1"/>
  <c r="Q259" i="1"/>
  <c r="Q279" i="1"/>
  <c r="Q116" i="1"/>
  <c r="Q282" i="1"/>
  <c r="Q302" i="1"/>
  <c r="Q213" i="1"/>
  <c r="Q30" i="1"/>
  <c r="Q65" i="1"/>
  <c r="Q147" i="1"/>
  <c r="Q204" i="1"/>
  <c r="Q184" i="1"/>
  <c r="Q158" i="1"/>
  <c r="Q260" i="1"/>
  <c r="Q76" i="1"/>
  <c r="Q197" i="1"/>
  <c r="Q161" i="1"/>
  <c r="Q245" i="1"/>
  <c r="Q233" i="1"/>
  <c r="Q205" i="1"/>
  <c r="Q255" i="1"/>
  <c r="Q148" i="1"/>
  <c r="Q42" i="1"/>
  <c r="Q291" i="1"/>
  <c r="Q256" i="1"/>
  <c r="Q230" i="1"/>
  <c r="Q283" i="1"/>
  <c r="Q301" i="1"/>
  <c r="Q104" i="1"/>
  <c r="Q257" i="1"/>
  <c r="Q237" i="1"/>
  <c r="Q39" i="1"/>
  <c r="Q214" i="1"/>
  <c r="Q206" i="1"/>
  <c r="Q207" i="1"/>
  <c r="Q154" i="1"/>
  <c r="Q215" i="1"/>
  <c r="Q216" i="1"/>
  <c r="Q6" i="1"/>
  <c r="Q88" i="1"/>
  <c r="Q54" i="1"/>
  <c r="Q12" i="1"/>
  <c r="Q174" i="1"/>
  <c r="Q287" i="1"/>
  <c r="Q261" i="1"/>
  <c r="Q97" i="1"/>
  <c r="Q32" i="1"/>
  <c r="Q105" i="1"/>
  <c r="Q133" i="1"/>
  <c r="Q249" i="1"/>
  <c r="Q238" i="1"/>
  <c r="Q135" i="1"/>
  <c r="Q83" i="1"/>
  <c r="Q48" i="1"/>
  <c r="Q162" i="1"/>
  <c r="Q149" i="1"/>
  <c r="Q150" i="1"/>
  <c r="Q66" i="1"/>
  <c r="Q284" i="1"/>
  <c r="Q268" i="1"/>
  <c r="Q110" i="1"/>
  <c r="Q217" i="1"/>
  <c r="Q239" i="1"/>
  <c r="Q228" i="1"/>
  <c r="Q292" i="1"/>
  <c r="Q262" i="1"/>
  <c r="Q263" i="1"/>
  <c r="Q16" i="1"/>
  <c r="Q60" i="1"/>
  <c r="Q191" i="1"/>
  <c r="Q126" i="1"/>
  <c r="Q163" i="1"/>
  <c r="Q98" i="1"/>
  <c r="Q234" i="1"/>
  <c r="Q192" i="1"/>
  <c r="Q264" i="1"/>
  <c r="Q70" i="1"/>
  <c r="Q27" i="1"/>
  <c r="Q193" i="1"/>
  <c r="Q179" i="1"/>
  <c r="Q36" i="1"/>
  <c r="Q23" i="1"/>
  <c r="Q71" i="1"/>
  <c r="Q28" i="1"/>
  <c r="Q240" i="1"/>
  <c r="Q225" i="1"/>
  <c r="Q59" i="1"/>
  <c r="Q155" i="1"/>
  <c r="Q111" i="1"/>
  <c r="Q18" i="1"/>
  <c r="Q218" i="1"/>
  <c r="Q180" i="1"/>
  <c r="Q99" i="1"/>
  <c r="Q67" i="1"/>
  <c r="Q25" i="1"/>
  <c r="Q100" i="1"/>
  <c r="Q164" i="1"/>
  <c r="Q89" i="1"/>
  <c r="Q127" i="1"/>
  <c r="Q219" i="1"/>
  <c r="Q9" i="1"/>
  <c r="Q181" i="1"/>
  <c r="Q274" i="1"/>
  <c r="Q93" i="1"/>
  <c r="Q21" i="1"/>
  <c r="Q136" i="1"/>
  <c r="Q117" i="1"/>
  <c r="Q198" i="1"/>
  <c r="Q101" i="1"/>
  <c r="Q175" i="1"/>
  <c r="Q86" i="1"/>
  <c r="Q208" i="1"/>
  <c r="Q137" i="1"/>
  <c r="Q90" i="1"/>
  <c r="Q91" i="1"/>
  <c r="Q121" i="1"/>
  <c r="Q112" i="1"/>
  <c r="Q79" i="1"/>
  <c r="Q8" i="1"/>
  <c r="Q72" i="1"/>
  <c r="Q58" i="1"/>
  <c r="Q138" i="1"/>
  <c r="Q159" i="1"/>
  <c r="Q22" i="1"/>
  <c r="Q269" i="1"/>
  <c r="Q77" i="1"/>
  <c r="Q55" i="1"/>
  <c r="Q49" i="1"/>
  <c r="Q10" i="1"/>
  <c r="Q62" i="1"/>
  <c r="Q185" i="1"/>
  <c r="Q68" i="1"/>
  <c r="Q151" i="1"/>
  <c r="Q46" i="1"/>
  <c r="Q118" i="1"/>
  <c r="Q7" i="1"/>
  <c r="Q19" i="1"/>
  <c r="Q265" i="1"/>
  <c r="Q250" i="1"/>
  <c r="Q246" i="1"/>
  <c r="Q209" i="1"/>
  <c r="Q168" i="1"/>
  <c r="Q24" i="1"/>
  <c r="Q106" i="1"/>
  <c r="Q73" i="1"/>
  <c r="Q3" i="1"/>
  <c r="Q13" i="1"/>
  <c r="Q229" i="1"/>
  <c r="Q139" i="1"/>
  <c r="Q37" i="1"/>
  <c r="Q303" i="1"/>
  <c r="Q122" i="1"/>
  <c r="Q43" i="1"/>
  <c r="Q107" i="1"/>
  <c r="Q15" i="1"/>
  <c r="Q50" i="1"/>
  <c r="Q51" i="1"/>
  <c r="Q128" i="1"/>
  <c r="Q63" i="1"/>
  <c r="Q56" i="1"/>
  <c r="Q160" i="1"/>
  <c r="Q293" i="1"/>
  <c r="Q226" i="1"/>
  <c r="Q194" i="1"/>
  <c r="Q5" i="1"/>
  <c r="Q241" i="1"/>
  <c r="Q17" i="1"/>
  <c r="Q74" i="1"/>
  <c r="Q34" i="1"/>
  <c r="Q57" i="1"/>
  <c r="Q33" i="1"/>
  <c r="Q11" i="1"/>
  <c r="Q113" i="1"/>
  <c r="Q119" i="1"/>
  <c r="Q2" i="1"/>
  <c r="Q169" i="1"/>
  <c r="Q35" i="1"/>
  <c r="Q235" i="1"/>
  <c r="Q14" i="1"/>
  <c r="Q94" i="1"/>
  <c r="Q152" i="1"/>
  <c r="Q52" i="1"/>
  <c r="Q53" i="1"/>
  <c r="Q170" i="1"/>
  <c r="Q78" i="1"/>
  <c r="Q288" i="1"/>
  <c r="Q84" i="1"/>
  <c r="Q38" i="1"/>
  <c r="Q210" i="1"/>
  <c r="Q221" i="1"/>
  <c r="Q108" i="1"/>
  <c r="Q64" i="1"/>
  <c r="Q199" i="1"/>
  <c r="Q92" i="1"/>
  <c r="Q123" i="1"/>
  <c r="Q140" i="1"/>
  <c r="Q114" i="1"/>
  <c r="Q115" i="1"/>
  <c r="Q80" i="1"/>
  <c r="Q4" i="1"/>
  <c r="Q45" i="1"/>
  <c r="Q75" i="1"/>
  <c r="Q95" i="1"/>
  <c r="Q31" i="1"/>
  <c r="Q270" i="1"/>
  <c r="P134" i="1"/>
  <c r="P298" i="1"/>
  <c r="P251" i="1"/>
  <c r="P275" i="1"/>
  <c r="P211" i="1"/>
  <c r="P129" i="1"/>
  <c r="P153" i="1"/>
  <c r="P258" i="1"/>
  <c r="P200" i="1"/>
  <c r="P266" i="1"/>
  <c r="P186" i="1"/>
  <c r="P85" i="1"/>
  <c r="P247" i="1"/>
  <c r="P109" i="1"/>
  <c r="P201" i="1"/>
  <c r="P176" i="1"/>
  <c r="P252" i="1"/>
  <c r="P26" i="1"/>
  <c r="P248" i="1"/>
  <c r="P141" i="1"/>
  <c r="P195" i="1"/>
  <c r="P280" i="1"/>
  <c r="P276" i="1"/>
  <c r="P81" i="1"/>
  <c r="P277" i="1"/>
  <c r="P202" i="1"/>
  <c r="P171" i="1"/>
  <c r="P44" i="1"/>
  <c r="P172" i="1"/>
  <c r="P145" i="1"/>
  <c r="P231" i="1"/>
  <c r="P87" i="1"/>
  <c r="P299" i="1"/>
  <c r="P146" i="1"/>
  <c r="P47" i="1"/>
  <c r="P187" i="1"/>
  <c r="P242" i="1"/>
  <c r="P222" i="1"/>
  <c r="P130" i="1"/>
  <c r="P142" i="1"/>
  <c r="P96" i="1"/>
  <c r="P285" i="1"/>
  <c r="P131" i="1"/>
  <c r="P102" i="1"/>
  <c r="P289" i="1"/>
  <c r="P253" i="1"/>
  <c r="P286" i="1"/>
  <c r="P165" i="1"/>
  <c r="P29" i="1"/>
  <c r="P188" i="1"/>
  <c r="P132" i="1"/>
  <c r="P143" i="1"/>
  <c r="P120" i="1"/>
  <c r="P271" i="1"/>
  <c r="P254" i="1"/>
  <c r="P177" i="1"/>
  <c r="P296" i="1"/>
  <c r="P295" i="1"/>
  <c r="P267" i="1"/>
  <c r="P182" i="1"/>
  <c r="P61" i="1"/>
  <c r="P166" i="1"/>
  <c r="P300" i="1"/>
  <c r="P69" i="1"/>
  <c r="P223" i="1"/>
  <c r="P290" i="1"/>
  <c r="P103" i="1"/>
  <c r="P272" i="1"/>
  <c r="P243" i="1"/>
  <c r="P212" i="1"/>
  <c r="P124" i="1"/>
  <c r="P156" i="1"/>
  <c r="P304" i="1"/>
  <c r="P297" i="1"/>
  <c r="P224" i="1"/>
  <c r="P196" i="1"/>
  <c r="P227" i="1"/>
  <c r="P220" i="1"/>
  <c r="P294" i="1"/>
  <c r="P157" i="1"/>
  <c r="P281" i="1"/>
  <c r="P244" i="1"/>
  <c r="P189" i="1"/>
  <c r="P278" i="1"/>
  <c r="P40" i="1"/>
  <c r="P190" i="1"/>
  <c r="P144" i="1"/>
  <c r="P167" i="1"/>
  <c r="P178" i="1"/>
  <c r="P41" i="1"/>
  <c r="P273" i="1"/>
  <c r="P232" i="1"/>
  <c r="P236" i="1"/>
  <c r="P183" i="1"/>
  <c r="P82" i="1"/>
  <c r="P20" i="1"/>
  <c r="P173" i="1"/>
  <c r="P125" i="1"/>
  <c r="P203" i="1"/>
  <c r="P259" i="1"/>
  <c r="P279" i="1"/>
  <c r="P116" i="1"/>
  <c r="P282" i="1"/>
  <c r="P302" i="1"/>
  <c r="P213" i="1"/>
  <c r="P30" i="1"/>
  <c r="P65" i="1"/>
  <c r="P147" i="1"/>
  <c r="P204" i="1"/>
  <c r="P184" i="1"/>
  <c r="P158" i="1"/>
  <c r="P260" i="1"/>
  <c r="P76" i="1"/>
  <c r="P197" i="1"/>
  <c r="P161" i="1"/>
  <c r="P245" i="1"/>
  <c r="P233" i="1"/>
  <c r="P205" i="1"/>
  <c r="P255" i="1"/>
  <c r="P148" i="1"/>
  <c r="P42" i="1"/>
  <c r="P291" i="1"/>
  <c r="P256" i="1"/>
  <c r="P230" i="1"/>
  <c r="P283" i="1"/>
  <c r="P301" i="1"/>
  <c r="P104" i="1"/>
  <c r="P257" i="1"/>
  <c r="P237" i="1"/>
  <c r="P39" i="1"/>
  <c r="P214" i="1"/>
  <c r="P206" i="1"/>
  <c r="P207" i="1"/>
  <c r="P154" i="1"/>
  <c r="P215" i="1"/>
  <c r="P216" i="1"/>
  <c r="P6" i="1"/>
  <c r="P88" i="1"/>
  <c r="P54" i="1"/>
  <c r="P12" i="1"/>
  <c r="P174" i="1"/>
  <c r="P287" i="1"/>
  <c r="P261" i="1"/>
  <c r="P97" i="1"/>
  <c r="P32" i="1"/>
  <c r="P105" i="1"/>
  <c r="P133" i="1"/>
  <c r="P249" i="1"/>
  <c r="P238" i="1"/>
  <c r="P135" i="1"/>
  <c r="P83" i="1"/>
  <c r="P48" i="1"/>
  <c r="P162" i="1"/>
  <c r="P149" i="1"/>
  <c r="P150" i="1"/>
  <c r="P66" i="1"/>
  <c r="P284" i="1"/>
  <c r="P268" i="1"/>
  <c r="P110" i="1"/>
  <c r="P217" i="1"/>
  <c r="P239" i="1"/>
  <c r="P228" i="1"/>
  <c r="P292" i="1"/>
  <c r="P262" i="1"/>
  <c r="P263" i="1"/>
  <c r="P16" i="1"/>
  <c r="P60" i="1"/>
  <c r="P191" i="1"/>
  <c r="P126" i="1"/>
  <c r="P163" i="1"/>
  <c r="P98" i="1"/>
  <c r="P234" i="1"/>
  <c r="P192" i="1"/>
  <c r="P264" i="1"/>
  <c r="P70" i="1"/>
  <c r="P27" i="1"/>
  <c r="P193" i="1"/>
  <c r="P179" i="1"/>
  <c r="P36" i="1"/>
  <c r="P23" i="1"/>
  <c r="P71" i="1"/>
  <c r="P28" i="1"/>
  <c r="P240" i="1"/>
  <c r="P225" i="1"/>
  <c r="P59" i="1"/>
  <c r="P155" i="1"/>
  <c r="P111" i="1"/>
  <c r="P18" i="1"/>
  <c r="P218" i="1"/>
  <c r="P180" i="1"/>
  <c r="P99" i="1"/>
  <c r="P67" i="1"/>
  <c r="P25" i="1"/>
  <c r="P100" i="1"/>
  <c r="P164" i="1"/>
  <c r="P89" i="1"/>
  <c r="P127" i="1"/>
  <c r="P219" i="1"/>
  <c r="P9" i="1"/>
  <c r="P181" i="1"/>
  <c r="P274" i="1"/>
  <c r="P93" i="1"/>
  <c r="P21" i="1"/>
  <c r="P136" i="1"/>
  <c r="P117" i="1"/>
  <c r="P198" i="1"/>
  <c r="P101" i="1"/>
  <c r="P175" i="1"/>
  <c r="P86" i="1"/>
  <c r="P208" i="1"/>
  <c r="P137" i="1"/>
  <c r="P90" i="1"/>
  <c r="P91" i="1"/>
  <c r="P121" i="1"/>
  <c r="P112" i="1"/>
  <c r="P79" i="1"/>
  <c r="P8" i="1"/>
  <c r="P72" i="1"/>
  <c r="P58" i="1"/>
  <c r="P138" i="1"/>
  <c r="P159" i="1"/>
  <c r="P22" i="1"/>
  <c r="P269" i="1"/>
  <c r="P77" i="1"/>
  <c r="P55" i="1"/>
  <c r="P49" i="1"/>
  <c r="P10" i="1"/>
  <c r="P62" i="1"/>
  <c r="P185" i="1"/>
  <c r="P68" i="1"/>
  <c r="P151" i="1"/>
  <c r="P46" i="1"/>
  <c r="P118" i="1"/>
  <c r="P7" i="1"/>
  <c r="P19" i="1"/>
  <c r="P265" i="1"/>
  <c r="P250" i="1"/>
  <c r="P246" i="1"/>
  <c r="P209" i="1"/>
  <c r="P168" i="1"/>
  <c r="P24" i="1"/>
  <c r="P106" i="1"/>
  <c r="P73" i="1"/>
  <c r="P3" i="1"/>
  <c r="P13" i="1"/>
  <c r="P229" i="1"/>
  <c r="P139" i="1"/>
  <c r="P37" i="1"/>
  <c r="P303" i="1"/>
  <c r="P122" i="1"/>
  <c r="P43" i="1"/>
  <c r="P107" i="1"/>
  <c r="P15" i="1"/>
  <c r="P50" i="1"/>
  <c r="P51" i="1"/>
  <c r="P128" i="1"/>
  <c r="P63" i="1"/>
  <c r="P56" i="1"/>
  <c r="P160" i="1"/>
  <c r="P293" i="1"/>
  <c r="P226" i="1"/>
  <c r="P194" i="1"/>
  <c r="P5" i="1"/>
  <c r="P241" i="1"/>
  <c r="P17" i="1"/>
  <c r="P74" i="1"/>
  <c r="P34" i="1"/>
  <c r="P57" i="1"/>
  <c r="P33" i="1"/>
  <c r="P11" i="1"/>
  <c r="P113" i="1"/>
  <c r="P119" i="1"/>
  <c r="P2" i="1"/>
  <c r="P169" i="1"/>
  <c r="P35" i="1"/>
  <c r="P235" i="1"/>
  <c r="P14" i="1"/>
  <c r="P94" i="1"/>
  <c r="P152" i="1"/>
  <c r="P52" i="1"/>
  <c r="P53" i="1"/>
  <c r="P170" i="1"/>
  <c r="P78" i="1"/>
  <c r="P288" i="1"/>
  <c r="P84" i="1"/>
  <c r="P38" i="1"/>
  <c r="P210" i="1"/>
  <c r="P221" i="1"/>
  <c r="P108" i="1"/>
  <c r="P64" i="1"/>
  <c r="P199" i="1"/>
  <c r="P92" i="1"/>
  <c r="P123" i="1"/>
  <c r="P140" i="1"/>
  <c r="P114" i="1"/>
  <c r="P115" i="1"/>
  <c r="P80" i="1"/>
  <c r="P4" i="1"/>
  <c r="P45" i="1"/>
  <c r="P75" i="1"/>
  <c r="P95" i="1"/>
  <c r="P31" i="1"/>
  <c r="P270" i="1"/>
  <c r="O134" i="1"/>
  <c r="O298" i="1"/>
  <c r="O251" i="1"/>
  <c r="O275" i="1"/>
  <c r="O211" i="1"/>
  <c r="O129" i="1"/>
  <c r="O153" i="1"/>
  <c r="O258" i="1"/>
  <c r="O200" i="1"/>
  <c r="O266" i="1"/>
  <c r="O186" i="1"/>
  <c r="O85" i="1"/>
  <c r="O247" i="1"/>
  <c r="O109" i="1"/>
  <c r="O201" i="1"/>
  <c r="O176" i="1"/>
  <c r="O252" i="1"/>
  <c r="O26" i="1"/>
  <c r="O248" i="1"/>
  <c r="O141" i="1"/>
  <c r="O195" i="1"/>
  <c r="O280" i="1"/>
  <c r="O276" i="1"/>
  <c r="O81" i="1"/>
  <c r="O277" i="1"/>
  <c r="O202" i="1"/>
  <c r="O171" i="1"/>
  <c r="O44" i="1"/>
  <c r="O172" i="1"/>
  <c r="O145" i="1"/>
  <c r="O231" i="1"/>
  <c r="O87" i="1"/>
  <c r="O299" i="1"/>
  <c r="O146" i="1"/>
  <c r="O47" i="1"/>
  <c r="O187" i="1"/>
  <c r="O242" i="1"/>
  <c r="O222" i="1"/>
  <c r="O130" i="1"/>
  <c r="O142" i="1"/>
  <c r="O96" i="1"/>
  <c r="O285" i="1"/>
  <c r="O131" i="1"/>
  <c r="O102" i="1"/>
  <c r="O289" i="1"/>
  <c r="O253" i="1"/>
  <c r="O286" i="1"/>
  <c r="O165" i="1"/>
  <c r="O29" i="1"/>
  <c r="O188" i="1"/>
  <c r="O132" i="1"/>
  <c r="O143" i="1"/>
  <c r="O120" i="1"/>
  <c r="O271" i="1"/>
  <c r="O254" i="1"/>
  <c r="O177" i="1"/>
  <c r="O296" i="1"/>
  <c r="O295" i="1"/>
  <c r="O267" i="1"/>
  <c r="O182" i="1"/>
  <c r="O61" i="1"/>
  <c r="O166" i="1"/>
  <c r="O300" i="1"/>
  <c r="O69" i="1"/>
  <c r="O223" i="1"/>
  <c r="O290" i="1"/>
  <c r="O103" i="1"/>
  <c r="O272" i="1"/>
  <c r="O243" i="1"/>
  <c r="O212" i="1"/>
  <c r="O124" i="1"/>
  <c r="O156" i="1"/>
  <c r="O304" i="1"/>
  <c r="O297" i="1"/>
  <c r="O224" i="1"/>
  <c r="O196" i="1"/>
  <c r="O227" i="1"/>
  <c r="O220" i="1"/>
  <c r="O294" i="1"/>
  <c r="O157" i="1"/>
  <c r="O281" i="1"/>
  <c r="O244" i="1"/>
  <c r="O189" i="1"/>
  <c r="O278" i="1"/>
  <c r="O40" i="1"/>
  <c r="O190" i="1"/>
  <c r="O144" i="1"/>
  <c r="O167" i="1"/>
  <c r="O178" i="1"/>
  <c r="O41" i="1"/>
  <c r="O273" i="1"/>
  <c r="O232" i="1"/>
  <c r="O236" i="1"/>
  <c r="O183" i="1"/>
  <c r="O82" i="1"/>
  <c r="O20" i="1"/>
  <c r="O173" i="1"/>
  <c r="O125" i="1"/>
  <c r="O203" i="1"/>
  <c r="O259" i="1"/>
  <c r="O279" i="1"/>
  <c r="O116" i="1"/>
  <c r="O282" i="1"/>
  <c r="O302" i="1"/>
  <c r="O213" i="1"/>
  <c r="O30" i="1"/>
  <c r="O65" i="1"/>
  <c r="O147" i="1"/>
  <c r="O204" i="1"/>
  <c r="O184" i="1"/>
  <c r="O158" i="1"/>
  <c r="O260" i="1"/>
  <c r="O76" i="1"/>
  <c r="O197" i="1"/>
  <c r="O161" i="1"/>
  <c r="O245" i="1"/>
  <c r="O233" i="1"/>
  <c r="O205" i="1"/>
  <c r="O255" i="1"/>
  <c r="O148" i="1"/>
  <c r="O42" i="1"/>
  <c r="O291" i="1"/>
  <c r="O256" i="1"/>
  <c r="O230" i="1"/>
  <c r="O283" i="1"/>
  <c r="O301" i="1"/>
  <c r="O104" i="1"/>
  <c r="O257" i="1"/>
  <c r="O237" i="1"/>
  <c r="O39" i="1"/>
  <c r="O214" i="1"/>
  <c r="O206" i="1"/>
  <c r="O207" i="1"/>
  <c r="O154" i="1"/>
  <c r="O215" i="1"/>
  <c r="O216" i="1"/>
  <c r="O6" i="1"/>
  <c r="O88" i="1"/>
  <c r="O54" i="1"/>
  <c r="O12" i="1"/>
  <c r="O174" i="1"/>
  <c r="O287" i="1"/>
  <c r="O261" i="1"/>
  <c r="O97" i="1"/>
  <c r="O32" i="1"/>
  <c r="O105" i="1"/>
  <c r="O133" i="1"/>
  <c r="O249" i="1"/>
  <c r="O238" i="1"/>
  <c r="O135" i="1"/>
  <c r="O83" i="1"/>
  <c r="O48" i="1"/>
  <c r="O162" i="1"/>
  <c r="O149" i="1"/>
  <c r="O150" i="1"/>
  <c r="O66" i="1"/>
  <c r="O284" i="1"/>
  <c r="O268" i="1"/>
  <c r="O110" i="1"/>
  <c r="O217" i="1"/>
  <c r="O239" i="1"/>
  <c r="O228" i="1"/>
  <c r="O292" i="1"/>
  <c r="O262" i="1"/>
  <c r="O263" i="1"/>
  <c r="O16" i="1"/>
  <c r="O60" i="1"/>
  <c r="O191" i="1"/>
  <c r="O126" i="1"/>
  <c r="O163" i="1"/>
  <c r="O98" i="1"/>
  <c r="O234" i="1"/>
  <c r="O192" i="1"/>
  <c r="O264" i="1"/>
  <c r="O70" i="1"/>
  <c r="O27" i="1"/>
  <c r="O193" i="1"/>
  <c r="O179" i="1"/>
  <c r="O36" i="1"/>
  <c r="O23" i="1"/>
  <c r="O71" i="1"/>
  <c r="O28" i="1"/>
  <c r="O240" i="1"/>
  <c r="O225" i="1"/>
  <c r="O59" i="1"/>
  <c r="O155" i="1"/>
  <c r="O111" i="1"/>
  <c r="O18" i="1"/>
  <c r="O218" i="1"/>
  <c r="O180" i="1"/>
  <c r="O99" i="1"/>
  <c r="O67" i="1"/>
  <c r="O25" i="1"/>
  <c r="O100" i="1"/>
  <c r="O164" i="1"/>
  <c r="O89" i="1"/>
  <c r="O127" i="1"/>
  <c r="O219" i="1"/>
  <c r="O9" i="1"/>
  <c r="O181" i="1"/>
  <c r="O274" i="1"/>
  <c r="O93" i="1"/>
  <c r="O21" i="1"/>
  <c r="O136" i="1"/>
  <c r="O117" i="1"/>
  <c r="O198" i="1"/>
  <c r="O101" i="1"/>
  <c r="O175" i="1"/>
  <c r="O86" i="1"/>
  <c r="O208" i="1"/>
  <c r="O137" i="1"/>
  <c r="O90" i="1"/>
  <c r="O91" i="1"/>
  <c r="O121" i="1"/>
  <c r="O112" i="1"/>
  <c r="O79" i="1"/>
  <c r="O8" i="1"/>
  <c r="O72" i="1"/>
  <c r="O58" i="1"/>
  <c r="O138" i="1"/>
  <c r="O159" i="1"/>
  <c r="O22" i="1"/>
  <c r="O269" i="1"/>
  <c r="O77" i="1"/>
  <c r="O55" i="1"/>
  <c r="O49" i="1"/>
  <c r="O10" i="1"/>
  <c r="O62" i="1"/>
  <c r="O185" i="1"/>
  <c r="O68" i="1"/>
  <c r="O151" i="1"/>
  <c r="O46" i="1"/>
  <c r="O118" i="1"/>
  <c r="O7" i="1"/>
  <c r="O19" i="1"/>
  <c r="O265" i="1"/>
  <c r="O250" i="1"/>
  <c r="O246" i="1"/>
  <c r="O209" i="1"/>
  <c r="O168" i="1"/>
  <c r="O24" i="1"/>
  <c r="O106" i="1"/>
  <c r="O73" i="1"/>
  <c r="O3" i="1"/>
  <c r="O13" i="1"/>
  <c r="O229" i="1"/>
  <c r="O139" i="1"/>
  <c r="O37" i="1"/>
  <c r="O303" i="1"/>
  <c r="O122" i="1"/>
  <c r="O43" i="1"/>
  <c r="O107" i="1"/>
  <c r="O15" i="1"/>
  <c r="O50" i="1"/>
  <c r="O51" i="1"/>
  <c r="O128" i="1"/>
  <c r="O63" i="1"/>
  <c r="O56" i="1"/>
  <c r="O160" i="1"/>
  <c r="O293" i="1"/>
  <c r="O226" i="1"/>
  <c r="O194" i="1"/>
  <c r="O5" i="1"/>
  <c r="O241" i="1"/>
  <c r="O17" i="1"/>
  <c r="O74" i="1"/>
  <c r="O34" i="1"/>
  <c r="O57" i="1"/>
  <c r="O33" i="1"/>
  <c r="O11" i="1"/>
  <c r="O113" i="1"/>
  <c r="O119" i="1"/>
  <c r="O2" i="1"/>
  <c r="O169" i="1"/>
  <c r="O35" i="1"/>
  <c r="O235" i="1"/>
  <c r="O14" i="1"/>
  <c r="O94" i="1"/>
  <c r="O152" i="1"/>
  <c r="O52" i="1"/>
  <c r="O53" i="1"/>
  <c r="O170" i="1"/>
  <c r="O78" i="1"/>
  <c r="O288" i="1"/>
  <c r="O84" i="1"/>
  <c r="O38" i="1"/>
  <c r="O210" i="1"/>
  <c r="O221" i="1"/>
  <c r="O108" i="1"/>
  <c r="O64" i="1"/>
  <c r="O199" i="1"/>
  <c r="O92" i="1"/>
  <c r="O123" i="1"/>
  <c r="O140" i="1"/>
  <c r="O114" i="1"/>
  <c r="O115" i="1"/>
  <c r="O80" i="1"/>
  <c r="O4" i="1"/>
  <c r="O45" i="1"/>
  <c r="O75" i="1"/>
  <c r="O95" i="1"/>
  <c r="O31" i="1"/>
  <c r="O270" i="1"/>
  <c r="B18" i="11"/>
  <c r="E7" i="3"/>
  <c r="E4" i="3"/>
  <c r="E8" i="3"/>
  <c r="E6" i="3"/>
  <c r="E5" i="3"/>
  <c r="S2" i="1" l="1"/>
  <c r="B4" i="17"/>
  <c r="B3" i="17"/>
  <c r="B6" i="17"/>
  <c r="T2" i="1" l="1"/>
  <c r="E6" i="17"/>
  <c r="B9" i="17"/>
  <c r="H6" i="17" l="1"/>
  <c r="U2" i="1"/>
  <c r="K6" i="17" s="1"/>
  <c r="E4" i="17"/>
  <c r="E9" i="17"/>
  <c r="K4" i="17" l="1"/>
  <c r="K9" i="17"/>
  <c r="H9" i="17"/>
  <c r="H4" i="17"/>
</calcChain>
</file>

<file path=xl/sharedStrings.xml><?xml version="1.0" encoding="utf-8"?>
<sst xmlns="http://schemas.openxmlformats.org/spreadsheetml/2006/main" count="133" uniqueCount="72">
  <si>
    <t>age</t>
  </si>
  <si>
    <t>sex</t>
  </si>
  <si>
    <t>cp</t>
  </si>
  <si>
    <t>trestbps</t>
  </si>
  <si>
    <t>chol</t>
  </si>
  <si>
    <t>fbs</t>
  </si>
  <si>
    <t>restecg</t>
  </si>
  <si>
    <t>thalach</t>
  </si>
  <si>
    <t>exang</t>
  </si>
  <si>
    <t>oldpeak</t>
  </si>
  <si>
    <t>slope</t>
  </si>
  <si>
    <t>ca</t>
  </si>
  <si>
    <t>thal</t>
  </si>
  <si>
    <t>target</t>
  </si>
  <si>
    <t>Row Labels</t>
  </si>
  <si>
    <t>Grand Total</t>
  </si>
  <si>
    <t>Sum of target</t>
  </si>
  <si>
    <t>29-38</t>
  </si>
  <si>
    <t>39-48</t>
  </si>
  <si>
    <t>49-58</t>
  </si>
  <si>
    <t>59-68</t>
  </si>
  <si>
    <t>69-78</t>
  </si>
  <si>
    <t>Count of age</t>
  </si>
  <si>
    <t>Gender</t>
  </si>
  <si>
    <t>Female</t>
  </si>
  <si>
    <t>Male</t>
  </si>
  <si>
    <t>Chest Pain</t>
  </si>
  <si>
    <t>Asymptomatic</t>
  </si>
  <si>
    <t>Atypical Angina</t>
  </si>
  <si>
    <t>Non-Anginal Pain</t>
  </si>
  <si>
    <t>Typical Angina</t>
  </si>
  <si>
    <t>Resting Blood Pressure</t>
  </si>
  <si>
    <t>Chest Pain + Target</t>
  </si>
  <si>
    <t>Add BP</t>
  </si>
  <si>
    <t>Add Cholestrol</t>
  </si>
  <si>
    <t>Add Slope</t>
  </si>
  <si>
    <t>Total Patient</t>
  </si>
  <si>
    <t>Heart Target</t>
  </si>
  <si>
    <t>Chest Pain associated with Total Patient</t>
  </si>
  <si>
    <t>Risk Factor Blood Pressure associated with Total Patient</t>
  </si>
  <si>
    <t>Risk Factor Cholestrol associated with Total Patient</t>
  </si>
  <si>
    <t>Slope Indicator associated with Total Patient</t>
  </si>
  <si>
    <t>Variable</t>
  </si>
  <si>
    <t>Description</t>
  </si>
  <si>
    <t>Values/Range</t>
  </si>
  <si>
    <t xml:space="preserve">Age of the Patients </t>
  </si>
  <si>
    <t>29-77 Years</t>
  </si>
  <si>
    <t>0 = Female, 1 = Male</t>
  </si>
  <si>
    <t>0 = Typical Angina, 1 = Atypical Angina, 2 = Non-Anginal Pain, 3 = Asymptomatic</t>
  </si>
  <si>
    <t xml:space="preserve">Blood Pressure </t>
  </si>
  <si>
    <t>Min = 94, Max = 200</t>
  </si>
  <si>
    <t>Cholestrol</t>
  </si>
  <si>
    <t>Fasting Blood Sugar</t>
  </si>
  <si>
    <t>0 = =&lt;120, 1 = &gt;120</t>
  </si>
  <si>
    <t>ECG</t>
  </si>
  <si>
    <t>0 = Normal, 1 = Cardiac Issue, 2 = Heart Disease</t>
  </si>
  <si>
    <t>Maximum Heart Rate during Exercise</t>
  </si>
  <si>
    <t>Max = 202, Min = 71</t>
  </si>
  <si>
    <t>Max = 564, Min = 126</t>
  </si>
  <si>
    <t>Exercise Induced Angina</t>
  </si>
  <si>
    <t>0 = No, 1 = Yes</t>
  </si>
  <si>
    <t>ST Depression</t>
  </si>
  <si>
    <t>Min = 0, Max = 6.2</t>
  </si>
  <si>
    <t>ST Segment Observed</t>
  </si>
  <si>
    <t>0 = UpSloping, 1 = Flat, 2 = DownSloping</t>
  </si>
  <si>
    <t>Angiography</t>
  </si>
  <si>
    <t>Stress Test</t>
  </si>
  <si>
    <t>1 = Normal, 2 = Fixed Defect, 3 = Reversible Defect</t>
  </si>
  <si>
    <t xml:space="preserve">target </t>
  </si>
  <si>
    <t>Outcome</t>
  </si>
  <si>
    <t>0 = No Heart Disease, 1 = Heart Disease</t>
  </si>
  <si>
    <t>0 = No Major Vessel Visualized, 1 = One Major Vessel Visualized, 2 = Two Major Vessel Visualized, 3 = Three Major Vessel Visualized, 4 = Four Major Vessel Visualized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</si>
</sst>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14"/>
      <color theme="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2D6D6"/>
        <bgColor indexed="64"/>
      </patternFill>
    </fill>
    <fill>
      <patternFill patternType="solid">
        <fgColor theme="5" tint="0.79998168889431442"/>
        <bgColor theme="5" tint="0.79998168889431442"/>
      </patternFill>
    </fill>
    <fill>
      <patternFill patternType="solid">
        <fgColor rgb="FFA61C1C"/>
        <bgColor indexed="64"/>
      </patternFill>
    </fill>
    <fill>
      <patternFill patternType="solid">
        <fgColor rgb="FFF2D6D6"/>
        <bgColor theme="5" tint="0.79998168889431442"/>
      </patternFill>
    </fill>
    <fill>
      <patternFill patternType="solid">
        <fgColor rgb="FFA61C1C"/>
        <bgColor theme="5" tint="0.79998168889431442"/>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5" tint="0.39997558519241921"/>
      </left>
      <right/>
      <top/>
      <bottom/>
      <diagonal/>
    </border>
    <border>
      <left/>
      <right style="thin">
        <color theme="5" tint="0.39997558519241921"/>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0" borderId="0" xfId="0" applyAlignment="1">
      <alignment horizontal="left"/>
    </xf>
    <xf numFmtId="0" fontId="0" fillId="0" borderId="0" xfId="0" pivotButton="1"/>
    <xf numFmtId="10" fontId="0" fillId="0" borderId="0" xfId="0" applyNumberFormat="1"/>
    <xf numFmtId="0" fontId="0" fillId="0" borderId="0" xfId="0" applyAlignment="1">
      <alignment wrapText="1"/>
    </xf>
    <xf numFmtId="0" fontId="0" fillId="33" borderId="0" xfId="0" applyFill="1"/>
    <xf numFmtId="0" fontId="0" fillId="33" borderId="0" xfId="0" applyFill="1" applyAlignment="1">
      <alignment horizontal="center" vertical="center"/>
    </xf>
    <xf numFmtId="0" fontId="0" fillId="33" borderId="0" xfId="0" applyFill="1" applyAlignment="1">
      <alignment horizontal="right"/>
    </xf>
    <xf numFmtId="0" fontId="0" fillId="0" borderId="0" xfId="0" quotePrefix="1"/>
    <xf numFmtId="0" fontId="0" fillId="34" borderId="11" xfId="0" applyFill="1" applyBorder="1"/>
    <xf numFmtId="0" fontId="0" fillId="34" borderId="12" xfId="0" applyFill="1" applyBorder="1"/>
    <xf numFmtId="0" fontId="19" fillId="35" borderId="13" xfId="0" applyFont="1" applyFill="1" applyBorder="1"/>
    <xf numFmtId="0" fontId="19" fillId="35" borderId="0" xfId="0" applyFont="1" applyFill="1"/>
    <xf numFmtId="0" fontId="19" fillId="35" borderId="14" xfId="0" applyFont="1" applyFill="1" applyBorder="1"/>
    <xf numFmtId="0" fontId="0" fillId="36" borderId="10" xfId="0" applyFill="1" applyBorder="1"/>
    <xf numFmtId="0" fontId="0" fillId="37" borderId="10" xfId="0" applyFill="1" applyBorder="1"/>
    <xf numFmtId="0" fontId="0" fillId="37" borderId="11" xfId="0" applyFill="1" applyBorder="1"/>
    <xf numFmtId="0" fontId="0" fillId="37" borderId="12" xfId="0" applyFill="1" applyBorder="1"/>
    <xf numFmtId="0" fontId="0" fillId="35" borderId="10" xfId="0" applyFill="1" applyBorder="1"/>
    <xf numFmtId="0" fontId="0" fillId="35" borderId="11" xfId="0" applyFill="1" applyBorder="1"/>
    <xf numFmtId="0" fontId="0" fillId="35" borderId="12" xfId="0" applyFill="1" applyBorder="1"/>
    <xf numFmtId="0" fontId="18" fillId="35" borderId="12" xfId="0" applyFont="1" applyFill="1" applyBorder="1"/>
    <xf numFmtId="0" fontId="0" fillId="35"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fill>
        <patternFill patternType="solid">
          <bgColor rgb="FFA61C1C"/>
        </patternFill>
      </fill>
    </dxf>
    <dxf>
      <font>
        <b/>
        <i val="0"/>
        <strike val="0"/>
        <condense val="0"/>
        <extend val="0"/>
        <outline val="0"/>
        <shadow val="0"/>
        <u val="none"/>
        <vertAlign val="baseline"/>
        <sz val="14"/>
        <color theme="0"/>
        <name val="Calibri"/>
        <family val="2"/>
        <scheme val="minor"/>
      </font>
      <fill>
        <patternFill patternType="solid">
          <fgColor indexed="64"/>
          <bgColor rgb="FFA61C1C"/>
        </patternFill>
      </fill>
    </dxf>
    <dxf>
      <fill>
        <patternFill patternType="solid">
          <bgColor rgb="FFA61C1C"/>
        </patternFill>
      </fill>
    </dxf>
    <dxf>
      <fill>
        <patternFill patternType="solid">
          <bgColor rgb="FFA61C1C"/>
        </patternFill>
      </fill>
    </dxf>
    <dxf>
      <fill>
        <patternFill patternType="solid">
          <bgColor rgb="FFA61C1C"/>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5" tint="0.39997558519241921"/>
        </top>
        <bottom style="thin">
          <color theme="5" tint="0.39997558519241921"/>
        </bottom>
      </border>
    </dxf>
  </dxfs>
  <tableStyles count="0" defaultTableStyle="TableStyleMedium2" defaultPivotStyle="PivotStyleLight16"/>
  <colors>
    <mruColors>
      <color rgb="FFA61C1C"/>
      <color rgb="FFF2D6D6"/>
      <color rgb="FFC93A3A"/>
      <color rgb="FF4A0404"/>
      <color rgb="FF7A0C0C"/>
      <color rgb="FF1F4E79"/>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[heart_disease_data.xlsm]OC-1!PivotTable1</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solidFill>
                  <a:srgbClr val="4A0404"/>
                </a:solidFill>
              </a:rPr>
              <a:t>Heart Disease Contribution By Age</a:t>
            </a:r>
          </a:p>
        </c:rich>
      </c:tx>
      <c:layout>
        <c:manualLayout>
          <c:xMode val="edge"/>
          <c:yMode val="edge"/>
          <c:x val="0.12276377952755906"/>
          <c:y val="1.3888888888888888E-2"/>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'OC-1'!$B$3</c:f>
              <c:strCache>
                <c:ptCount val="1"/>
                <c:pt idx="0">
                  <c:v>Sum of target</c:v>
                </c:pt>
              </c:strCache>
            </c:strRef>
          </c:tx>
          <c:explosion val="19"/>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A56A-4842-9568-CD6D233E2704}"/>
              </c:ext>
            </c:extLst>
          </c:dPt>
          <c:dPt>
            <c:idx val="1"/>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A56A-4842-9568-CD6D233E2704}"/>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A56A-4842-9568-CD6D233E2704}"/>
              </c:ext>
            </c:extLst>
          </c:dPt>
          <c:dPt>
            <c:idx val="3"/>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A56A-4842-9568-CD6D233E2704}"/>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A56A-4842-9568-CD6D233E270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'OC-1'!$A$4:$A$9</c:f>
              <c:strCache>
                <c:ptCount val="5"/>
                <c:pt idx="0">
                  <c:v>29-38</c:v>
                </c:pt>
                <c:pt idx="1">
                  <c:v>39-48</c:v>
                </c:pt>
                <c:pt idx="2">
                  <c:v>49-58</c:v>
                </c:pt>
                <c:pt idx="3">
                  <c:v>59-68</c:v>
                </c:pt>
                <c:pt idx="4">
                  <c:v>69-78</c:v>
                </c:pt>
              </c:strCache>
            </c:strRef>
          </c:cat>
          <c:val>
            <c:numRef>
              <c:f>'OC-1'!$B$4:$B$9</c:f>
              <c:numCache>
                <c:formatCode>General</c:formatCode>
                <c:ptCount val="5"/>
                <c:pt idx="0">
                  <c:v>9</c:v>
                </c:pt>
                <c:pt idx="1">
                  <c:v>50</c:v>
                </c:pt>
                <c:pt idx="2">
                  <c:v>63</c:v>
                </c:pt>
                <c:pt idx="3">
                  <c:v>35</c:v>
                </c:pt>
                <c:pt idx="4">
                  <c:v>8</c:v>
                </c:pt>
              </c:numCache>
            </c:numRef>
          </c:val>
          <c:extLst>
            <c:ext xmlns:c16="http://schemas.microsoft.com/office/drawing/2014/chart" uri="{C3380CC4-5D6E-409C-BE32-E72D297353CC}">
              <c16:uniqueId val="{00000000-A56A-4842-9568-CD6D233E2704}"/>
            </c:ext>
          </c:extLst>
        </c:ser>
        <c:ser>
          <c:idx val="1"/>
          <c:order val="1"/>
          <c:tx>
            <c:strRef>
              <c:f>'OC-1'!$C$3</c:f>
              <c:strCache>
                <c:ptCount val="1"/>
                <c:pt idx="0">
                  <c:v>Count of age</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A56A-4842-9568-CD6D233E2704}"/>
              </c:ext>
            </c:extLst>
          </c:dPt>
          <c:dPt>
            <c:idx val="1"/>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A56A-4842-9568-CD6D233E2704}"/>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A56A-4842-9568-CD6D233E2704}"/>
              </c:ext>
            </c:extLst>
          </c:dPt>
          <c:dPt>
            <c:idx val="3"/>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A56A-4842-9568-CD6D233E2704}"/>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A56A-4842-9568-CD6D233E270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'OC-1'!$A$4:$A$9</c:f>
              <c:strCache>
                <c:ptCount val="5"/>
                <c:pt idx="0">
                  <c:v>29-38</c:v>
                </c:pt>
                <c:pt idx="1">
                  <c:v>39-48</c:v>
                </c:pt>
                <c:pt idx="2">
                  <c:v>49-58</c:v>
                </c:pt>
                <c:pt idx="3">
                  <c:v>59-68</c:v>
                </c:pt>
                <c:pt idx="4">
                  <c:v>69-78</c:v>
                </c:pt>
              </c:strCache>
            </c:strRef>
          </c:cat>
          <c:val>
            <c:numRef>
              <c:f>'OC-1'!$C$4:$C$9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1-A56A-4842-9568-CD6D233E2704}"/>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A0404"/>
                </a:solidFill>
              </a:rPr>
              <a:t>Gender</a:t>
            </a:r>
            <a:r>
              <a:rPr lang="en-US" b="1" baseline="0">
                <a:solidFill>
                  <a:srgbClr val="4A0404"/>
                </a:solidFill>
              </a:rPr>
              <a:t> Based Heart Disease</a:t>
            </a:r>
            <a:endParaRPr lang="en-US" b="1">
              <a:solidFill>
                <a:srgbClr val="4A0404"/>
              </a:solidFill>
            </a:endParaRPr>
          </a:p>
        </c:rich>
      </c:tx>
      <c:layout>
        <c:manualLayout>
          <c:xMode val="edge"/>
          <c:yMode val="edge"/>
          <c:x val="0.28425"/>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A040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'OC-2'!$B$3</c:f>
              <c:strCache>
                <c:ptCount val="1"/>
                <c:pt idx="0">
                  <c:v>Total</c:v>
                </c:pt>
              </c:strCache>
            </c:strRef>
          </c:tx>
          <c:spPr>
            <a:solidFill>
              <a:srgbClr val="4A040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'OC-2'!$A$4:$A$6</c:f>
              <c:strCache>
                <c:ptCount val="2"/>
                <c:pt idx="0">
                  <c:v>Male</c:v>
                </c:pt>
                <c:pt idx="1">
                  <c:v>Female</c:v>
                </c:pt>
              </c:strCache>
            </c:strRef>
          </c:cat>
          <c:val>
            <c:numRef>
              <c:f>'OC-2'!$B$4:$B$6</c:f>
              <c:numCache>
                <c:formatCode>General</c:formatCode>
                <c:ptCount val="2"/>
                <c:pt idx="0">
                  <c:v>93</c:v>
                </c:pt>
                <c:pt idx="1">
                  <c:v>72</c:v>
                </c:pt>
              </c:numCache>
            </c:numRef>
          </c:val>
          <c:extLst>
            <c:ext xmlns:c16="http://schemas.microsoft.com/office/drawing/2014/chart" uri="{C3380CC4-5D6E-409C-BE32-E72D297353CC}">
              <c16:uniqueId val="{00000000-D6D7-4A92-BBBF-1FCCAAA500FE}"/>
            </c:ext>
          </c:extLst>
        </c:ser>
        <c:dLbls>
          <c:showLegendKey val="0"/>
          <c:showVal val="0"/>
          <c:showCatName val="0"/>
          <c:showSerName val="0"/>
          <c:showPercent val="0"/>
          <c:showBubbleSize val="0"/>
        </c:dLbls>
        <c:gapWidth val="219"/>
        <c:overlap val="-27"/>
        <c:axId val="1269604256"/>
        <c:axId val="1269612896"/>
      </c:barChart>
      <c:catAx>
        <c:axId val="126960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12896"/>
        <c:crosses val="autoZero"/>
        <c:auto val="1"/>
        <c:lblAlgn val="ctr"/>
        <c:lblOffset val="100"/>
        <c:noMultiLvlLbl val="0"/>
      </c:catAx>
      <c:valAx>
        <c:axId val="12696128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04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A0C0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[heart_disease_data.xlsm]OC-3!PivotTable3</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rgbClr val="4A0404"/>
                </a:solidFill>
              </a:rPr>
              <a:t>Chest Pain vs Heart Disease</a:t>
            </a:r>
          </a:p>
        </c:rich>
      </c:tx>
      <c:layout>
        <c:manualLayout>
          <c:xMode val="edge"/>
          <c:yMode val="edge"/>
          <c:x val="0.27530555555555558"/>
          <c:y val="1.388888888888888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'OC-3'!$B$3</c:f>
              <c:strCache>
                <c:ptCount val="1"/>
                <c:pt idx="0">
                  <c:v>Total</c:v>
                </c:pt>
              </c:strCache>
            </c:strRef>
          </c:tx>
          <c:spPr>
            <a:solidFill>
              <a:srgbClr val="4A0404"/>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'OC-3'!$A$4:$A$8</c:f>
              <c:strCache>
                <c:ptCount val="4"/>
                <c:pt idx="0">
                  <c:v>Asymptomatic</c:v>
                </c:pt>
                <c:pt idx="1">
                  <c:v>Typical Angina</c:v>
                </c:pt>
                <c:pt idx="2">
                  <c:v>Atypical Angina</c:v>
                </c:pt>
                <c:pt idx="3">
                  <c:v>Non-Anginal Pain</c:v>
                </c:pt>
              </c:strCache>
            </c:strRef>
          </c:cat>
          <c:val>
            <c:numRef>
              <c:f>'OC-3'!$B$4:$B$8</c:f>
              <c:numCache>
                <c:formatCode>General</c:formatCode>
                <c:ptCount val="4"/>
                <c:pt idx="0">
                  <c:v>16</c:v>
                </c:pt>
                <c:pt idx="1">
                  <c:v>39</c:v>
                </c:pt>
                <c:pt idx="2">
                  <c:v>41</c:v>
                </c:pt>
                <c:pt idx="3">
                  <c:v>69</c:v>
                </c:pt>
              </c:numCache>
            </c:numRef>
          </c:val>
          <c:extLst>
            <c:ext xmlns:c16="http://schemas.microsoft.com/office/drawing/2014/chart" uri="{C3380CC4-5D6E-409C-BE32-E72D297353CC}">
              <c16:uniqueId val="{00000000-6CD7-4602-9EB4-CCF25EAF4140}"/>
            </c:ext>
          </c:extLst>
        </c:ser>
        <c:dLbls>
          <c:showLegendKey val="0"/>
          <c:showVal val="0"/>
          <c:showCatName val="0"/>
          <c:showSerName val="0"/>
          <c:showPercent val="0"/>
          <c:showBubbleSize val="0"/>
        </c:dLbls>
        <c:gapWidth val="100"/>
        <c:axId val="1269605696"/>
        <c:axId val="1269598976"/>
      </c:barChart>
      <c:catAx>
        <c:axId val="1269605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8976"/>
        <c:crosses val="autoZero"/>
        <c:auto val="1"/>
        <c:lblAlgn val="ctr"/>
        <c:lblOffset val="100"/>
        <c:noMultiLvlLbl val="0"/>
      </c:catAx>
      <c:valAx>
        <c:axId val="1269598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05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[heart_disease_data.xlsm]OC-4!PivotTable4</c:name>
    <c:fmtId val="0"/>
  </c:pivotSource>
  <c:chart>
    <c:title>
      <c:tx>
        <c:rich>
          <a:bodyPr rot="0" spcFirstLastPara="1" vertOverflow="ellipsis" vert="horz" wrap="square" anchor="ctr" anchorCtr="1"/>
          <a:lstStyle/>
          <a:p>
            <a:pPr>
              <a:defRPr sz="1300" b="0" i="0" u="none" strike="noStrike" kern="1200" cap="none" spc="20" baseline="0">
                <a:solidFill>
                  <a:schemeClr val="tx1">
                    <a:lumMod val="50000"/>
                    <a:lumOff val="50000"/>
                  </a:schemeClr>
                </a:solidFill>
                <a:latin typeface="+mn-lt"/>
                <a:ea typeface="+mn-ea"/>
                <a:cs typeface="+mn-cs"/>
              </a:defRPr>
            </a:pPr>
            <a:r>
              <a:rPr lang="en-IN" sz="1300" b="1">
                <a:solidFill>
                  <a:srgbClr val="4A0404"/>
                </a:solidFill>
              </a:rPr>
              <a:t>Maximum Heart Rate Achieved vs Heart Disease</a:t>
            </a:r>
            <a:endParaRPr lang="en-US" sz="1300" b="1">
              <a:solidFill>
                <a:srgbClr val="4A0404"/>
              </a:solidFill>
            </a:endParaRPr>
          </a:p>
        </c:rich>
      </c:tx>
      <c:layout>
        <c:manualLayout>
          <c:xMode val="edge"/>
          <c:yMode val="edge"/>
          <c:x val="0.11208333333333333"/>
          <c:y val="9.2592592592592587E-3"/>
        </c:manualLayout>
      </c:layout>
      <c:overlay val="0"/>
      <c:spPr>
        <a:noFill/>
        <a:ln>
          <a:noFill/>
        </a:ln>
        <a:effectLst/>
      </c:spPr>
      <c:txPr>
        <a:bodyPr rot="0" spcFirstLastPara="1" vertOverflow="ellipsis" vert="horz" wrap="square" anchor="ctr" anchorCtr="1"/>
        <a:lstStyle/>
        <a:p>
          <a:pPr>
            <a:defRPr sz="13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'OC-4'!$B$3</c:f>
              <c:strCache>
                <c:ptCount val="1"/>
                <c:pt idx="0">
                  <c:v>Total</c:v>
                </c:pt>
              </c:strCache>
            </c:strRef>
          </c:tx>
          <c:spPr>
            <a:solidFill>
              <a:srgbClr val="4A0404"/>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'OC-4'!$A$4:$A$9</c:f>
              <c:strCache>
                <c:ptCount val="5"/>
                <c:pt idx="0">
                  <c:v>152</c:v>
                </c:pt>
                <c:pt idx="1">
                  <c:v>162</c:v>
                </c:pt>
                <c:pt idx="2">
                  <c:v>163</c:v>
                </c:pt>
                <c:pt idx="3">
                  <c:v>172</c:v>
                </c:pt>
                <c:pt idx="4">
                  <c:v>173</c:v>
                </c:pt>
              </c:strCache>
            </c:strRef>
          </c:cat>
          <c:val>
            <c:numRef>
              <c:f>'OC-4'!$B$4:$B$9</c:f>
              <c:numCache>
                <c:formatCode>General</c:formatCode>
                <c:ptCount val="5"/>
                <c:pt idx="0">
                  <c:v>6</c:v>
                </c:pt>
                <c:pt idx="1">
                  <c:v>8</c:v>
                </c:pt>
                <c:pt idx="2">
                  <c:v>7</c:v>
                </c:pt>
                <c:pt idx="3">
                  <c:v>7</c:v>
                </c:pt>
                <c:pt idx="4">
                  <c:v>6</c:v>
                </c:pt>
              </c:numCache>
            </c:numRef>
          </c:val>
          <c:extLst>
            <c:ext xmlns:c16="http://schemas.microsoft.com/office/drawing/2014/chart" uri="{C3380CC4-5D6E-409C-BE32-E72D297353CC}">
              <c16:uniqueId val="{00000000-A457-46EE-AF6E-FCF7C4791D0C}"/>
            </c:ext>
          </c:extLst>
        </c:ser>
        <c:dLbls>
          <c:showLegendKey val="0"/>
          <c:showVal val="0"/>
          <c:showCatName val="0"/>
          <c:showSerName val="0"/>
          <c:showPercent val="0"/>
          <c:showBubbleSize val="0"/>
        </c:dLbls>
        <c:gapWidth val="100"/>
        <c:axId val="1269630176"/>
        <c:axId val="1269652736"/>
      </c:barChart>
      <c:catAx>
        <c:axId val="1269630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52736"/>
        <c:crosses val="autoZero"/>
        <c:auto val="1"/>
        <c:lblAlgn val="ctr"/>
        <c:lblOffset val="100"/>
        <c:noMultiLvlLbl val="0"/>
      </c:catAx>
      <c:valAx>
        <c:axId val="1269652736"/>
        <c:scaling>
          <c:orientation val="minMax"/>
        </c:scaling>
        <c:delete val="1"/>
        <c:axPos val="b"/>
        <c:numFmt formatCode="General" sourceLinked="1"/>
        <c:majorTickMark val="none"/>
        <c:minorTickMark val="none"/>
        <c:tickLblPos val="nextTo"/>
        <c:crossAx val="126963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[heart_disease_data.xlsm]OC-5!PivotTable5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'OC-5'!$B$3</c:f>
              <c:strCache>
                <c:ptCount val="1"/>
                <c:pt idx="0">
                  <c:v>Total</c:v>
                </c:pt>
              </c:strCache>
            </c:strRef>
          </c:tx>
          <c:spPr>
            <a:solidFill>
              <a:schemeClr val="accent1"/>
            </a:solidFill>
            <a:ln>
              <a:noFill/>
            </a:ln>
            <a:effectLst/>
          </c:spPr>
          <c:invertIfNegative val="0"/>
          <c:cat>
            <c:strRef>
              <c:f>'OC-5'!$A$4:$A$9</c:f>
              <c:strCache>
                <c:ptCount val="5"/>
                <c:pt idx="0">
                  <c:v>120</c:v>
                </c:pt>
                <c:pt idx="1">
                  <c:v>130</c:v>
                </c:pt>
                <c:pt idx="2">
                  <c:v>138</c:v>
                </c:pt>
                <c:pt idx="3">
                  <c:v>140</c:v>
                </c:pt>
                <c:pt idx="4">
                  <c:v>150</c:v>
                </c:pt>
              </c:strCache>
            </c:strRef>
          </c:cat>
          <c:val>
            <c:numRef>
              <c:f>'OC-5'!$B$4:$B$9</c:f>
              <c:numCache>
                <c:formatCode>General</c:formatCode>
                <c:ptCount val="5"/>
                <c:pt idx="0">
                  <c:v>23</c:v>
                </c:pt>
                <c:pt idx="1">
                  <c:v>23</c:v>
                </c:pt>
                <c:pt idx="2">
                  <c:v>10</c:v>
                </c:pt>
                <c:pt idx="3">
                  <c:v>17</c:v>
                </c:pt>
                <c:pt idx="4">
                  <c:v>9</c:v>
                </c:pt>
              </c:numCache>
            </c:numRef>
          </c:val>
          <c:extLst>
            <c:ext xmlns:c16="http://schemas.microsoft.com/office/drawing/2014/chart" uri="{C3380CC4-5D6E-409C-BE32-E72D297353CC}">
              <c16:uniqueId val="{00000000-FFB8-4C2C-B7B0-97FA1668951C}"/>
            </c:ext>
          </c:extLst>
        </c:ser>
        <c:dLbls>
          <c:showLegendKey val="0"/>
          <c:showVal val="0"/>
          <c:showCatName val="0"/>
          <c:showSerName val="0"/>
          <c:showPercent val="0"/>
          <c:showBubbleSize val="0"/>
        </c:dLbls>
        <c:gapWidth val="219"/>
        <c:overlap val="-27"/>
        <c:axId val="1269627296"/>
        <c:axId val="1269650816"/>
      </c:barChart>
      <c:catAx>
        <c:axId val="126962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50816"/>
        <c:crosses val="autoZero"/>
        <c:auto val="1"/>
        <c:lblAlgn val="ctr"/>
        <c:lblOffset val="100"/>
        <c:noMultiLvlLbl val="0"/>
      </c:catAx>
      <c:valAx>
        <c:axId val="126965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2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[heart_disease_data.xlsm]OC-5!PivotTable5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'OC-5'!$B$3</c:f>
              <c:strCache>
                <c:ptCount val="1"/>
                <c:pt idx="0">
                  <c:v>Total</c:v>
                </c:pt>
              </c:strCache>
            </c:strRef>
          </c:tx>
          <c:spPr>
            <a:solidFill>
              <a:schemeClr val="accent1"/>
            </a:solidFill>
            <a:ln>
              <a:noFill/>
            </a:ln>
            <a:effectLst/>
          </c:spPr>
          <c:invertIfNegative val="0"/>
          <c:cat>
            <c:strRef>
              <c:f>'OC-5'!$A$4:$A$9</c:f>
              <c:strCache>
                <c:ptCount val="5"/>
                <c:pt idx="0">
                  <c:v>120</c:v>
                </c:pt>
                <c:pt idx="1">
                  <c:v>130</c:v>
                </c:pt>
                <c:pt idx="2">
                  <c:v>138</c:v>
                </c:pt>
                <c:pt idx="3">
                  <c:v>140</c:v>
                </c:pt>
                <c:pt idx="4">
                  <c:v>150</c:v>
                </c:pt>
              </c:strCache>
            </c:strRef>
          </c:cat>
          <c:val>
            <c:numRef>
              <c:f>'OC-5'!$B$4:$B$9</c:f>
              <c:numCache>
                <c:formatCode>General</c:formatCode>
                <c:ptCount val="5"/>
                <c:pt idx="0">
                  <c:v>23</c:v>
                </c:pt>
                <c:pt idx="1">
                  <c:v>23</c:v>
                </c:pt>
                <c:pt idx="2">
                  <c:v>10</c:v>
                </c:pt>
                <c:pt idx="3">
                  <c:v>17</c:v>
                </c:pt>
                <c:pt idx="4">
                  <c:v>9</c:v>
                </c:pt>
              </c:numCache>
            </c:numRef>
          </c:val>
          <c:extLst>
            <c:ext xmlns:c16="http://schemas.microsoft.com/office/drawing/2014/chart" uri="{C3380CC4-5D6E-409C-BE32-E72D297353CC}">
              <c16:uniqueId val="{00000000-172D-406B-A7EC-718C5BBCC4B9}"/>
            </c:ext>
          </c:extLst>
        </c:ser>
        <c:dLbls>
          <c:showLegendKey val="0"/>
          <c:showVal val="0"/>
          <c:showCatName val="0"/>
          <c:showSerName val="0"/>
          <c:showPercent val="0"/>
          <c:showBubbleSize val="0"/>
        </c:dLbls>
        <c:gapWidth val="219"/>
        <c:overlap val="-27"/>
        <c:axId val="1269614336"/>
        <c:axId val="1269596096"/>
      </c:barChart>
      <c:catAx>
        <c:axId val="126961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596096"/>
        <c:crosses val="autoZero"/>
        <c:auto val="1"/>
        <c:lblAlgn val="ctr"/>
        <c:lblOffset val="100"/>
        <c:noMultiLvlLbl val="0"/>
      </c:catAx>
      <c:valAx>
        <c:axId val="126959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14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[heart_disease_data.xlsm]OC-5!PivotTable5</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'OC-5'!$B$3</c:f>
              <c:strCache>
                <c:ptCount val="1"/>
                <c:pt idx="0">
                  <c:v>Total</c:v>
                </c:pt>
              </c:strCache>
            </c:strRef>
          </c:tx>
          <c:spPr>
            <a:solidFill>
              <a:schemeClr val="accent1"/>
            </a:solidFill>
            <a:ln>
              <a:noFill/>
            </a:ln>
            <a:effectLst/>
          </c:spPr>
          <c:invertIfNegative val="0"/>
          <c:cat>
            <c:strRef>
              <c:f>'OC-5'!$A$4:$A$9</c:f>
              <c:strCache>
                <c:ptCount val="5"/>
                <c:pt idx="0">
                  <c:v>120</c:v>
                </c:pt>
                <c:pt idx="1">
                  <c:v>130</c:v>
                </c:pt>
                <c:pt idx="2">
                  <c:v>138</c:v>
                </c:pt>
                <c:pt idx="3">
                  <c:v>140</c:v>
                </c:pt>
                <c:pt idx="4">
                  <c:v>150</c:v>
                </c:pt>
              </c:strCache>
            </c:strRef>
          </c:cat>
          <c:val>
            <c:numRef>
              <c:f>'OC-5'!$B$4:$B$9</c:f>
              <c:numCache>
                <c:formatCode>General</c:formatCode>
                <c:ptCount val="5"/>
                <c:pt idx="0">
                  <c:v>23</c:v>
                </c:pt>
                <c:pt idx="1">
                  <c:v>23</c:v>
                </c:pt>
                <c:pt idx="2">
                  <c:v>10</c:v>
                </c:pt>
                <c:pt idx="3">
                  <c:v>17</c:v>
                </c:pt>
                <c:pt idx="4">
                  <c:v>9</c:v>
                </c:pt>
              </c:numCache>
            </c:numRef>
          </c:val>
          <c:extLst>
            <c:ext xmlns:c16="http://schemas.microsoft.com/office/drawing/2014/chart" uri="{C3380CC4-5D6E-409C-BE32-E72D297353CC}">
              <c16:uniqueId val="{00000000-A9E8-4B1C-9708-67442917CF7A}"/>
            </c:ext>
          </c:extLst>
        </c:ser>
        <c:dLbls>
          <c:showLegendKey val="0"/>
          <c:showVal val="0"/>
          <c:showCatName val="0"/>
          <c:showSerName val="0"/>
          <c:showPercent val="0"/>
          <c:showBubbleSize val="0"/>
        </c:dLbls>
        <c:gapWidth val="219"/>
        <c:overlap val="-27"/>
        <c:axId val="1269614816"/>
        <c:axId val="1269600896"/>
      </c:barChart>
      <c:catAx>
        <c:axId val="126961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00896"/>
        <c:crosses val="autoZero"/>
        <c:auto val="1"/>
        <c:lblAlgn val="ctr"/>
        <c:lblOffset val="100"/>
        <c:noMultiLvlLbl val="0"/>
      </c:catAx>
      <c:valAx>
        <c:axId val="126960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14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[heart_disease_data.xlsm]OC-5!PivotTable5</c:name>
    <c:fmtId val="4"/>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400">
                <a:solidFill>
                  <a:srgbClr val="4A0404"/>
                </a:solidFill>
              </a:rPr>
              <a:t>Top 05 Blood Pressure vs Heart Disease</a:t>
            </a:r>
          </a:p>
        </c:rich>
      </c:tx>
      <c:layout>
        <c:manualLayout>
          <c:xMode val="edge"/>
          <c:yMode val="edge"/>
          <c:x val="0.1382985564304462"/>
          <c:y val="1.388888888888888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'OC-5'!$B$3</c:f>
              <c:strCache>
                <c:ptCount val="1"/>
                <c:pt idx="0">
                  <c:v>Total</c:v>
                </c:pt>
              </c:strCache>
            </c:strRef>
          </c:tx>
          <c:spPr>
            <a:solidFill>
              <a:srgbClr val="4A0404"/>
            </a:solid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minus"/>
            <c:errValType val="percentage"/>
            <c:noEndCap val="1"/>
            <c:val val="100"/>
            <c:spPr>
              <a:noFill/>
              <a:ln w="9525">
                <a:solidFill>
                  <a:schemeClr val="tx1">
                    <a:lumMod val="50000"/>
                    <a:lumOff val="50000"/>
                  </a:schemeClr>
                </a:solidFill>
                <a:round/>
              </a:ln>
              <a:effectLst/>
            </c:spPr>
          </c:errBars>
          <c:cat>
            <c:strRef>
              <c:f>'OC-5'!$A$4:$A$9</c:f>
              <c:strCache>
                <c:ptCount val="5"/>
                <c:pt idx="0">
                  <c:v>120</c:v>
                </c:pt>
                <c:pt idx="1">
                  <c:v>130</c:v>
                </c:pt>
                <c:pt idx="2">
                  <c:v>138</c:v>
                </c:pt>
                <c:pt idx="3">
                  <c:v>140</c:v>
                </c:pt>
                <c:pt idx="4">
                  <c:v>150</c:v>
                </c:pt>
              </c:strCache>
            </c:strRef>
          </c:cat>
          <c:val>
            <c:numRef>
              <c:f>'OC-5'!$B$4:$B$9</c:f>
              <c:numCache>
                <c:formatCode>General</c:formatCode>
                <c:ptCount val="5"/>
                <c:pt idx="0">
                  <c:v>23</c:v>
                </c:pt>
                <c:pt idx="1">
                  <c:v>23</c:v>
                </c:pt>
                <c:pt idx="2">
                  <c:v>10</c:v>
                </c:pt>
                <c:pt idx="3">
                  <c:v>17</c:v>
                </c:pt>
                <c:pt idx="4">
                  <c:v>9</c:v>
                </c:pt>
              </c:numCache>
            </c:numRef>
          </c:val>
          <c:extLst>
            <c:ext xmlns:c16="http://schemas.microsoft.com/office/drawing/2014/chart" uri="{C3380CC4-5D6E-409C-BE32-E72D297353CC}">
              <c16:uniqueId val="{00000000-80F9-40E1-A449-8A323391B492}"/>
            </c:ext>
          </c:extLst>
        </c:ser>
        <c:dLbls>
          <c:dLblPos val="outEnd"/>
          <c:showLegendKey val="0"/>
          <c:showVal val="1"/>
          <c:showCatName val="0"/>
          <c:showSerName val="0"/>
          <c:showPercent val="0"/>
          <c:showBubbleSize val="0"/>
        </c:dLbls>
        <c:gapWidth val="164"/>
        <c:overlap val="-22"/>
        <c:axId val="1269590816"/>
        <c:axId val="1269591296"/>
      </c:barChart>
      <c:catAx>
        <c:axId val="12695908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1296"/>
        <c:crosses val="autoZero"/>
        <c:auto val="1"/>
        <c:lblAlgn val="ctr"/>
        <c:lblOffset val="100"/>
        <c:noMultiLvlLbl val="0"/>
      </c:catAx>
      <c:valAx>
        <c:axId val="12695912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[heart_disease_data.xlsm]OC-6!PivotTable6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A0404"/>
                </a:solidFill>
              </a:rPr>
              <a:t>Top 05 Cholestrol</a:t>
            </a:r>
            <a:r>
              <a:rPr lang="en-US" b="1" baseline="0">
                <a:solidFill>
                  <a:srgbClr val="4A0404"/>
                </a:solidFill>
              </a:rPr>
              <a:t> vs Heart Disease</a:t>
            </a:r>
            <a:endParaRPr lang="en-US" b="1">
              <a:solidFill>
                <a:srgbClr val="4A0404"/>
              </a:solidFill>
            </a:endParaRPr>
          </a:p>
        </c:rich>
      </c:tx>
      <c:layout>
        <c:manualLayout>
          <c:xMode val="edge"/>
          <c:yMode val="edge"/>
          <c:x val="0.20777777777777776"/>
          <c:y val="8.238553514144066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'OC-6'!$B$3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A0404"/>
                </a:solidFill>
                <a:round/>
                <a:tailEnd type="oval"/>
              </a:ln>
              <a:effectLst/>
            </c:spPr>
          </c:errBars>
          <c:cat>
            <c:strRef>
              <c:f>'OC-6'!$A$4:$A$10</c:f>
              <c:strCache>
                <c:ptCount val="6"/>
                <c:pt idx="0">
                  <c:v>197</c:v>
                </c:pt>
                <c:pt idx="1">
                  <c:v>204</c:v>
                </c:pt>
                <c:pt idx="2">
                  <c:v>211</c:v>
                </c:pt>
                <c:pt idx="3">
                  <c:v>226</c:v>
                </c:pt>
                <c:pt idx="4">
                  <c:v>234</c:v>
                </c:pt>
                <c:pt idx="5">
                  <c:v>240</c:v>
                </c:pt>
              </c:strCache>
            </c:strRef>
          </c:cat>
          <c:val>
            <c:numRef>
              <c:f>'OC-6'!$B$4:$B$10</c:f>
              <c:numCache>
                <c:formatCode>General</c:formatCode>
                <c:ptCount val="6"/>
                <c:pt idx="0">
                  <c:v>4</c:v>
                </c:pt>
                <c:pt idx="1">
                  <c:v>4</c:v>
                </c:pt>
                <c:pt idx="2">
                  <c:v>4</c:v>
                </c:pt>
                <c:pt idx="3">
                  <c:v>4</c:v>
                </c:pt>
                <c:pt idx="4">
                  <c:v>4</c:v>
                </c:pt>
                <c:pt idx="5">
                  <c:v>4</c:v>
                </c:pt>
              </c:numCache>
            </c:numRef>
          </c:val>
          <c:extLst>
            <c:ext xmlns:c16="http://schemas.microsoft.com/office/drawing/2014/chart" uri="{C3380CC4-5D6E-409C-BE32-E72D297353CC}">
              <c16:uniqueId val="{00000000-9705-4A28-9954-6286440A758D}"/>
            </c:ext>
          </c:extLst>
        </c:ser>
        <c:dLbls>
          <c:dLblPos val="outEnd"/>
          <c:showLegendKey val="0"/>
          <c:showVal val="1"/>
          <c:showCatName val="0"/>
          <c:showSerName val="0"/>
          <c:showPercent val="0"/>
          <c:showBubbleSize val="0"/>
        </c:dLbls>
        <c:gapWidth val="182"/>
        <c:axId val="1269621536"/>
        <c:axId val="1269636416"/>
      </c:barChart>
      <c:catAx>
        <c:axId val="1269621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36416"/>
        <c:crosses val="autoZero"/>
        <c:auto val="1"/>
        <c:lblAlgn val="ctr"/>
        <c:lblOffset val="100"/>
        <c:noMultiLvlLbl val="0"/>
      </c:catAx>
      <c:valAx>
        <c:axId val="1269636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21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[heart_disease_data.xlsm]OC-1!PivotTable1</c:name>
    <c:fmtId val="5"/>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400">
                <a:solidFill>
                  <a:srgbClr val="4A0404"/>
                </a:solidFill>
              </a:rPr>
              <a:t>Heart Disease Contribution By Age</a:t>
            </a:r>
          </a:p>
        </c:rich>
      </c:tx>
      <c:layout>
        <c:manualLayout>
          <c:xMode val="edge"/>
          <c:yMode val="edge"/>
          <c:x val="0.14129840435882468"/>
          <c:y val="1.3888888888888888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'OC-1'!$B$3</c:f>
              <c:strCache>
                <c:ptCount val="1"/>
                <c:pt idx="0">
                  <c:v>Sum of target</c:v>
                </c:pt>
              </c:strCache>
            </c:strRef>
          </c:tx>
          <c:explosion val="19"/>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BF9B-4CA8-A357-0781C3FC0D74}"/>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BF9B-4CA8-A357-0781C3FC0D74}"/>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BF9B-4CA8-A357-0781C3FC0D74}"/>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BF9B-4CA8-A357-0781C3FC0D74}"/>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BF9B-4CA8-A357-0781C3FC0D74}"/>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BF9B-4CA8-A357-0781C3FC0D74}"/>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BF9B-4CA8-A357-0781C3FC0D74}"/>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BF9B-4CA8-A357-0781C3FC0D74}"/>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BF9B-4CA8-A357-0781C3FC0D74}"/>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BF9B-4CA8-A357-0781C3FC0D7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'OC-1'!$A$4:$A$9</c:f>
              <c:strCache>
                <c:ptCount val="5"/>
                <c:pt idx="0">
                  <c:v>29-38</c:v>
                </c:pt>
                <c:pt idx="1">
                  <c:v>39-48</c:v>
                </c:pt>
                <c:pt idx="2">
                  <c:v>49-58</c:v>
                </c:pt>
                <c:pt idx="3">
                  <c:v>59-68</c:v>
                </c:pt>
                <c:pt idx="4">
                  <c:v>69-78</c:v>
                </c:pt>
              </c:strCache>
            </c:strRef>
          </c:cat>
          <c:val>
            <c:numRef>
              <c:f>'OC-1'!$B$4:$B$9</c:f>
              <c:numCache>
                <c:formatCode>General</c:formatCode>
                <c:ptCount val="5"/>
                <c:pt idx="0">
                  <c:v>9</c:v>
                </c:pt>
                <c:pt idx="1">
                  <c:v>50</c:v>
                </c:pt>
                <c:pt idx="2">
                  <c:v>63</c:v>
                </c:pt>
                <c:pt idx="3">
                  <c:v>35</c:v>
                </c:pt>
                <c:pt idx="4">
                  <c:v>8</c:v>
                </c:pt>
              </c:numCache>
            </c:numRef>
          </c:val>
          <c:extLst>
            <c:ext xmlns:c16="http://schemas.microsoft.com/office/drawing/2014/chart" uri="{C3380CC4-5D6E-409C-BE32-E72D297353CC}">
              <c16:uniqueId val="{0000000A-BF9B-4CA8-A357-0781C3FC0D74}"/>
            </c:ext>
          </c:extLst>
        </c:ser>
        <c:ser>
          <c:idx val="1"/>
          <c:order val="1"/>
          <c:tx>
            <c:strRef>
              <c:f>'OC-1'!$C$3</c:f>
              <c:strCache>
                <c:ptCount val="1"/>
                <c:pt idx="0">
                  <c:v>Count of age</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BF9B-4CA8-A357-0781C3FC0D74}"/>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BF9B-4CA8-A357-0781C3FC0D74}"/>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BF9B-4CA8-A357-0781C3FC0D74}"/>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2-BF9B-4CA8-A357-0781C3FC0D74}"/>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4-BF9B-4CA8-A357-0781C3FC0D74}"/>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C-BF9B-4CA8-A357-0781C3FC0D74}"/>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E-BF9B-4CA8-A357-0781C3FC0D74}"/>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0-BF9B-4CA8-A357-0781C3FC0D74}"/>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2-BF9B-4CA8-A357-0781C3FC0D74}"/>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14-BF9B-4CA8-A357-0781C3FC0D7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'OC-1'!$A$4:$A$9</c:f>
              <c:strCache>
                <c:ptCount val="5"/>
                <c:pt idx="0">
                  <c:v>29-38</c:v>
                </c:pt>
                <c:pt idx="1">
                  <c:v>39-48</c:v>
                </c:pt>
                <c:pt idx="2">
                  <c:v>49-58</c:v>
                </c:pt>
                <c:pt idx="3">
                  <c:v>59-68</c:v>
                </c:pt>
                <c:pt idx="4">
                  <c:v>69-78</c:v>
                </c:pt>
              </c:strCache>
            </c:strRef>
          </c:cat>
          <c:val>
            <c:numRef>
              <c:f>'OC-1'!$C$4:$C$9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15-BF9B-4CA8-A357-0781C3FC0D74}"/>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[heart_disease_data.xlsm]OC-2!PivotTable2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A0404"/>
                </a:solidFill>
              </a:rPr>
              <a:t>Gender</a:t>
            </a:r>
            <a:r>
              <a:rPr lang="en-US" b="1" baseline="0">
                <a:solidFill>
                  <a:srgbClr val="4A0404"/>
                </a:solidFill>
              </a:rPr>
              <a:t> Based Heart Disease</a:t>
            </a:r>
            <a:endParaRPr lang="en-US" b="1">
              <a:solidFill>
                <a:srgbClr val="4A0404"/>
              </a:solidFill>
            </a:endParaRPr>
          </a:p>
        </c:rich>
      </c:tx>
      <c:layout>
        <c:manualLayout>
          <c:xMode val="edge"/>
          <c:yMode val="edge"/>
          <c:x val="0.22377380952380949"/>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4A040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040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A040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'OC-2'!$B$3</c:f>
              <c:strCache>
                <c:ptCount val="1"/>
                <c:pt idx="0">
                  <c:v>Total</c:v>
                </c:pt>
              </c:strCache>
            </c:strRef>
          </c:tx>
          <c:spPr>
            <a:solidFill>
              <a:srgbClr val="4A040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'OC-2'!$A$4:$A$6</c:f>
              <c:strCache>
                <c:ptCount val="2"/>
                <c:pt idx="0">
                  <c:v>Male</c:v>
                </c:pt>
                <c:pt idx="1">
                  <c:v>Female</c:v>
                </c:pt>
              </c:strCache>
            </c:strRef>
          </c:cat>
          <c:val>
            <c:numRef>
              <c:f>'OC-2'!$B$4:$B$6</c:f>
              <c:numCache>
                <c:formatCode>General</c:formatCode>
                <c:ptCount val="2"/>
                <c:pt idx="0">
                  <c:v>93</c:v>
                </c:pt>
                <c:pt idx="1">
                  <c:v>72</c:v>
                </c:pt>
              </c:numCache>
            </c:numRef>
          </c:val>
          <c:extLst>
            <c:ext xmlns:c16="http://schemas.microsoft.com/office/drawing/2014/chart" uri="{C3380CC4-5D6E-409C-BE32-E72D297353CC}">
              <c16:uniqueId val="{00000000-BC1F-4BB6-91F8-BA765AEAFBC3}"/>
            </c:ext>
          </c:extLst>
        </c:ser>
        <c:dLbls>
          <c:showLegendKey val="0"/>
          <c:showVal val="0"/>
          <c:showCatName val="0"/>
          <c:showSerName val="0"/>
          <c:showPercent val="0"/>
          <c:showBubbleSize val="0"/>
        </c:dLbls>
        <c:gapWidth val="219"/>
        <c:overlap val="-27"/>
        <c:axId val="1269604256"/>
        <c:axId val="1269612896"/>
      </c:barChart>
      <c:catAx>
        <c:axId val="126960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12896"/>
        <c:crosses val="autoZero"/>
        <c:auto val="1"/>
        <c:lblAlgn val="ctr"/>
        <c:lblOffset val="100"/>
        <c:noMultiLvlLbl val="0"/>
      </c:catAx>
      <c:valAx>
        <c:axId val="1269612896"/>
        <c:scaling>
          <c:orientation val="minMax"/>
        </c:scaling>
        <c:delete val="1"/>
        <c:axPos val="l"/>
        <c:numFmt formatCode="General" sourceLinked="1"/>
        <c:majorTickMark val="none"/>
        <c:minorTickMark val="none"/>
        <c:tickLblPos val="nextTo"/>
        <c:crossAx val="1269604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[heart_disease_data.xlsm]OC-3!PivotTable3</c:name>
    <c:fmtId val="5"/>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rgbClr val="4A0404"/>
                </a:solidFill>
              </a:rPr>
              <a:t>Chest Pain vs Heart Disease</a:t>
            </a:r>
          </a:p>
        </c:rich>
      </c:tx>
      <c:layout>
        <c:manualLayout>
          <c:xMode val="edge"/>
          <c:yMode val="edge"/>
          <c:x val="0.20810978835978833"/>
          <c:y val="1.388888888888888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0404"/>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A0404"/>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'OC-3'!$B$3</c:f>
              <c:strCache>
                <c:ptCount val="1"/>
                <c:pt idx="0">
                  <c:v>Total</c:v>
                </c:pt>
              </c:strCache>
            </c:strRef>
          </c:tx>
          <c:spPr>
            <a:solidFill>
              <a:srgbClr val="4A0404"/>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'OC-3'!$A$4:$A$8</c:f>
              <c:strCache>
                <c:ptCount val="4"/>
                <c:pt idx="0">
                  <c:v>Asymptomatic</c:v>
                </c:pt>
                <c:pt idx="1">
                  <c:v>Typical Angina</c:v>
                </c:pt>
                <c:pt idx="2">
                  <c:v>Atypical Angina</c:v>
                </c:pt>
                <c:pt idx="3">
                  <c:v>Non-Anginal Pain</c:v>
                </c:pt>
              </c:strCache>
            </c:strRef>
          </c:cat>
          <c:val>
            <c:numRef>
              <c:f>'OC-3'!$B$4:$B$8</c:f>
              <c:numCache>
                <c:formatCode>General</c:formatCode>
                <c:ptCount val="4"/>
                <c:pt idx="0">
                  <c:v>16</c:v>
                </c:pt>
                <c:pt idx="1">
                  <c:v>39</c:v>
                </c:pt>
                <c:pt idx="2">
                  <c:v>41</c:v>
                </c:pt>
                <c:pt idx="3">
                  <c:v>69</c:v>
                </c:pt>
              </c:numCache>
            </c:numRef>
          </c:val>
          <c:extLst>
            <c:ext xmlns:c16="http://schemas.microsoft.com/office/drawing/2014/chart" uri="{C3380CC4-5D6E-409C-BE32-E72D297353CC}">
              <c16:uniqueId val="{00000000-0420-4389-82A7-0FA4145CE823}"/>
            </c:ext>
          </c:extLst>
        </c:ser>
        <c:dLbls>
          <c:showLegendKey val="0"/>
          <c:showVal val="0"/>
          <c:showCatName val="0"/>
          <c:showSerName val="0"/>
          <c:showPercent val="0"/>
          <c:showBubbleSize val="0"/>
        </c:dLbls>
        <c:gapWidth val="100"/>
        <c:axId val="1269605696"/>
        <c:axId val="1269598976"/>
      </c:barChart>
      <c:catAx>
        <c:axId val="1269605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8976"/>
        <c:crosses val="autoZero"/>
        <c:auto val="1"/>
        <c:lblAlgn val="ctr"/>
        <c:lblOffset val="100"/>
        <c:noMultiLvlLbl val="0"/>
      </c:catAx>
      <c:valAx>
        <c:axId val="1269598976"/>
        <c:scaling>
          <c:orientation val="minMax"/>
        </c:scaling>
        <c:delete val="1"/>
        <c:axPos val="b"/>
        <c:numFmt formatCode="General" sourceLinked="1"/>
        <c:majorTickMark val="none"/>
        <c:minorTickMark val="none"/>
        <c:tickLblPos val="nextTo"/>
        <c:crossAx val="1269605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[heart_disease_data.xlsm]OC-4!PivotTable4</c:name>
    <c:fmtId val="6"/>
  </c:pivotSource>
  <c:chart>
    <c:title>
      <c:tx>
        <c:rich>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mn-lt"/>
                <a:ea typeface="+mn-ea"/>
                <a:cs typeface="+mn-cs"/>
              </a:defRPr>
            </a:pPr>
            <a:r>
              <a:rPr lang="en-IN" sz="1100" b="1">
                <a:solidFill>
                  <a:srgbClr val="4A0404"/>
                </a:solidFill>
              </a:rPr>
              <a:t>Maximum Heart Rate Achieved vs Heart Disease</a:t>
            </a:r>
            <a:endParaRPr lang="en-US" sz="1100" b="1">
              <a:solidFill>
                <a:srgbClr val="4A0404"/>
              </a:solidFill>
            </a:endParaRPr>
          </a:p>
        </c:rich>
      </c:tx>
      <c:layout>
        <c:manualLayout>
          <c:xMode val="edge"/>
          <c:yMode val="edge"/>
          <c:x val="0.11208333333333331"/>
          <c:y val="9.2594086021505363E-3"/>
        </c:manualLayout>
      </c:layout>
      <c:overlay val="0"/>
      <c:spPr>
        <a:noFill/>
        <a:ln>
          <a:noFill/>
        </a:ln>
        <a:effectLst/>
      </c:spPr>
      <c:txPr>
        <a:bodyPr rot="0" spcFirstLastPara="1" vertOverflow="ellipsis" vert="horz" wrap="square" anchor="ctr" anchorCtr="1"/>
        <a:lstStyle/>
        <a:p>
          <a:pPr>
            <a:defRPr sz="105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0404"/>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'OC-4'!$B$3</c:f>
              <c:strCache>
                <c:ptCount val="1"/>
                <c:pt idx="0">
                  <c:v>Total</c:v>
                </c:pt>
              </c:strCache>
            </c:strRef>
          </c:tx>
          <c:spPr>
            <a:no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minus"/>
            <c:errValType val="percentage"/>
            <c:noEndCap val="1"/>
            <c:val val="100"/>
            <c:spPr>
              <a:noFill/>
              <a:ln w="63500">
                <a:solidFill>
                  <a:srgbClr val="4A0404"/>
                </a:solidFill>
                <a:headEnd type="oval"/>
              </a:ln>
              <a:effectLst/>
            </c:spPr>
          </c:errBars>
          <c:cat>
            <c:strRef>
              <c:f>'OC-4'!$A$4:$A$9</c:f>
              <c:strCache>
                <c:ptCount val="5"/>
                <c:pt idx="0">
                  <c:v>152</c:v>
                </c:pt>
                <c:pt idx="1">
                  <c:v>162</c:v>
                </c:pt>
                <c:pt idx="2">
                  <c:v>163</c:v>
                </c:pt>
                <c:pt idx="3">
                  <c:v>172</c:v>
                </c:pt>
                <c:pt idx="4">
                  <c:v>173</c:v>
                </c:pt>
              </c:strCache>
            </c:strRef>
          </c:cat>
          <c:val>
            <c:numRef>
              <c:f>'OC-4'!$B$4:$B$9</c:f>
              <c:numCache>
                <c:formatCode>General</c:formatCode>
                <c:ptCount val="5"/>
                <c:pt idx="0">
                  <c:v>6</c:v>
                </c:pt>
                <c:pt idx="1">
                  <c:v>8</c:v>
                </c:pt>
                <c:pt idx="2">
                  <c:v>7</c:v>
                </c:pt>
                <c:pt idx="3">
                  <c:v>7</c:v>
                </c:pt>
                <c:pt idx="4">
                  <c:v>6</c:v>
                </c:pt>
              </c:numCache>
            </c:numRef>
          </c:val>
          <c:extLst>
            <c:ext xmlns:c16="http://schemas.microsoft.com/office/drawing/2014/chart" uri="{C3380CC4-5D6E-409C-BE32-E72D297353CC}">
              <c16:uniqueId val="{00000000-2D36-42B7-9B3B-E709A49D081E}"/>
            </c:ext>
          </c:extLst>
        </c:ser>
        <c:dLbls>
          <c:showLegendKey val="0"/>
          <c:showVal val="0"/>
          <c:showCatName val="0"/>
          <c:showSerName val="0"/>
          <c:showPercent val="0"/>
          <c:showBubbleSize val="0"/>
        </c:dLbls>
        <c:gapWidth val="100"/>
        <c:axId val="1269630176"/>
        <c:axId val="1269652736"/>
      </c:barChart>
      <c:catAx>
        <c:axId val="126963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52736"/>
        <c:crosses val="autoZero"/>
        <c:auto val="1"/>
        <c:lblAlgn val="ctr"/>
        <c:lblOffset val="100"/>
        <c:noMultiLvlLbl val="0"/>
      </c:catAx>
      <c:valAx>
        <c:axId val="1269652736"/>
        <c:scaling>
          <c:orientation val="minMax"/>
        </c:scaling>
        <c:delete val="1"/>
        <c:axPos val="l"/>
        <c:numFmt formatCode="General" sourceLinked="1"/>
        <c:majorTickMark val="none"/>
        <c:minorTickMark val="none"/>
        <c:tickLblPos val="nextTo"/>
        <c:crossAx val="126963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[heart_disease_data.xlsm]OC-5!PivotTable5</c:name>
    <c:fmtId val="8"/>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00" b="1">
                <a:solidFill>
                  <a:srgbClr val="4A0404"/>
                </a:solidFill>
              </a:rPr>
              <a:t>Top 05 Blood Pressure vs Heart Disease</a:t>
            </a:r>
          </a:p>
        </c:rich>
      </c:tx>
      <c:layout>
        <c:manualLayout>
          <c:xMode val="edge"/>
          <c:yMode val="edge"/>
          <c:x val="0.11982863098700797"/>
          <c:y val="1.388888888888888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solidFill>
            <a:srgbClr val="4A0404"/>
          </a:solid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0404"/>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A0404"/>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'OC-5'!$B$3</c:f>
              <c:strCache>
                <c:ptCount val="1"/>
                <c:pt idx="0">
                  <c:v>Total</c:v>
                </c:pt>
              </c:strCache>
            </c:strRef>
          </c:tx>
          <c:spPr>
            <a:solidFill>
              <a:srgbClr val="4A0404"/>
            </a:solid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minus"/>
            <c:errValType val="percentage"/>
            <c:noEndCap val="1"/>
            <c:val val="100"/>
            <c:spPr>
              <a:noFill/>
              <a:ln w="9525">
                <a:solidFill>
                  <a:schemeClr val="tx1">
                    <a:lumMod val="50000"/>
                    <a:lumOff val="50000"/>
                  </a:schemeClr>
                </a:solidFill>
                <a:round/>
              </a:ln>
              <a:effectLst/>
            </c:spPr>
          </c:errBars>
          <c:cat>
            <c:strRef>
              <c:f>'OC-5'!$A$4:$A$9</c:f>
              <c:strCache>
                <c:ptCount val="5"/>
                <c:pt idx="0">
                  <c:v>120</c:v>
                </c:pt>
                <c:pt idx="1">
                  <c:v>130</c:v>
                </c:pt>
                <c:pt idx="2">
                  <c:v>138</c:v>
                </c:pt>
                <c:pt idx="3">
                  <c:v>140</c:v>
                </c:pt>
                <c:pt idx="4">
                  <c:v>150</c:v>
                </c:pt>
              </c:strCache>
            </c:strRef>
          </c:cat>
          <c:val>
            <c:numRef>
              <c:f>'OC-5'!$B$4:$B$9</c:f>
              <c:numCache>
                <c:formatCode>General</c:formatCode>
                <c:ptCount val="5"/>
                <c:pt idx="0">
                  <c:v>23</c:v>
                </c:pt>
                <c:pt idx="1">
                  <c:v>23</c:v>
                </c:pt>
                <c:pt idx="2">
                  <c:v>10</c:v>
                </c:pt>
                <c:pt idx="3">
                  <c:v>17</c:v>
                </c:pt>
                <c:pt idx="4">
                  <c:v>9</c:v>
                </c:pt>
              </c:numCache>
            </c:numRef>
          </c:val>
          <c:extLst>
            <c:ext xmlns:c16="http://schemas.microsoft.com/office/drawing/2014/chart" uri="{C3380CC4-5D6E-409C-BE32-E72D297353CC}">
              <c16:uniqueId val="{00000000-279B-42CE-A504-D91CB1F75E00}"/>
            </c:ext>
          </c:extLst>
        </c:ser>
        <c:dLbls>
          <c:dLblPos val="outEnd"/>
          <c:showLegendKey val="0"/>
          <c:showVal val="1"/>
          <c:showCatName val="0"/>
          <c:showSerName val="0"/>
          <c:showPercent val="0"/>
          <c:showBubbleSize val="0"/>
        </c:dLbls>
        <c:gapWidth val="164"/>
        <c:overlap val="-22"/>
        <c:axId val="1269590816"/>
        <c:axId val="1269591296"/>
      </c:barChart>
      <c:catAx>
        <c:axId val="12695908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1296"/>
        <c:crosses val="autoZero"/>
        <c:auto val="1"/>
        <c:lblAlgn val="ctr"/>
        <c:lblOffset val="100"/>
        <c:noMultiLvlLbl val="0"/>
      </c:catAx>
      <c:valAx>
        <c:axId val="12695912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59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[heart_disease_data.xlsm]OC-6!PivotTable6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4A0404"/>
                </a:solidFill>
              </a:rPr>
              <a:t>Top 05 Cholestrol</a:t>
            </a:r>
            <a:r>
              <a:rPr lang="en-US" b="1" baseline="0">
                <a:solidFill>
                  <a:srgbClr val="4A0404"/>
                </a:solidFill>
              </a:rPr>
              <a:t> vs Heart Disease</a:t>
            </a:r>
            <a:endParaRPr lang="en-US" b="1">
              <a:solidFill>
                <a:srgbClr val="4A0404"/>
              </a:solidFill>
            </a:endParaRPr>
          </a:p>
        </c:rich>
      </c:tx>
      <c:layout>
        <c:manualLayout>
          <c:xMode val="edge"/>
          <c:yMode val="edge"/>
          <c:x val="0.15838888888888888"/>
          <c:y val="8.238351254480287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'OC-6'!$B$3</c:f>
              <c:strCache>
                <c:ptCount val="1"/>
                <c:pt idx="0">
                  <c:v>Total</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100"/>
            <c:spPr>
              <a:noFill/>
              <a:ln w="63500" cap="flat" cmpd="sng" algn="ctr">
                <a:solidFill>
                  <a:srgbClr val="4A0404"/>
                </a:solidFill>
                <a:round/>
                <a:tailEnd type="oval"/>
              </a:ln>
              <a:effectLst/>
            </c:spPr>
          </c:errBars>
          <c:cat>
            <c:strRef>
              <c:f>'OC-6'!$A$4:$A$10</c:f>
              <c:strCache>
                <c:ptCount val="6"/>
                <c:pt idx="0">
                  <c:v>197</c:v>
                </c:pt>
                <c:pt idx="1">
                  <c:v>204</c:v>
                </c:pt>
                <c:pt idx="2">
                  <c:v>211</c:v>
                </c:pt>
                <c:pt idx="3">
                  <c:v>226</c:v>
                </c:pt>
                <c:pt idx="4">
                  <c:v>234</c:v>
                </c:pt>
                <c:pt idx="5">
                  <c:v>240</c:v>
                </c:pt>
              </c:strCache>
            </c:strRef>
          </c:cat>
          <c:val>
            <c:numRef>
              <c:f>'OC-6'!$B$4:$B$10</c:f>
              <c:numCache>
                <c:formatCode>General</c:formatCode>
                <c:ptCount val="6"/>
                <c:pt idx="0">
                  <c:v>4</c:v>
                </c:pt>
                <c:pt idx="1">
                  <c:v>4</c:v>
                </c:pt>
                <c:pt idx="2">
                  <c:v>4</c:v>
                </c:pt>
                <c:pt idx="3">
                  <c:v>4</c:v>
                </c:pt>
                <c:pt idx="4">
                  <c:v>4</c:v>
                </c:pt>
                <c:pt idx="5">
                  <c:v>4</c:v>
                </c:pt>
              </c:numCache>
            </c:numRef>
          </c:val>
          <c:extLst>
            <c:ext xmlns:c16="http://schemas.microsoft.com/office/drawing/2014/chart" uri="{C3380CC4-5D6E-409C-BE32-E72D297353CC}">
              <c16:uniqueId val="{00000000-C905-467B-A3DF-A8052063F01D}"/>
            </c:ext>
          </c:extLst>
        </c:ser>
        <c:dLbls>
          <c:dLblPos val="outEnd"/>
          <c:showLegendKey val="0"/>
          <c:showVal val="1"/>
          <c:showCatName val="0"/>
          <c:showSerName val="0"/>
          <c:showPercent val="0"/>
          <c:showBubbleSize val="0"/>
        </c:dLbls>
        <c:gapWidth val="182"/>
        <c:axId val="1269621536"/>
        <c:axId val="1269636416"/>
      </c:barChart>
      <c:catAx>
        <c:axId val="1269621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36416"/>
        <c:crosses val="autoZero"/>
        <c:auto val="1"/>
        <c:lblAlgn val="ctr"/>
        <c:lblOffset val="100"/>
        <c:noMultiLvlLbl val="0"/>
      </c:catAx>
      <c:valAx>
        <c:axId val="1269636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69621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[heart_disease_data.xlsm]AC-1!PivotTable1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Chest</a:t>
            </a:r>
            <a:r>
              <a:rPr lang="en-IN" b="1" baseline="0">
                <a:solidFill>
                  <a:srgbClr val="4A0404"/>
                </a:solidFill>
              </a:rPr>
              <a:t> Pain vs Total Patients</a:t>
            </a:r>
            <a:endParaRPr lang="en-IN" b="1">
              <a:solidFill>
                <a:srgbClr val="4A0404"/>
              </a:solidFill>
            </a:endParaRPr>
          </a:p>
        </c:rich>
      </c:tx>
      <c:layout>
        <c:manualLayout>
          <c:xMode val="edge"/>
          <c:yMode val="edge"/>
          <c:x val="0.24816880341880343"/>
          <c:y val="2.04257877280265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'AC-1'!$B$3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'AC-1'!$A$4:$A$9</c:f>
              <c:strCache>
                <c:ptCount val="5"/>
                <c:pt idx="0">
                  <c:v>29-38</c:v>
                </c:pt>
                <c:pt idx="1">
                  <c:v>39-48</c:v>
                </c:pt>
                <c:pt idx="2">
                  <c:v>49-58</c:v>
                </c:pt>
                <c:pt idx="3">
                  <c:v>59-68</c:v>
                </c:pt>
                <c:pt idx="4">
                  <c:v>69-78</c:v>
                </c:pt>
              </c:strCache>
            </c:strRef>
          </c:cat>
          <c:val>
            <c:numRef>
              <c:f>'AC-1'!$B$4:$B$9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581C-42E1-B2E5-0F8350E91D1C}"/>
            </c:ext>
          </c:extLst>
        </c:ser>
        <c:ser>
          <c:idx val="1"/>
          <c:order val="1"/>
          <c:tx>
            <c:strRef>
              <c:f>'AC-1'!$C$3</c:f>
              <c:strCache>
                <c:ptCount val="1"/>
                <c:pt idx="0">
                  <c:v>Chest Pain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'AC-1'!$A$4:$A$9</c:f>
              <c:strCache>
                <c:ptCount val="5"/>
                <c:pt idx="0">
                  <c:v>29-38</c:v>
                </c:pt>
                <c:pt idx="1">
                  <c:v>39-48</c:v>
                </c:pt>
                <c:pt idx="2">
                  <c:v>49-58</c:v>
                </c:pt>
                <c:pt idx="3">
                  <c:v>59-68</c:v>
                </c:pt>
                <c:pt idx="4">
                  <c:v>69-78</c:v>
                </c:pt>
              </c:strCache>
            </c:strRef>
          </c:cat>
          <c:val>
            <c:numRef>
              <c:f>'AC-1'!$C$4:$C$9</c:f>
              <c:numCache>
                <c:formatCode>General</c:formatCode>
                <c:ptCount val="5"/>
                <c:pt idx="0">
                  <c:v>9</c:v>
                </c:pt>
                <c:pt idx="1">
                  <c:v>50</c:v>
                </c:pt>
                <c:pt idx="2">
                  <c:v>63</c:v>
                </c:pt>
                <c:pt idx="3">
                  <c:v>35</c:v>
                </c:pt>
                <c:pt idx="4">
                  <c:v>8</c:v>
                </c:pt>
              </c:numCache>
            </c:numRef>
          </c:val>
          <c:extLst>
            <c:ext xmlns:c16="http://schemas.microsoft.com/office/drawing/2014/chart" uri="{C3380CC4-5D6E-409C-BE32-E72D297353CC}">
              <c16:uniqueId val="{00000001-581C-42E1-B2E5-0F8350E91D1C}"/>
            </c:ext>
          </c:extLst>
        </c:ser>
        <c:dLbls>
          <c:showLegendKey val="0"/>
          <c:showVal val="0"/>
          <c:showCatName val="0"/>
          <c:showSerName val="0"/>
          <c:showPercent val="0"/>
          <c:showBubbleSize val="0"/>
        </c:dLbls>
        <c:gapWidth val="219"/>
        <c:overlap val="-27"/>
        <c:axId val="1694574399"/>
        <c:axId val="1694577279"/>
      </c:barChart>
      <c:catAx>
        <c:axId val="1694574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4577279"/>
        <c:crosses val="autoZero"/>
        <c:auto val="1"/>
        <c:lblAlgn val="ctr"/>
        <c:lblOffset val="100"/>
        <c:noMultiLvlLbl val="0"/>
      </c:catAx>
      <c:valAx>
        <c:axId val="1694577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4574399"/>
        <c:crosses val="autoZero"/>
        <c:crossBetween val="between"/>
      </c:valAx>
      <c:spPr>
        <a:noFill/>
        <a:ln>
          <a:noFill/>
        </a:ln>
        <a:effectLst/>
      </c:spPr>
    </c:plotArea>
    <c:legend>
      <c:legendPos val="r"/>
      <c:layout>
        <c:manualLayout>
          <c:xMode val="edge"/>
          <c:yMode val="edge"/>
          <c:x val="0.67685586176727919"/>
          <c:y val="0.38488287037037039"/>
          <c:w val="0.32036636045494316"/>
          <c:h val="0.415696759259259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[heart_disease_data.xlsm]AC-2!PivotTable2</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0" i="0" u="none" strike="noStrike" kern="1200" spc="0" baseline="0">
                <a:solidFill>
                  <a:sysClr val="windowText" lastClr="000000">
                    <a:lumMod val="65000"/>
                    <a:lumOff val="35000"/>
                  </a:sysClr>
                </a:solidFill>
                <a:latin typeface="+mn-lt"/>
                <a:ea typeface="+mn-ea"/>
                <a:cs typeface="+mn-cs"/>
              </a:defRPr>
            </a:pPr>
            <a:r>
              <a:rPr lang="en-IN" sz="1200" b="1" i="0" u="none" strike="noStrike" kern="1200" spc="0" baseline="0">
                <a:solidFill>
                  <a:srgbClr val="4A0404"/>
                </a:solidFill>
              </a:rPr>
              <a:t>Risk Factor 01 Blood Pressure + CP vs Total Patients </a:t>
            </a:r>
          </a:p>
        </c:rich>
      </c:tx>
      <c:layout>
        <c:manualLayout>
          <c:xMode val="edge"/>
          <c:yMode val="edge"/>
          <c:x val="0.12246318879855465"/>
          <c:y val="2.106135986733001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1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'AC-2'!$B$2</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'AC-2'!$A$3:$A$8</c:f>
              <c:strCache>
                <c:ptCount val="5"/>
                <c:pt idx="0">
                  <c:v>29-38</c:v>
                </c:pt>
                <c:pt idx="1">
                  <c:v>39-48</c:v>
                </c:pt>
                <c:pt idx="2">
                  <c:v>49-58</c:v>
                </c:pt>
                <c:pt idx="3">
                  <c:v>59-68</c:v>
                </c:pt>
                <c:pt idx="4">
                  <c:v>69-78</c:v>
                </c:pt>
              </c:strCache>
            </c:strRef>
          </c:cat>
          <c:val>
            <c:numRef>
              <c:f>'AC-2'!$B$3:$B$8</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389A-4A03-A7FD-CBA0F96C77BF}"/>
            </c:ext>
          </c:extLst>
        </c:ser>
        <c:ser>
          <c:idx val="1"/>
          <c:order val="1"/>
          <c:tx>
            <c:strRef>
              <c:f>'AC-2'!$C$2</c:f>
              <c:strCache>
                <c:ptCount val="1"/>
                <c:pt idx="0">
                  <c:v>Risk Factor Blood Pressure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'AC-2'!$A$3:$A$8</c:f>
              <c:strCache>
                <c:ptCount val="5"/>
                <c:pt idx="0">
                  <c:v>29-38</c:v>
                </c:pt>
                <c:pt idx="1">
                  <c:v>39-48</c:v>
                </c:pt>
                <c:pt idx="2">
                  <c:v>49-58</c:v>
                </c:pt>
                <c:pt idx="3">
                  <c:v>59-68</c:v>
                </c:pt>
                <c:pt idx="4">
                  <c:v>69-78</c:v>
                </c:pt>
              </c:strCache>
            </c:strRef>
          </c:cat>
          <c:val>
            <c:numRef>
              <c:f>'AC-2'!$C$3:$C$8</c:f>
              <c:numCache>
                <c:formatCode>General</c:formatCode>
                <c:ptCount val="5"/>
                <c:pt idx="0">
                  <c:v>5</c:v>
                </c:pt>
                <c:pt idx="1">
                  <c:v>22</c:v>
                </c:pt>
                <c:pt idx="2">
                  <c:v>33</c:v>
                </c:pt>
                <c:pt idx="3">
                  <c:v>23</c:v>
                </c:pt>
                <c:pt idx="4">
                  <c:v>5</c:v>
                </c:pt>
              </c:numCache>
            </c:numRef>
          </c:val>
          <c:extLst>
            <c:ext xmlns:c16="http://schemas.microsoft.com/office/drawing/2014/chart" uri="{C3380CC4-5D6E-409C-BE32-E72D297353CC}">
              <c16:uniqueId val="{00000001-389A-4A03-A7FD-CBA0F96C77BF}"/>
            </c:ext>
          </c:extLst>
        </c:ser>
        <c:dLbls>
          <c:showLegendKey val="0"/>
          <c:showVal val="0"/>
          <c:showCatName val="0"/>
          <c:showSerName val="0"/>
          <c:showPercent val="0"/>
          <c:showBubbleSize val="0"/>
        </c:dLbls>
        <c:gapWidth val="219"/>
        <c:overlap val="-27"/>
        <c:axId val="1252468383"/>
        <c:axId val="1252471263"/>
      </c:barChart>
      <c:catAx>
        <c:axId val="125246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2471263"/>
        <c:crosses val="autoZero"/>
        <c:auto val="1"/>
        <c:lblAlgn val="ctr"/>
        <c:lblOffset val="100"/>
        <c:noMultiLvlLbl val="0"/>
      </c:catAx>
      <c:valAx>
        <c:axId val="1252471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2468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[heart_disease_data.xlsm]AC-3!PivotTable3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solidFill>
                  <a:srgbClr val="4A0404"/>
                </a:solidFill>
              </a:rPr>
              <a:t>Risk</a:t>
            </a:r>
            <a:r>
              <a:rPr lang="en-IN" sz="1200" b="1" baseline="0">
                <a:solidFill>
                  <a:srgbClr val="4A0404"/>
                </a:solidFill>
              </a:rPr>
              <a:t> Factor 02 Cholestrol + CP + BP vs Total Patients</a:t>
            </a:r>
            <a:endParaRPr lang="en-IN" sz="1200" b="1">
              <a:solidFill>
                <a:srgbClr val="4A0404"/>
              </a:solidFill>
            </a:endParaRPr>
          </a:p>
        </c:rich>
      </c:tx>
      <c:layout>
        <c:manualLayout>
          <c:xMode val="edge"/>
          <c:yMode val="edge"/>
          <c:x val="0.12629677113010446"/>
          <c:y val="8.623548922056386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'AC-3'!$B$3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'AC-3'!$A$4:$A$9</c:f>
              <c:strCache>
                <c:ptCount val="5"/>
                <c:pt idx="0">
                  <c:v>29-38</c:v>
                </c:pt>
                <c:pt idx="1">
                  <c:v>39-48</c:v>
                </c:pt>
                <c:pt idx="2">
                  <c:v>49-58</c:v>
                </c:pt>
                <c:pt idx="3">
                  <c:v>59-68</c:v>
                </c:pt>
                <c:pt idx="4">
                  <c:v>69-78</c:v>
                </c:pt>
              </c:strCache>
            </c:strRef>
          </c:cat>
          <c:val>
            <c:numRef>
              <c:f>'AC-3'!$B$4:$B$9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3E77-4017-BA12-7D0EE5663384}"/>
            </c:ext>
          </c:extLst>
        </c:ser>
        <c:ser>
          <c:idx val="1"/>
          <c:order val="1"/>
          <c:tx>
            <c:strRef>
              <c:f>'AC-3'!$C$3</c:f>
              <c:strCache>
                <c:ptCount val="1"/>
                <c:pt idx="0">
                  <c:v>Risk Factor Cholestrol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'AC-3'!$A$4:$A$9</c:f>
              <c:strCache>
                <c:ptCount val="5"/>
                <c:pt idx="0">
                  <c:v>29-38</c:v>
                </c:pt>
                <c:pt idx="1">
                  <c:v>39-48</c:v>
                </c:pt>
                <c:pt idx="2">
                  <c:v>49-58</c:v>
                </c:pt>
                <c:pt idx="3">
                  <c:v>59-68</c:v>
                </c:pt>
                <c:pt idx="4">
                  <c:v>69-78</c:v>
                </c:pt>
              </c:strCache>
            </c:strRef>
          </c:cat>
          <c:val>
            <c:numRef>
              <c:f>'AC-3'!$C$4:$C$9</c:f>
              <c:numCache>
                <c:formatCode>General</c:formatCode>
                <c:ptCount val="5"/>
                <c:pt idx="0">
                  <c:v>2</c:v>
                </c:pt>
                <c:pt idx="1">
                  <c:v>19</c:v>
                </c:pt>
                <c:pt idx="2">
                  <c:v>26</c:v>
                </c:pt>
                <c:pt idx="3">
                  <c:v>22</c:v>
                </c:pt>
                <c:pt idx="4">
                  <c:v>4</c:v>
                </c:pt>
              </c:numCache>
            </c:numRef>
          </c:val>
          <c:extLst>
            <c:ext xmlns:c16="http://schemas.microsoft.com/office/drawing/2014/chart" uri="{C3380CC4-5D6E-409C-BE32-E72D297353CC}">
              <c16:uniqueId val="{00000001-3E77-4017-BA12-7D0EE5663384}"/>
            </c:ext>
          </c:extLst>
        </c:ser>
        <c:dLbls>
          <c:showLegendKey val="0"/>
          <c:showVal val="0"/>
          <c:showCatName val="0"/>
          <c:showSerName val="0"/>
          <c:showPercent val="0"/>
          <c:showBubbleSize val="0"/>
        </c:dLbls>
        <c:gapWidth val="219"/>
        <c:overlap val="-27"/>
        <c:axId val="1694568639"/>
        <c:axId val="1694569119"/>
      </c:barChart>
      <c:catAx>
        <c:axId val="169456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69119"/>
        <c:crosses val="autoZero"/>
        <c:auto val="1"/>
        <c:lblAlgn val="ctr"/>
        <c:lblOffset val="100"/>
        <c:noMultiLvlLbl val="0"/>
      </c:catAx>
      <c:valAx>
        <c:axId val="1694569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68639"/>
        <c:crosses val="autoZero"/>
        <c:crossBetween val="between"/>
      </c:valAx>
      <c:spPr>
        <a:noFill/>
        <a:ln>
          <a:noFill/>
        </a:ln>
        <a:effectLst/>
      </c:spPr>
    </c:plotArea>
    <c:legend>
      <c:legendPos val="r"/>
      <c:layout>
        <c:manualLayout>
          <c:xMode val="edge"/>
          <c:yMode val="edge"/>
          <c:x val="0.7541334208223972"/>
          <c:y val="0.12578630796150478"/>
          <c:w val="0.22919991251093616"/>
          <c:h val="0.841436278798483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[heart_disease_data.xlsm]AC-4!PivotTable4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Diagnostic</a:t>
            </a:r>
            <a:r>
              <a:rPr lang="en-IN" b="1" baseline="0">
                <a:solidFill>
                  <a:srgbClr val="4A0404"/>
                </a:solidFill>
              </a:rPr>
              <a:t> Indicator Slope vs Total Patients</a:t>
            </a:r>
            <a:endParaRPr lang="en-IN" b="1">
              <a:solidFill>
                <a:srgbClr val="4A0404"/>
              </a:solidFill>
            </a:endParaRPr>
          </a:p>
        </c:rich>
      </c:tx>
      <c:layout>
        <c:manualLayout>
          <c:xMode val="edge"/>
          <c:yMode val="edge"/>
          <c:x val="0.11507027540360876"/>
          <c:y val="1.5160447761194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'AC-4'!$B$3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'AC-4'!$A$4:$A$9</c:f>
              <c:strCache>
                <c:ptCount val="5"/>
                <c:pt idx="0">
                  <c:v>29-38</c:v>
                </c:pt>
                <c:pt idx="1">
                  <c:v>39-48</c:v>
                </c:pt>
                <c:pt idx="2">
                  <c:v>49-58</c:v>
                </c:pt>
                <c:pt idx="3">
                  <c:v>59-68</c:v>
                </c:pt>
                <c:pt idx="4">
                  <c:v>69-78</c:v>
                </c:pt>
              </c:strCache>
            </c:strRef>
          </c:cat>
          <c:val>
            <c:numRef>
              <c:f>'AC-4'!$B$4:$B$9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B316-4C0A-9247-A7E3BE40AAC6}"/>
            </c:ext>
          </c:extLst>
        </c:ser>
        <c:ser>
          <c:idx val="1"/>
          <c:order val="1"/>
          <c:tx>
            <c:strRef>
              <c:f>'AC-4'!$C$3</c:f>
              <c:strCache>
                <c:ptCount val="1"/>
                <c:pt idx="0">
                  <c:v>Slope Indicator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'AC-4'!$A$4:$A$9</c:f>
              <c:strCache>
                <c:ptCount val="5"/>
                <c:pt idx="0">
                  <c:v>29-38</c:v>
                </c:pt>
                <c:pt idx="1">
                  <c:v>39-48</c:v>
                </c:pt>
                <c:pt idx="2">
                  <c:v>49-58</c:v>
                </c:pt>
                <c:pt idx="3">
                  <c:v>59-68</c:v>
                </c:pt>
                <c:pt idx="4">
                  <c:v>69-78</c:v>
                </c:pt>
              </c:strCache>
            </c:strRef>
          </c:cat>
          <c:val>
            <c:numRef>
              <c:f>'AC-4'!$C$4:$C$9</c:f>
              <c:numCache>
                <c:formatCode>General</c:formatCode>
                <c:ptCount val="5"/>
                <c:pt idx="0">
                  <c:v>1</c:v>
                </c:pt>
                <c:pt idx="1">
                  <c:v>12</c:v>
                </c:pt>
                <c:pt idx="2">
                  <c:v>21</c:v>
                </c:pt>
                <c:pt idx="3">
                  <c:v>12</c:v>
                </c:pt>
                <c:pt idx="4">
                  <c:v>3</c:v>
                </c:pt>
              </c:numCache>
            </c:numRef>
          </c:val>
          <c:extLst>
            <c:ext xmlns:c16="http://schemas.microsoft.com/office/drawing/2014/chart" uri="{C3380CC4-5D6E-409C-BE32-E72D297353CC}">
              <c16:uniqueId val="{00000001-B316-4C0A-9247-A7E3BE40AAC6}"/>
            </c:ext>
          </c:extLst>
        </c:ser>
        <c:dLbls>
          <c:showLegendKey val="0"/>
          <c:showVal val="0"/>
          <c:showCatName val="0"/>
          <c:showSerName val="0"/>
          <c:showPercent val="0"/>
          <c:showBubbleSize val="0"/>
        </c:dLbls>
        <c:gapWidth val="219"/>
        <c:overlap val="-27"/>
        <c:axId val="1694575359"/>
        <c:axId val="1694579679"/>
      </c:barChart>
      <c:catAx>
        <c:axId val="169457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79679"/>
        <c:crosses val="autoZero"/>
        <c:auto val="1"/>
        <c:lblAlgn val="ctr"/>
        <c:lblOffset val="100"/>
        <c:noMultiLvlLbl val="0"/>
      </c:catAx>
      <c:valAx>
        <c:axId val="1694579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75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[heart_disease_data.xlsm]AC-1!PivotTable1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Chest</a:t>
            </a:r>
            <a:r>
              <a:rPr lang="en-IN" b="1" baseline="0">
                <a:solidFill>
                  <a:srgbClr val="4A0404"/>
                </a:solidFill>
              </a:rPr>
              <a:t> Pain vs Total Patient</a:t>
            </a:r>
            <a:endParaRPr lang="en-IN" b="1">
              <a:solidFill>
                <a:srgbClr val="4A0404"/>
              </a:solidFill>
            </a:endParaRPr>
          </a:p>
        </c:rich>
      </c:tx>
      <c:layout>
        <c:manualLayout>
          <c:xMode val="edge"/>
          <c:yMode val="edge"/>
          <c:x val="0.27530555555555558"/>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'AC-1'!$B$3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'AC-1'!$A$4:$A$9</c:f>
              <c:strCache>
                <c:ptCount val="5"/>
                <c:pt idx="0">
                  <c:v>29-38</c:v>
                </c:pt>
                <c:pt idx="1">
                  <c:v>39-48</c:v>
                </c:pt>
                <c:pt idx="2">
                  <c:v>49-58</c:v>
                </c:pt>
                <c:pt idx="3">
                  <c:v>59-68</c:v>
                </c:pt>
                <c:pt idx="4">
                  <c:v>69-78</c:v>
                </c:pt>
              </c:strCache>
            </c:strRef>
          </c:cat>
          <c:val>
            <c:numRef>
              <c:f>'AC-1'!$B$4:$B$9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3596-45E8-ACAB-C492729FE551}"/>
            </c:ext>
          </c:extLst>
        </c:ser>
        <c:ser>
          <c:idx val="1"/>
          <c:order val="1"/>
          <c:tx>
            <c:strRef>
              <c:f>'AC-1'!$C$3</c:f>
              <c:strCache>
                <c:ptCount val="1"/>
                <c:pt idx="0">
                  <c:v>Chest Pain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'AC-1'!$A$4:$A$9</c:f>
              <c:strCache>
                <c:ptCount val="5"/>
                <c:pt idx="0">
                  <c:v>29-38</c:v>
                </c:pt>
                <c:pt idx="1">
                  <c:v>39-48</c:v>
                </c:pt>
                <c:pt idx="2">
                  <c:v>49-58</c:v>
                </c:pt>
                <c:pt idx="3">
                  <c:v>59-68</c:v>
                </c:pt>
                <c:pt idx="4">
                  <c:v>69-78</c:v>
                </c:pt>
              </c:strCache>
            </c:strRef>
          </c:cat>
          <c:val>
            <c:numRef>
              <c:f>'AC-1'!$C$4:$C$9</c:f>
              <c:numCache>
                <c:formatCode>General</c:formatCode>
                <c:ptCount val="5"/>
                <c:pt idx="0">
                  <c:v>9</c:v>
                </c:pt>
                <c:pt idx="1">
                  <c:v>50</c:v>
                </c:pt>
                <c:pt idx="2">
                  <c:v>63</c:v>
                </c:pt>
                <c:pt idx="3">
                  <c:v>35</c:v>
                </c:pt>
                <c:pt idx="4">
                  <c:v>8</c:v>
                </c:pt>
              </c:numCache>
            </c:numRef>
          </c:val>
          <c:extLst>
            <c:ext xmlns:c16="http://schemas.microsoft.com/office/drawing/2014/chart" uri="{C3380CC4-5D6E-409C-BE32-E72D297353CC}">
              <c16:uniqueId val="{00000001-3596-45E8-ACAB-C492729FE551}"/>
            </c:ext>
          </c:extLst>
        </c:ser>
        <c:dLbls>
          <c:showLegendKey val="0"/>
          <c:showVal val="0"/>
          <c:showCatName val="0"/>
          <c:showSerName val="0"/>
          <c:showPercent val="0"/>
          <c:showBubbleSize val="0"/>
        </c:dLbls>
        <c:gapWidth val="219"/>
        <c:overlap val="-27"/>
        <c:axId val="1694574399"/>
        <c:axId val="1694577279"/>
      </c:barChart>
      <c:catAx>
        <c:axId val="1694574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4577279"/>
        <c:crosses val="autoZero"/>
        <c:auto val="1"/>
        <c:lblAlgn val="ctr"/>
        <c:lblOffset val="100"/>
        <c:noMultiLvlLbl val="0"/>
      </c:catAx>
      <c:valAx>
        <c:axId val="1694577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4574399"/>
        <c:crosses val="autoZero"/>
        <c:crossBetween val="between"/>
      </c:valAx>
      <c:spPr>
        <a:noFill/>
        <a:ln>
          <a:noFill/>
        </a:ln>
        <a:effectLst/>
      </c:spPr>
    </c:plotArea>
    <c:legend>
      <c:legendPos val="r"/>
      <c:layout>
        <c:manualLayout>
          <c:xMode val="edge"/>
          <c:yMode val="edge"/>
          <c:x val="0.67685586176727919"/>
          <c:y val="0.43192002041411492"/>
          <c:w val="0.32036636045494316"/>
          <c:h val="0.2569466316710410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Risk</a:t>
            </a:r>
            <a:r>
              <a:rPr lang="en-IN" b="1" baseline="0">
                <a:solidFill>
                  <a:srgbClr val="4A0404"/>
                </a:solidFill>
              </a:rPr>
              <a:t> Factor 01 Blood Pressure vs Total Pateint </a:t>
            </a:r>
            <a:endParaRPr lang="en-IN" b="1">
              <a:solidFill>
                <a:srgbClr val="4A0404"/>
              </a:solidFill>
            </a:endParaRPr>
          </a:p>
        </c:rich>
      </c:tx>
      <c:layout>
        <c:manualLayout>
          <c:xMode val="edge"/>
          <c:yMode val="edge"/>
          <c:x val="0.15266666666666667"/>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'AC-2'!$B$2</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'AC-2'!$A$3:$A$8</c:f>
              <c:strCache>
                <c:ptCount val="5"/>
                <c:pt idx="0">
                  <c:v>29-38</c:v>
                </c:pt>
                <c:pt idx="1">
                  <c:v>39-48</c:v>
                </c:pt>
                <c:pt idx="2">
                  <c:v>49-58</c:v>
                </c:pt>
                <c:pt idx="3">
                  <c:v>59-68</c:v>
                </c:pt>
                <c:pt idx="4">
                  <c:v>69-78</c:v>
                </c:pt>
              </c:strCache>
            </c:strRef>
          </c:cat>
          <c:val>
            <c:numRef>
              <c:f>'AC-2'!$B$3:$B$8</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83E1-4977-B9E8-13166A204A5B}"/>
            </c:ext>
          </c:extLst>
        </c:ser>
        <c:ser>
          <c:idx val="1"/>
          <c:order val="1"/>
          <c:tx>
            <c:strRef>
              <c:f>'AC-2'!$C$2</c:f>
              <c:strCache>
                <c:ptCount val="1"/>
                <c:pt idx="0">
                  <c:v>Risk Factor Blood Pressure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'AC-2'!$A$3:$A$8</c:f>
              <c:strCache>
                <c:ptCount val="5"/>
                <c:pt idx="0">
                  <c:v>29-38</c:v>
                </c:pt>
                <c:pt idx="1">
                  <c:v>39-48</c:v>
                </c:pt>
                <c:pt idx="2">
                  <c:v>49-58</c:v>
                </c:pt>
                <c:pt idx="3">
                  <c:v>59-68</c:v>
                </c:pt>
                <c:pt idx="4">
                  <c:v>69-78</c:v>
                </c:pt>
              </c:strCache>
            </c:strRef>
          </c:cat>
          <c:val>
            <c:numRef>
              <c:f>'AC-2'!$C$3:$C$8</c:f>
              <c:numCache>
                <c:formatCode>General</c:formatCode>
                <c:ptCount val="5"/>
                <c:pt idx="0">
                  <c:v>5</c:v>
                </c:pt>
                <c:pt idx="1">
                  <c:v>22</c:v>
                </c:pt>
                <c:pt idx="2">
                  <c:v>33</c:v>
                </c:pt>
                <c:pt idx="3">
                  <c:v>23</c:v>
                </c:pt>
                <c:pt idx="4">
                  <c:v>5</c:v>
                </c:pt>
              </c:numCache>
            </c:numRef>
          </c:val>
          <c:extLst>
            <c:ext xmlns:c16="http://schemas.microsoft.com/office/drawing/2014/chart" uri="{C3380CC4-5D6E-409C-BE32-E72D297353CC}">
              <c16:uniqueId val="{00000003-83E1-4977-B9E8-13166A204A5B}"/>
            </c:ext>
          </c:extLst>
        </c:ser>
        <c:dLbls>
          <c:showLegendKey val="0"/>
          <c:showVal val="0"/>
          <c:showCatName val="0"/>
          <c:showSerName val="0"/>
          <c:showPercent val="0"/>
          <c:showBubbleSize val="0"/>
        </c:dLbls>
        <c:gapWidth val="219"/>
        <c:overlap val="-27"/>
        <c:axId val="1252468383"/>
        <c:axId val="1252471263"/>
      </c:barChart>
      <c:catAx>
        <c:axId val="125246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2471263"/>
        <c:crosses val="autoZero"/>
        <c:auto val="1"/>
        <c:lblAlgn val="ctr"/>
        <c:lblOffset val="100"/>
        <c:noMultiLvlLbl val="0"/>
      </c:catAx>
      <c:valAx>
        <c:axId val="1252471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2468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Risk</a:t>
            </a:r>
            <a:r>
              <a:rPr lang="en-IN" b="1" baseline="0">
                <a:solidFill>
                  <a:srgbClr val="4A0404"/>
                </a:solidFill>
              </a:rPr>
              <a:t> Factor 02 Cholestrol vs Total Patient</a:t>
            </a:r>
            <a:endParaRPr lang="en-IN" b="1">
              <a:solidFill>
                <a:srgbClr val="4A0404"/>
              </a:solidFill>
            </a:endParaRPr>
          </a:p>
        </c:rich>
      </c:tx>
      <c:layout>
        <c:manualLayout>
          <c:xMode val="edge"/>
          <c:yMode val="edge"/>
          <c:x val="0.16247900262467191"/>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'AC-3'!$B$3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'AC-3'!$A$4:$A$9</c:f>
              <c:strCache>
                <c:ptCount val="5"/>
                <c:pt idx="0">
                  <c:v>29-38</c:v>
                </c:pt>
                <c:pt idx="1">
                  <c:v>39-48</c:v>
                </c:pt>
                <c:pt idx="2">
                  <c:v>49-58</c:v>
                </c:pt>
                <c:pt idx="3">
                  <c:v>59-68</c:v>
                </c:pt>
                <c:pt idx="4">
                  <c:v>69-78</c:v>
                </c:pt>
              </c:strCache>
            </c:strRef>
          </c:cat>
          <c:val>
            <c:numRef>
              <c:f>'AC-3'!$B$4:$B$9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24CB-4B83-A651-D7F6234F76E8}"/>
            </c:ext>
          </c:extLst>
        </c:ser>
        <c:ser>
          <c:idx val="1"/>
          <c:order val="1"/>
          <c:tx>
            <c:strRef>
              <c:f>'AC-3'!$C$3</c:f>
              <c:strCache>
                <c:ptCount val="1"/>
                <c:pt idx="0">
                  <c:v>Risk Factor Cholestrol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'AC-3'!$A$4:$A$9</c:f>
              <c:strCache>
                <c:ptCount val="5"/>
                <c:pt idx="0">
                  <c:v>29-38</c:v>
                </c:pt>
                <c:pt idx="1">
                  <c:v>39-48</c:v>
                </c:pt>
                <c:pt idx="2">
                  <c:v>49-58</c:v>
                </c:pt>
                <c:pt idx="3">
                  <c:v>59-68</c:v>
                </c:pt>
                <c:pt idx="4">
                  <c:v>69-78</c:v>
                </c:pt>
              </c:strCache>
            </c:strRef>
          </c:cat>
          <c:val>
            <c:numRef>
              <c:f>'AC-3'!$C$4:$C$9</c:f>
              <c:numCache>
                <c:formatCode>General</c:formatCode>
                <c:ptCount val="5"/>
                <c:pt idx="0">
                  <c:v>2</c:v>
                </c:pt>
                <c:pt idx="1">
                  <c:v>19</c:v>
                </c:pt>
                <c:pt idx="2">
                  <c:v>26</c:v>
                </c:pt>
                <c:pt idx="3">
                  <c:v>22</c:v>
                </c:pt>
                <c:pt idx="4">
                  <c:v>4</c:v>
                </c:pt>
              </c:numCache>
            </c:numRef>
          </c:val>
          <c:extLst>
            <c:ext xmlns:c16="http://schemas.microsoft.com/office/drawing/2014/chart" uri="{C3380CC4-5D6E-409C-BE32-E72D297353CC}">
              <c16:uniqueId val="{00000001-24CB-4B83-A651-D7F6234F76E8}"/>
            </c:ext>
          </c:extLst>
        </c:ser>
        <c:dLbls>
          <c:showLegendKey val="0"/>
          <c:showVal val="0"/>
          <c:showCatName val="0"/>
          <c:showSerName val="0"/>
          <c:showPercent val="0"/>
          <c:showBubbleSize val="0"/>
        </c:dLbls>
        <c:gapWidth val="219"/>
        <c:overlap val="-27"/>
        <c:axId val="1694568639"/>
        <c:axId val="1694569119"/>
      </c:barChart>
      <c:catAx>
        <c:axId val="169456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69119"/>
        <c:crosses val="autoZero"/>
        <c:auto val="1"/>
        <c:lblAlgn val="ctr"/>
        <c:lblOffset val="100"/>
        <c:noMultiLvlLbl val="0"/>
      </c:catAx>
      <c:valAx>
        <c:axId val="1694569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68639"/>
        <c:crosses val="autoZero"/>
        <c:crossBetween val="between"/>
      </c:valAx>
      <c:spPr>
        <a:noFill/>
        <a:ln>
          <a:noFill/>
        </a:ln>
        <a:effectLst/>
      </c:spPr>
    </c:plotArea>
    <c:legend>
      <c:legendPos val="r"/>
      <c:layout>
        <c:manualLayout>
          <c:xMode val="edge"/>
          <c:yMode val="edge"/>
          <c:x val="0.7541334208223972"/>
          <c:y val="0.12578630796150478"/>
          <c:w val="0.22919991251093616"/>
          <c:h val="0.841436278798483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[heart_disease_data.xlsm]AC-4!PivotTable4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4A0404"/>
                </a:solidFill>
              </a:rPr>
              <a:t>Diagnostic</a:t>
            </a:r>
            <a:r>
              <a:rPr lang="en-IN" b="1" baseline="0">
                <a:solidFill>
                  <a:srgbClr val="4A0404"/>
                </a:solidFill>
              </a:rPr>
              <a:t> Indicator Slope vs Heart Disease</a:t>
            </a:r>
            <a:endParaRPr lang="en-IN" b="1">
              <a:solidFill>
                <a:srgbClr val="4A0404"/>
              </a:solidFill>
            </a:endParaRPr>
          </a:p>
        </c:rich>
      </c:tx>
      <c:layout>
        <c:manualLayout>
          <c:xMode val="edge"/>
          <c:yMode val="edge"/>
          <c:x val="0.14522222222222222"/>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'AC-4'!$B$3</c:f>
              <c:strCache>
                <c:ptCount val="1"/>
                <c:pt idx="0">
                  <c:v>Total Patient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'AC-4'!$A$4:$A$9</c:f>
              <c:strCache>
                <c:ptCount val="5"/>
                <c:pt idx="0">
                  <c:v>29-38</c:v>
                </c:pt>
                <c:pt idx="1">
                  <c:v>39-48</c:v>
                </c:pt>
                <c:pt idx="2">
                  <c:v>49-58</c:v>
                </c:pt>
                <c:pt idx="3">
                  <c:v>59-68</c:v>
                </c:pt>
                <c:pt idx="4">
                  <c:v>69-78</c:v>
                </c:pt>
              </c:strCache>
            </c:strRef>
          </c:cat>
          <c:val>
            <c:numRef>
              <c:f>'AC-4'!$B$4:$B$9</c:f>
              <c:numCache>
                <c:formatCode>General</c:formatCode>
                <c:ptCount val="5"/>
                <c:pt idx="0">
                  <c:v>12</c:v>
                </c:pt>
                <c:pt idx="1">
                  <c:v>71</c:v>
                </c:pt>
                <c:pt idx="2">
                  <c:v>116</c:v>
                </c:pt>
                <c:pt idx="3">
                  <c:v>91</c:v>
                </c:pt>
                <c:pt idx="4">
                  <c:v>13</c:v>
                </c:pt>
              </c:numCache>
            </c:numRef>
          </c:val>
          <c:extLst>
            <c:ext xmlns:c16="http://schemas.microsoft.com/office/drawing/2014/chart" uri="{C3380CC4-5D6E-409C-BE32-E72D297353CC}">
              <c16:uniqueId val="{00000000-C08E-4D0B-BBB7-E71AE71696C6}"/>
            </c:ext>
          </c:extLst>
        </c:ser>
        <c:ser>
          <c:idx val="1"/>
          <c:order val="1"/>
          <c:tx>
            <c:strRef>
              <c:f>'AC-4'!$C$3</c:f>
              <c:strCache>
                <c:ptCount val="1"/>
                <c:pt idx="0">
                  <c:v>Slope Indicator associated with Total Patient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'AC-4'!$A$4:$A$9</c:f>
              <c:strCache>
                <c:ptCount val="5"/>
                <c:pt idx="0">
                  <c:v>29-38</c:v>
                </c:pt>
                <c:pt idx="1">
                  <c:v>39-48</c:v>
                </c:pt>
                <c:pt idx="2">
                  <c:v>49-58</c:v>
                </c:pt>
                <c:pt idx="3">
                  <c:v>59-68</c:v>
                </c:pt>
                <c:pt idx="4">
                  <c:v>69-78</c:v>
                </c:pt>
              </c:strCache>
            </c:strRef>
          </c:cat>
          <c:val>
            <c:numRef>
              <c:f>'AC-4'!$C$4:$C$9</c:f>
              <c:numCache>
                <c:formatCode>General</c:formatCode>
                <c:ptCount val="5"/>
                <c:pt idx="0">
                  <c:v>1</c:v>
                </c:pt>
                <c:pt idx="1">
                  <c:v>12</c:v>
                </c:pt>
                <c:pt idx="2">
                  <c:v>21</c:v>
                </c:pt>
                <c:pt idx="3">
                  <c:v>12</c:v>
                </c:pt>
                <c:pt idx="4">
                  <c:v>3</c:v>
                </c:pt>
              </c:numCache>
            </c:numRef>
          </c:val>
          <c:extLst>
            <c:ext xmlns:c16="http://schemas.microsoft.com/office/drawing/2014/chart" uri="{C3380CC4-5D6E-409C-BE32-E72D297353CC}">
              <c16:uniqueId val="{00000003-C08E-4D0B-BBB7-E71AE71696C6}"/>
            </c:ext>
          </c:extLst>
        </c:ser>
        <c:dLbls>
          <c:showLegendKey val="0"/>
          <c:showVal val="0"/>
          <c:showCatName val="0"/>
          <c:showSerName val="0"/>
          <c:showPercent val="0"/>
          <c:showBubbleSize val="0"/>
        </c:dLbls>
        <c:gapWidth val="219"/>
        <c:overlap val="-27"/>
        <c:axId val="1694575359"/>
        <c:axId val="1694579679"/>
      </c:barChart>
      <c:catAx>
        <c:axId val="169457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79679"/>
        <c:crosses val="autoZero"/>
        <c:auto val="1"/>
        <c:lblAlgn val="ctr"/>
        <c:lblOffset val="100"/>
        <c:noMultiLvlLbl val="0"/>
      </c:catAx>
      <c:valAx>
        <c:axId val="1694579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94575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A61C1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image" Target="../media/image7.png"/><Relationship Id="rId18" Type="http://schemas.openxmlformats.org/officeDocument/2006/relationships/image" Target="../media/image9.png"/><Relationship Id="rId3" Type="http://schemas.openxmlformats.org/officeDocument/2006/relationships/chart" Target="../charts/chart10.xml"/><Relationship Id="rId7" Type="http://schemas.openxmlformats.org/officeDocument/2006/relationships/chart" Target="../charts/chart13.xml"/><Relationship Id="rId12" Type="http://schemas.openxmlformats.org/officeDocument/2006/relationships/image" Target="../media/image6.png"/><Relationship Id="rId17" Type="http://schemas.openxmlformats.org/officeDocument/2006/relationships/hyperlink" Target="#'Data Dictionary'!A1"/><Relationship Id="rId2" Type="http://schemas.openxmlformats.org/officeDocument/2006/relationships/image" Target="../media/image2.svg"/><Relationship Id="rId16" Type="http://schemas.openxmlformats.org/officeDocument/2006/relationships/hyperlink" Target="#'Key Insights'!A1"/><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image" Target="../media/image5.svg"/><Relationship Id="rId5" Type="http://schemas.openxmlformats.org/officeDocument/2006/relationships/chart" Target="../charts/chart11.xml"/><Relationship Id="rId15" Type="http://schemas.openxmlformats.org/officeDocument/2006/relationships/hyperlink" Target="#Analysis!A1"/><Relationship Id="rId10"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chart" Target="../charts/chart15.xml"/><Relationship Id="rId14" Type="http://schemas.openxmlformats.org/officeDocument/2006/relationships/image" Target="../media/image8.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4.png"/><Relationship Id="rId18" Type="http://schemas.openxmlformats.org/officeDocument/2006/relationships/image" Target="../media/image19.svg"/><Relationship Id="rId3" Type="http://schemas.openxmlformats.org/officeDocument/2006/relationships/hyperlink" Target="#'Key Insights'!A1"/><Relationship Id="rId7" Type="http://schemas.openxmlformats.org/officeDocument/2006/relationships/chart" Target="../charts/chart17.xml"/><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2.svg"/><Relationship Id="rId16" Type="http://schemas.openxmlformats.org/officeDocument/2006/relationships/image" Target="../media/image17.png"/><Relationship Id="rId1" Type="http://schemas.openxmlformats.org/officeDocument/2006/relationships/image" Target="../media/image1.png"/><Relationship Id="rId6" Type="http://schemas.openxmlformats.org/officeDocument/2006/relationships/chart" Target="../charts/chart16.xml"/><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hyperlink" Target="#OverView!A1"/><Relationship Id="rId9" Type="http://schemas.openxmlformats.org/officeDocument/2006/relationships/chart" Target="../charts/chart19.xml"/><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OverView!A1"/><Relationship Id="rId7" Type="http://schemas.openxmlformats.org/officeDocument/2006/relationships/image" Target="../media/image22.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hyperlink" Target="#Analysis!A1"/></Relationships>
</file>

<file path=xl/drawings/_rels/drawing11.xml.rels><?xml version="1.0" encoding="UTF-8" standalone="yes"?>
<Relationships xmlns="http://schemas.openxmlformats.org/package/2006/relationships"><Relationship Id="rId3" Type="http://schemas.openxmlformats.org/officeDocument/2006/relationships/hyperlink" Target="#OverView!A1"/><Relationship Id="rId2" Type="http://schemas.openxmlformats.org/officeDocument/2006/relationships/image" Target="../media/image2.sv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5</xdr:col>
      <xdr:colOff>114300</xdr:colOff>
      <xdr:row>6</xdr:row>
      <xdr:rowOff>0</xdr:rowOff>
    </xdr:from>
    <xdr:to>
      <xdr:col>12</xdr:col>
      <xdr:colOff>419100</xdr:colOff>
      <xdr:row>20</xdr:row>
      <xdr:rowOff>76200</xdr:rowOff>
    </xdr:to>
    <xdr:graphicFrame macro="">
      <xdr:nvGraphicFramePr>
        <xdr:cNvPr id="2" name="Chart 1">
          <a:extLst>
            <a:ext uri="{FF2B5EF4-FFF2-40B4-BE49-F238E27FC236}">
              <a16:creationId xmlns:a16="http://schemas.microsoft.com/office/drawing/2014/main" id="{6DC24843-9EED-84F9-85E6-12AC0B28AE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285750</xdr:colOff>
      <xdr:row>11</xdr:row>
      <xdr:rowOff>104776</xdr:rowOff>
    </xdr:from>
    <xdr:to>
      <xdr:col>2</xdr:col>
      <xdr:colOff>238125</xdr:colOff>
      <xdr:row>20</xdr:row>
      <xdr:rowOff>66676</xdr:rowOff>
    </xdr:to>
    <mc:AlternateContent xmlns:mc="http://schemas.openxmlformats.org/markup-compatibility/2006" xmlns:a14="http://schemas.microsoft.com/office/drawing/2010/main">
      <mc:Choice Requires="a14">
        <xdr:graphicFrame macro="">
          <xdr:nvGraphicFramePr>
            <xdr:cNvPr id="3" name="age">
              <a:extLst>
                <a:ext uri="{FF2B5EF4-FFF2-40B4-BE49-F238E27FC236}">
                  <a16:creationId xmlns:a16="http://schemas.microsoft.com/office/drawing/2014/main" id="{693CB1C3-EE0F-327E-AA91-D628083040FB}"/>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285750" y="2200276"/>
              <a:ext cx="1685925" cy="167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361950</xdr:colOff>
      <xdr:row>5</xdr:row>
      <xdr:rowOff>66675</xdr:rowOff>
    </xdr:from>
    <xdr:to>
      <xdr:col>16</xdr:col>
      <xdr:colOff>361950</xdr:colOff>
      <xdr:row>18</xdr:row>
      <xdr:rowOff>114300</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46C7E4E2-D40A-E007-CB9B-6DE011E7DFD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001125" y="10191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190500</xdr:colOff>
      <xdr:row>2</xdr:row>
      <xdr:rowOff>95250</xdr:rowOff>
    </xdr:from>
    <xdr:to>
      <xdr:col>10</xdr:col>
      <xdr:colOff>495300</xdr:colOff>
      <xdr:row>16</xdr:row>
      <xdr:rowOff>171450</xdr:rowOff>
    </xdr:to>
    <xdr:graphicFrame macro="">
      <xdr:nvGraphicFramePr>
        <xdr:cNvPr id="2" name="Chart 1">
          <a:extLst>
            <a:ext uri="{FF2B5EF4-FFF2-40B4-BE49-F238E27FC236}">
              <a16:creationId xmlns:a16="http://schemas.microsoft.com/office/drawing/2014/main" id="{EABA505C-7428-AE51-D4EC-9CCF590D7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180975</xdr:colOff>
      <xdr:row>2</xdr:row>
      <xdr:rowOff>19050</xdr:rowOff>
    </xdr:from>
    <xdr:to>
      <xdr:col>11</xdr:col>
      <xdr:colOff>485775</xdr:colOff>
      <xdr:row>16</xdr:row>
      <xdr:rowOff>95250</xdr:rowOff>
    </xdr:to>
    <xdr:graphicFrame macro="">
      <xdr:nvGraphicFramePr>
        <xdr:cNvPr id="2" name="Chart 1">
          <a:extLst>
            <a:ext uri="{FF2B5EF4-FFF2-40B4-BE49-F238E27FC236}">
              <a16:creationId xmlns:a16="http://schemas.microsoft.com/office/drawing/2014/main" id="{43C040EE-9E1B-BE33-67C5-6261F3A8BB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590550</xdr:colOff>
      <xdr:row>16</xdr:row>
      <xdr:rowOff>133350</xdr:rowOff>
    </xdr:from>
    <xdr:to>
      <xdr:col>10</xdr:col>
      <xdr:colOff>285750</xdr:colOff>
      <xdr:row>31</xdr:row>
      <xdr:rowOff>19050</xdr:rowOff>
    </xdr:to>
    <xdr:graphicFrame macro="">
      <xdr:nvGraphicFramePr>
        <xdr:cNvPr id="2" name="Chart 1">
          <a:extLst>
            <a:ext uri="{FF2B5EF4-FFF2-40B4-BE49-F238E27FC236}">
              <a16:creationId xmlns:a16="http://schemas.microsoft.com/office/drawing/2014/main" id="{5DEBF9EF-A8F0-0400-BDF4-82192F2BEC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590550</xdr:colOff>
      <xdr:row>4</xdr:row>
      <xdr:rowOff>133350</xdr:rowOff>
    </xdr:from>
    <xdr:to>
      <xdr:col>10</xdr:col>
      <xdr:colOff>285750</xdr:colOff>
      <xdr:row>19</xdr:row>
      <xdr:rowOff>19050</xdr:rowOff>
    </xdr:to>
    <xdr:graphicFrame macro="">
      <xdr:nvGraphicFramePr>
        <xdr:cNvPr id="2" name="Chart 1">
          <a:extLst>
            <a:ext uri="{FF2B5EF4-FFF2-40B4-BE49-F238E27FC236}">
              <a16:creationId xmlns:a16="http://schemas.microsoft.com/office/drawing/2014/main" id="{E9AE35C3-B0B5-6B27-CF42-82EB9A8971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590550</xdr:colOff>
      <xdr:row>4</xdr:row>
      <xdr:rowOff>133350</xdr:rowOff>
    </xdr:from>
    <xdr:to>
      <xdr:col>10</xdr:col>
      <xdr:colOff>285750</xdr:colOff>
      <xdr:row>19</xdr:row>
      <xdr:rowOff>19050</xdr:rowOff>
    </xdr:to>
    <xdr:graphicFrame macro="">
      <xdr:nvGraphicFramePr>
        <xdr:cNvPr id="3" name="Chart 2">
          <a:extLst>
            <a:ext uri="{FF2B5EF4-FFF2-40B4-BE49-F238E27FC236}">
              <a16:creationId xmlns:a16="http://schemas.microsoft.com/office/drawing/2014/main" id="{97E23B00-828F-6E0C-6BF2-2F1DE77C62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590550</xdr:colOff>
      <xdr:row>4</xdr:row>
      <xdr:rowOff>133350</xdr:rowOff>
    </xdr:from>
    <xdr:to>
      <xdr:col>10</xdr:col>
      <xdr:colOff>285750</xdr:colOff>
      <xdr:row>19</xdr:row>
      <xdr:rowOff>19050</xdr:rowOff>
    </xdr:to>
    <xdr:graphicFrame macro="">
      <xdr:nvGraphicFramePr>
        <xdr:cNvPr id="4" name="Chart 3">
          <a:extLst>
            <a:ext uri="{FF2B5EF4-FFF2-40B4-BE49-F238E27FC236}">
              <a16:creationId xmlns:a16="http://schemas.microsoft.com/office/drawing/2014/main" id="{548458ED-AD3D-27AD-46CF-125CC81D20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590550</xdr:colOff>
      <xdr:row>4</xdr:row>
      <xdr:rowOff>133350</xdr:rowOff>
    </xdr:from>
    <xdr:to>
      <xdr:col>10</xdr:col>
      <xdr:colOff>285750</xdr:colOff>
      <xdr:row>19</xdr:row>
      <xdr:rowOff>19050</xdr:rowOff>
    </xdr:to>
    <xdr:graphicFrame macro="">
      <xdr:nvGraphicFramePr>
        <xdr:cNvPr id="5" name="Chart 4">
          <a:extLst>
            <a:ext uri="{FF2B5EF4-FFF2-40B4-BE49-F238E27FC236}">
              <a16:creationId xmlns:a16="http://schemas.microsoft.com/office/drawing/2014/main" id="{4AFE46BC-2F4F-2A83-2F3C-46E58FA4B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590550</xdr:colOff>
      <xdr:row>4</xdr:row>
      <xdr:rowOff>133350</xdr:rowOff>
    </xdr:from>
    <xdr:to>
      <xdr:col>10</xdr:col>
      <xdr:colOff>285750</xdr:colOff>
      <xdr:row>19</xdr:row>
      <xdr:rowOff>19050</xdr:rowOff>
    </xdr:to>
    <xdr:graphicFrame macro="">
      <xdr:nvGraphicFramePr>
        <xdr:cNvPr id="3" name="Chart 2">
          <a:extLst>
            <a:ext uri="{FF2B5EF4-FFF2-40B4-BE49-F238E27FC236}">
              <a16:creationId xmlns:a16="http://schemas.microsoft.com/office/drawing/2014/main" id="{D5D1472E-FF5C-1D1A-E21E-BA92A4F2CA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19050</xdr:rowOff>
    </xdr:from>
    <xdr:to>
      <xdr:col>22</xdr:col>
      <xdr:colOff>190500</xdr:colOff>
      <xdr:row>3</xdr:row>
      <xdr:rowOff>0</xdr:rowOff>
    </xdr:to>
    <xdr:sp macro="" textlink="">
      <xdr:nvSpPr>
        <xdr:cNvPr id="2" name="Rectangle: Rounded Corners 1">
          <a:extLst>
            <a:ext uri="{FF2B5EF4-FFF2-40B4-BE49-F238E27FC236}">
              <a16:creationId xmlns:a16="http://schemas.microsoft.com/office/drawing/2014/main" id="{0E0E3634-6D25-771B-5894-ED7E7CC3E752}"/>
            </a:ext>
          </a:extLst>
        </xdr:cNvPr>
        <xdr:cNvSpPr/>
      </xdr:nvSpPr>
      <xdr:spPr>
        <a:xfrm>
          <a:off x="0" y="19050"/>
          <a:ext cx="13601700" cy="552450"/>
        </a:xfrm>
        <a:prstGeom prst="roundRect">
          <a:avLst/>
        </a:prstGeom>
        <a:solidFill>
          <a:srgbClr val="7A0C0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100" baseline="0"/>
            <a:t>                                                                                                                             </a:t>
          </a:r>
        </a:p>
        <a:p>
          <a:pPr algn="l"/>
          <a:endParaRPr lang="en-IN" sz="1100"/>
        </a:p>
      </xdr:txBody>
    </xdr:sp>
    <xdr:clientData/>
  </xdr:twoCellAnchor>
  <xdr:twoCellAnchor>
    <xdr:from>
      <xdr:col>0</xdr:col>
      <xdr:colOff>19049</xdr:colOff>
      <xdr:row>0</xdr:row>
      <xdr:rowOff>19050</xdr:rowOff>
    </xdr:from>
    <xdr:to>
      <xdr:col>5</xdr:col>
      <xdr:colOff>409575</xdr:colOff>
      <xdr:row>2</xdr:row>
      <xdr:rowOff>180975</xdr:rowOff>
    </xdr:to>
    <xdr:sp macro="" textlink="">
      <xdr:nvSpPr>
        <xdr:cNvPr id="3" name="TextBox 2">
          <a:extLst>
            <a:ext uri="{FF2B5EF4-FFF2-40B4-BE49-F238E27FC236}">
              <a16:creationId xmlns:a16="http://schemas.microsoft.com/office/drawing/2014/main" id="{36E1511A-F945-E918-F700-06920AE27969}"/>
            </a:ext>
          </a:extLst>
        </xdr:cNvPr>
        <xdr:cNvSpPr txBox="1"/>
      </xdr:nvSpPr>
      <xdr:spPr>
        <a:xfrm>
          <a:off x="19049" y="19050"/>
          <a:ext cx="3438526" cy="542925"/>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a:solidFill>
                <a:srgbClr val="4A0404"/>
              </a:solidFill>
            </a:rPr>
            <a:t>HEART DISEASE DASHBOARD</a:t>
          </a:r>
        </a:p>
      </xdr:txBody>
    </xdr:sp>
    <xdr:clientData/>
  </xdr:twoCellAnchor>
  <xdr:twoCellAnchor editAs="oneCell">
    <xdr:from>
      <xdr:col>4</xdr:col>
      <xdr:colOff>390525</xdr:colOff>
      <xdr:row>0</xdr:row>
      <xdr:rowOff>66675</xdr:rowOff>
    </xdr:from>
    <xdr:to>
      <xdr:col>5</xdr:col>
      <xdr:colOff>247650</xdr:colOff>
      <xdr:row>2</xdr:row>
      <xdr:rowOff>133350</xdr:rowOff>
    </xdr:to>
    <xdr:pic>
      <xdr:nvPicPr>
        <xdr:cNvPr id="5" name="Graphic 4" descr="Heart with pulse with solid fill">
          <a:extLst>
            <a:ext uri="{FF2B5EF4-FFF2-40B4-BE49-F238E27FC236}">
              <a16:creationId xmlns:a16="http://schemas.microsoft.com/office/drawing/2014/main" id="{1F202751-9630-BA64-07FA-48336DDFD5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28925" y="66675"/>
          <a:ext cx="466725" cy="447675"/>
        </a:xfrm>
        <a:prstGeom prst="rect">
          <a:avLst/>
        </a:prstGeom>
      </xdr:spPr>
    </xdr:pic>
    <xdr:clientData/>
  </xdr:twoCellAnchor>
  <xdr:twoCellAnchor>
    <xdr:from>
      <xdr:col>8</xdr:col>
      <xdr:colOff>247650</xdr:colOff>
      <xdr:row>0</xdr:row>
      <xdr:rowOff>19049</xdr:rowOff>
    </xdr:from>
    <xdr:to>
      <xdr:col>11</xdr:col>
      <xdr:colOff>476250</xdr:colOff>
      <xdr:row>2</xdr:row>
      <xdr:rowOff>161924</xdr:rowOff>
    </xdr:to>
    <xdr:sp macro="" textlink="">
      <xdr:nvSpPr>
        <xdr:cNvPr id="6" name="TextBox 5">
          <a:extLst>
            <a:ext uri="{FF2B5EF4-FFF2-40B4-BE49-F238E27FC236}">
              <a16:creationId xmlns:a16="http://schemas.microsoft.com/office/drawing/2014/main" id="{DB35C6AD-0DD5-7FC9-4919-E0833536047A}"/>
            </a:ext>
          </a:extLst>
        </xdr:cNvPr>
        <xdr:cNvSpPr txBox="1"/>
      </xdr:nvSpPr>
      <xdr:spPr>
        <a:xfrm>
          <a:off x="5124450" y="19049"/>
          <a:ext cx="2057400" cy="523875"/>
        </a:xfrm>
        <a:prstGeom prst="rect">
          <a:avLst/>
        </a:prstGeom>
        <a:solidFill>
          <a:srgbClr val="7A0C0C"/>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A0404"/>
              </a:solidFill>
            </a:rPr>
            <a:t>OVERVIEW</a:t>
          </a:r>
        </a:p>
      </xdr:txBody>
    </xdr:sp>
    <xdr:clientData/>
  </xdr:twoCellAnchor>
  <xdr:twoCellAnchor>
    <xdr:from>
      <xdr:col>1</xdr:col>
      <xdr:colOff>523875</xdr:colOff>
      <xdr:row>10</xdr:row>
      <xdr:rowOff>9525</xdr:rowOff>
    </xdr:from>
    <xdr:to>
      <xdr:col>8</xdr:col>
      <xdr:colOff>367875</xdr:colOff>
      <xdr:row>21</xdr:row>
      <xdr:rowOff>182025</xdr:rowOff>
    </xdr:to>
    <xdr:graphicFrame macro="">
      <xdr:nvGraphicFramePr>
        <xdr:cNvPr id="7" name="Chart 6">
          <a:extLst>
            <a:ext uri="{FF2B5EF4-FFF2-40B4-BE49-F238E27FC236}">
              <a16:creationId xmlns:a16="http://schemas.microsoft.com/office/drawing/2014/main" id="{CE637FDB-CD6F-4515-9214-138386CB3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12</xdr:row>
      <xdr:rowOff>28575</xdr:rowOff>
    </xdr:from>
    <xdr:to>
      <xdr:col>1</xdr:col>
      <xdr:colOff>514350</xdr:colOff>
      <xdr:row>19</xdr:row>
      <xdr:rowOff>123825</xdr:rowOff>
    </xdr:to>
    <mc:AlternateContent xmlns:mc="http://schemas.openxmlformats.org/markup-compatibility/2006" xmlns:a14="http://schemas.microsoft.com/office/drawing/2010/main">
      <mc:Choice Requires="a14">
        <xdr:graphicFrame macro="">
          <xdr:nvGraphicFramePr>
            <xdr:cNvPr id="8" name="age 1">
              <a:extLst>
                <a:ext uri="{FF2B5EF4-FFF2-40B4-BE49-F238E27FC236}">
                  <a16:creationId xmlns:a16="http://schemas.microsoft.com/office/drawing/2014/main" id="{FCAA9862-AD0C-414C-896A-8CB68F482E87}"/>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0" y="2314575"/>
              <a:ext cx="1123950" cy="1428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171450</xdr:colOff>
      <xdr:row>27</xdr:row>
      <xdr:rowOff>133350</xdr:rowOff>
    </xdr:from>
    <xdr:to>
      <xdr:col>1</xdr:col>
      <xdr:colOff>281850</xdr:colOff>
      <xdr:row>31</xdr:row>
      <xdr:rowOff>91350</xdr:rowOff>
    </xdr:to>
    <xdr:pic macro="[0]!Sheet7.ResetDashboard">
      <xdr:nvPicPr>
        <xdr:cNvPr id="11" name="Picture 10">
          <a:extLst>
            <a:ext uri="{FF2B5EF4-FFF2-40B4-BE49-F238E27FC236}">
              <a16:creationId xmlns:a16="http://schemas.microsoft.com/office/drawing/2014/main" id="{23BAEA36-F866-9805-719E-CB1AD7567F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1450" y="5276850"/>
          <a:ext cx="720000" cy="720000"/>
        </a:xfrm>
        <a:prstGeom prst="rect">
          <a:avLst/>
        </a:prstGeom>
        <a:solidFill>
          <a:srgbClr val="A61C1C"/>
        </a:solidFill>
      </xdr:spPr>
    </xdr:pic>
    <xdr:clientData fLocksWithSheet="0"/>
  </xdr:twoCellAnchor>
  <xdr:twoCellAnchor>
    <xdr:from>
      <xdr:col>8</xdr:col>
      <xdr:colOff>371475</xdr:colOff>
      <xdr:row>10</xdr:row>
      <xdr:rowOff>0</xdr:rowOff>
    </xdr:from>
    <xdr:to>
      <xdr:col>14</xdr:col>
      <xdr:colOff>493875</xdr:colOff>
      <xdr:row>21</xdr:row>
      <xdr:rowOff>172500</xdr:rowOff>
    </xdr:to>
    <xdr:graphicFrame macro="">
      <xdr:nvGraphicFramePr>
        <xdr:cNvPr id="12" name="Chart 11">
          <a:extLst>
            <a:ext uri="{FF2B5EF4-FFF2-40B4-BE49-F238E27FC236}">
              <a16:creationId xmlns:a16="http://schemas.microsoft.com/office/drawing/2014/main" id="{15708F4A-3B5D-4D0E-8B33-C18435CBC8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10</xdr:row>
      <xdr:rowOff>0</xdr:rowOff>
    </xdr:from>
    <xdr:to>
      <xdr:col>21</xdr:col>
      <xdr:colOff>8100</xdr:colOff>
      <xdr:row>21</xdr:row>
      <xdr:rowOff>172500</xdr:rowOff>
    </xdr:to>
    <xdr:graphicFrame macro="">
      <xdr:nvGraphicFramePr>
        <xdr:cNvPr id="13" name="Chart 12">
          <a:extLst>
            <a:ext uri="{FF2B5EF4-FFF2-40B4-BE49-F238E27FC236}">
              <a16:creationId xmlns:a16="http://schemas.microsoft.com/office/drawing/2014/main" id="{2A3477BC-D8CB-4196-9321-69EA68379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523875</xdr:colOff>
      <xdr:row>22</xdr:row>
      <xdr:rowOff>0</xdr:rowOff>
    </xdr:from>
    <xdr:to>
      <xdr:col>8</xdr:col>
      <xdr:colOff>144675</xdr:colOff>
      <xdr:row>33</xdr:row>
      <xdr:rowOff>154500</xdr:rowOff>
    </xdr:to>
    <xdr:graphicFrame macro="">
      <xdr:nvGraphicFramePr>
        <xdr:cNvPr id="15" name="Chart 14">
          <a:extLst>
            <a:ext uri="{FF2B5EF4-FFF2-40B4-BE49-F238E27FC236}">
              <a16:creationId xmlns:a16="http://schemas.microsoft.com/office/drawing/2014/main" id="{4503C6CA-5C7F-4B23-A72F-F0EB6DB8BF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152400</xdr:colOff>
      <xdr:row>21</xdr:row>
      <xdr:rowOff>180975</xdr:rowOff>
    </xdr:from>
    <xdr:to>
      <xdr:col>15</xdr:col>
      <xdr:colOff>10800</xdr:colOff>
      <xdr:row>33</xdr:row>
      <xdr:rowOff>126975</xdr:rowOff>
    </xdr:to>
    <xdr:graphicFrame macro="">
      <xdr:nvGraphicFramePr>
        <xdr:cNvPr id="16" name="Chart 15">
          <a:extLst>
            <a:ext uri="{FF2B5EF4-FFF2-40B4-BE49-F238E27FC236}">
              <a16:creationId xmlns:a16="http://schemas.microsoft.com/office/drawing/2014/main" id="{9532E805-4712-4734-AD93-D39DFF3CC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9525</xdr:colOff>
      <xdr:row>21</xdr:row>
      <xdr:rowOff>180975</xdr:rowOff>
    </xdr:from>
    <xdr:to>
      <xdr:col>20</xdr:col>
      <xdr:colOff>597525</xdr:colOff>
      <xdr:row>33</xdr:row>
      <xdr:rowOff>126975</xdr:rowOff>
    </xdr:to>
    <xdr:graphicFrame macro="">
      <xdr:nvGraphicFramePr>
        <xdr:cNvPr id="17" name="Chart 16">
          <a:extLst>
            <a:ext uri="{FF2B5EF4-FFF2-40B4-BE49-F238E27FC236}">
              <a16:creationId xmlns:a16="http://schemas.microsoft.com/office/drawing/2014/main" id="{F86BDA6B-9070-46CD-AC6A-C70A75A23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3</xdr:row>
      <xdr:rowOff>9524</xdr:rowOff>
    </xdr:from>
    <xdr:to>
      <xdr:col>5</xdr:col>
      <xdr:colOff>159150</xdr:colOff>
      <xdr:row>10</xdr:row>
      <xdr:rowOff>0</xdr:rowOff>
    </xdr:to>
    <xdr:grpSp>
      <xdr:nvGrpSpPr>
        <xdr:cNvPr id="41" name="Group 40">
          <a:extLst>
            <a:ext uri="{FF2B5EF4-FFF2-40B4-BE49-F238E27FC236}">
              <a16:creationId xmlns:a16="http://schemas.microsoft.com/office/drawing/2014/main" id="{D42789FC-C67D-E9A1-9BD7-B656FE680B54}"/>
            </a:ext>
          </a:extLst>
        </xdr:cNvPr>
        <xdr:cNvGrpSpPr/>
      </xdr:nvGrpSpPr>
      <xdr:grpSpPr>
        <a:xfrm>
          <a:off x="0" y="581024"/>
          <a:ext cx="3207150" cy="1323976"/>
          <a:chOff x="0" y="590549"/>
          <a:chExt cx="3207150" cy="1323976"/>
        </a:xfrm>
      </xdr:grpSpPr>
      <xdr:sp macro="" textlink="Okpi!I12">
        <xdr:nvSpPr>
          <xdr:cNvPr id="10" name="Rectangle: Rounded Corners 9">
            <a:extLst>
              <a:ext uri="{FF2B5EF4-FFF2-40B4-BE49-F238E27FC236}">
                <a16:creationId xmlns:a16="http://schemas.microsoft.com/office/drawing/2014/main" id="{A406144F-986E-4DDD-F21A-E5E864744AE7}"/>
              </a:ext>
            </a:extLst>
          </xdr:cNvPr>
          <xdr:cNvSpPr/>
        </xdr:nvSpPr>
        <xdr:spPr>
          <a:xfrm>
            <a:off x="0" y="590549"/>
            <a:ext cx="3207150" cy="1323976"/>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i="0" u="none" strike="noStrike">
              <a:solidFill>
                <a:srgbClr val="000000"/>
              </a:solidFill>
              <a:latin typeface="Calibri"/>
              <a:cs typeface="Calibri"/>
            </a:endParaRPr>
          </a:p>
          <a:p>
            <a:pPr algn="l"/>
            <a:r>
              <a:rPr lang="en-US" sz="1800" b="1" i="0" u="none" strike="noStrike" baseline="0">
                <a:solidFill>
                  <a:srgbClr val="000000"/>
                </a:solidFill>
                <a:latin typeface="Calibri"/>
                <a:cs typeface="Calibri"/>
              </a:rPr>
              <a:t>                                 </a:t>
            </a:r>
            <a:endParaRPr lang="en-IN" sz="1800" b="1"/>
          </a:p>
        </xdr:txBody>
      </xdr:sp>
      <xdr:sp macro="" textlink="">
        <xdr:nvSpPr>
          <xdr:cNvPr id="14" name="TextBox 13">
            <a:extLst>
              <a:ext uri="{FF2B5EF4-FFF2-40B4-BE49-F238E27FC236}">
                <a16:creationId xmlns:a16="http://schemas.microsoft.com/office/drawing/2014/main" id="{C954A7F5-A12C-11B7-8053-41EE68E6C920}"/>
              </a:ext>
            </a:extLst>
          </xdr:cNvPr>
          <xdr:cNvSpPr txBox="1"/>
        </xdr:nvSpPr>
        <xdr:spPr>
          <a:xfrm>
            <a:off x="195864" y="647700"/>
            <a:ext cx="2928335" cy="3217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b="1">
                <a:solidFill>
                  <a:srgbClr val="4A0404"/>
                </a:solidFill>
              </a:rPr>
              <a:t> </a:t>
            </a:r>
            <a:r>
              <a:rPr lang="en-IN" sz="2000" b="1">
                <a:solidFill>
                  <a:srgbClr val="4A0404"/>
                </a:solidFill>
              </a:rPr>
              <a:t>Total Patient</a:t>
            </a:r>
          </a:p>
        </xdr:txBody>
      </xdr:sp>
      <xdr:sp macro="" textlink="Okpi!D5">
        <xdr:nvSpPr>
          <xdr:cNvPr id="18" name="TextBox 17">
            <a:extLst>
              <a:ext uri="{FF2B5EF4-FFF2-40B4-BE49-F238E27FC236}">
                <a16:creationId xmlns:a16="http://schemas.microsoft.com/office/drawing/2014/main" id="{A74F20F3-EA61-903B-920E-235693184F59}"/>
              </a:ext>
            </a:extLst>
          </xdr:cNvPr>
          <xdr:cNvSpPr txBox="1"/>
        </xdr:nvSpPr>
        <xdr:spPr>
          <a:xfrm>
            <a:off x="104774" y="1066801"/>
            <a:ext cx="3057526" cy="28575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A427A9-0F8C-48D9-8429-C02BD53CAC5A}" type="TxLink">
              <a:rPr lang="en-US" sz="2400" b="1" i="0" u="none" strike="noStrike">
                <a:solidFill>
                  <a:srgbClr val="4A0404"/>
                </a:solidFill>
                <a:latin typeface="Calibri"/>
                <a:cs typeface="Calibri"/>
              </a:rPr>
              <a:pPr algn="ctr"/>
              <a:t>303</a:t>
            </a:fld>
            <a:endParaRPr lang="en-IN" sz="2400" b="1">
              <a:solidFill>
                <a:srgbClr val="4A0404"/>
              </a:solidFill>
            </a:endParaRPr>
          </a:p>
        </xdr:txBody>
      </xdr:sp>
      <xdr:pic>
        <xdr:nvPicPr>
          <xdr:cNvPr id="20" name="Graphic 19" descr="Stethoscope with solid fill">
            <a:extLst>
              <a:ext uri="{FF2B5EF4-FFF2-40B4-BE49-F238E27FC236}">
                <a16:creationId xmlns:a16="http://schemas.microsoft.com/office/drawing/2014/main" id="{665291A4-FC94-6085-0E6C-9596F9CC6FF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09483" y="1428751"/>
            <a:ext cx="416277" cy="400050"/>
          </a:xfrm>
          <a:prstGeom prst="rect">
            <a:avLst/>
          </a:prstGeom>
        </xdr:spPr>
      </xdr:pic>
    </xdr:grpSp>
    <xdr:clientData/>
  </xdr:twoCellAnchor>
  <xdr:twoCellAnchor>
    <xdr:from>
      <xdr:col>5</xdr:col>
      <xdr:colOff>190500</xdr:colOff>
      <xdr:row>3</xdr:row>
      <xdr:rowOff>9525</xdr:rowOff>
    </xdr:from>
    <xdr:to>
      <xdr:col>10</xdr:col>
      <xdr:colOff>292500</xdr:colOff>
      <xdr:row>10</xdr:row>
      <xdr:rowOff>1</xdr:rowOff>
    </xdr:to>
    <xdr:grpSp>
      <xdr:nvGrpSpPr>
        <xdr:cNvPr id="39" name="Group 38">
          <a:extLst>
            <a:ext uri="{FF2B5EF4-FFF2-40B4-BE49-F238E27FC236}">
              <a16:creationId xmlns:a16="http://schemas.microsoft.com/office/drawing/2014/main" id="{9E98998A-9C33-FFCD-B164-221F692C01AC}"/>
            </a:ext>
          </a:extLst>
        </xdr:cNvPr>
        <xdr:cNvGrpSpPr/>
      </xdr:nvGrpSpPr>
      <xdr:grpSpPr>
        <a:xfrm>
          <a:off x="3238500" y="581025"/>
          <a:ext cx="3150000" cy="1323976"/>
          <a:chOff x="2743200" y="571500"/>
          <a:chExt cx="3064669" cy="1323976"/>
        </a:xfrm>
      </xdr:grpSpPr>
      <xdr:grpSp>
        <xdr:nvGrpSpPr>
          <xdr:cNvPr id="23" name="Group 22">
            <a:extLst>
              <a:ext uri="{FF2B5EF4-FFF2-40B4-BE49-F238E27FC236}">
                <a16:creationId xmlns:a16="http://schemas.microsoft.com/office/drawing/2014/main" id="{1755BDC9-A770-9930-CDE4-526340E779FD}"/>
              </a:ext>
            </a:extLst>
          </xdr:cNvPr>
          <xdr:cNvGrpSpPr/>
        </xdr:nvGrpSpPr>
        <xdr:grpSpPr>
          <a:xfrm>
            <a:off x="2743200" y="571500"/>
            <a:ext cx="3064669" cy="1323976"/>
            <a:chOff x="2743200" y="571500"/>
            <a:chExt cx="3064669" cy="1323976"/>
          </a:xfrm>
        </xdr:grpSpPr>
        <xdr:sp macro="" textlink="Okpi!I12">
          <xdr:nvSpPr>
            <xdr:cNvPr id="21" name="Rectangle: Rounded Corners 20">
              <a:extLst>
                <a:ext uri="{FF2B5EF4-FFF2-40B4-BE49-F238E27FC236}">
                  <a16:creationId xmlns:a16="http://schemas.microsoft.com/office/drawing/2014/main" id="{85DEC0C7-ED23-4438-9A49-AC64BBBCF67F}"/>
                </a:ext>
              </a:extLst>
            </xdr:cNvPr>
            <xdr:cNvSpPr/>
          </xdr:nvSpPr>
          <xdr:spPr>
            <a:xfrm>
              <a:off x="2743200" y="571500"/>
              <a:ext cx="3064669" cy="1323976"/>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000000"/>
                </a:solidFill>
                <a:latin typeface="Calibri"/>
                <a:cs typeface="Calibri"/>
              </a:endParaRPr>
            </a:p>
            <a:p>
              <a:pPr algn="l"/>
              <a:r>
                <a:rPr lang="en-US" sz="1400" b="1" i="0" u="none" strike="noStrike" baseline="0">
                  <a:solidFill>
                    <a:srgbClr val="000000"/>
                  </a:solidFill>
                  <a:latin typeface="Calibri"/>
                  <a:cs typeface="Calibri"/>
                </a:rPr>
                <a:t>                                 </a:t>
              </a:r>
              <a:endParaRPr lang="en-IN" sz="1400" b="1"/>
            </a:p>
          </xdr:txBody>
        </xdr:sp>
        <xdr:sp macro="" textlink="">
          <xdr:nvSpPr>
            <xdr:cNvPr id="22" name="TextBox 21">
              <a:extLst>
                <a:ext uri="{FF2B5EF4-FFF2-40B4-BE49-F238E27FC236}">
                  <a16:creationId xmlns:a16="http://schemas.microsoft.com/office/drawing/2014/main" id="{27BCF151-39C9-682F-318F-D36129B1C4E0}"/>
                </a:ext>
              </a:extLst>
            </xdr:cNvPr>
            <xdr:cNvSpPr txBox="1"/>
          </xdr:nvSpPr>
          <xdr:spPr>
            <a:xfrm>
              <a:off x="2867024" y="638175"/>
              <a:ext cx="2832341" cy="3429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A0404"/>
                  </a:solidFill>
                </a:rPr>
                <a:t>Total Heart Disease Pateint</a:t>
              </a:r>
            </a:p>
          </xdr:txBody>
        </xdr:sp>
      </xdr:grpSp>
      <xdr:sp macro="" textlink="Okpi!D7">
        <xdr:nvSpPr>
          <xdr:cNvPr id="24" name="Rectangle: Rounded Corners 23">
            <a:extLst>
              <a:ext uri="{FF2B5EF4-FFF2-40B4-BE49-F238E27FC236}">
                <a16:creationId xmlns:a16="http://schemas.microsoft.com/office/drawing/2014/main" id="{3FE66153-1381-D067-250A-D6F68B0DDA63}"/>
              </a:ext>
            </a:extLst>
          </xdr:cNvPr>
          <xdr:cNvSpPr/>
        </xdr:nvSpPr>
        <xdr:spPr>
          <a:xfrm>
            <a:off x="2798802" y="1009650"/>
            <a:ext cx="2956164" cy="438150"/>
          </a:xfrm>
          <a:prstGeom prst="roundRect">
            <a:avLst/>
          </a:prstGeom>
          <a:solidFill>
            <a:srgbClr val="C93A3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DEC1DBE-06A6-43B9-9E60-FA1DFDBBDB6F}" type="TxLink">
              <a:rPr lang="en-US" sz="2000" b="1" i="0" u="none" strike="noStrike">
                <a:solidFill>
                  <a:srgbClr val="4A0404"/>
                </a:solidFill>
                <a:latin typeface="Calibri"/>
                <a:cs typeface="Calibri"/>
              </a:rPr>
              <a:pPr algn="ctr"/>
              <a:t>165</a:t>
            </a:fld>
            <a:endParaRPr lang="en-IN" sz="2000" b="1">
              <a:solidFill>
                <a:srgbClr val="4A0404"/>
              </a:solidFill>
            </a:endParaRPr>
          </a:p>
        </xdr:txBody>
      </xdr:sp>
      <xdr:pic>
        <xdr:nvPicPr>
          <xdr:cNvPr id="26" name="Picture 25">
            <a:extLst>
              <a:ext uri="{FF2B5EF4-FFF2-40B4-BE49-F238E27FC236}">
                <a16:creationId xmlns:a16="http://schemas.microsoft.com/office/drawing/2014/main" id="{61C44796-463F-FE96-63F6-07ADC4A4BC1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099856" y="1447800"/>
            <a:ext cx="360000" cy="360000"/>
          </a:xfrm>
          <a:prstGeom prst="rect">
            <a:avLst/>
          </a:prstGeom>
        </xdr:spPr>
      </xdr:pic>
    </xdr:grpSp>
    <xdr:clientData/>
  </xdr:twoCellAnchor>
  <xdr:twoCellAnchor>
    <xdr:from>
      <xdr:col>10</xdr:col>
      <xdr:colOff>314325</xdr:colOff>
      <xdr:row>3</xdr:row>
      <xdr:rowOff>9525</xdr:rowOff>
    </xdr:from>
    <xdr:to>
      <xdr:col>15</xdr:col>
      <xdr:colOff>416325</xdr:colOff>
      <xdr:row>10</xdr:row>
      <xdr:rowOff>1</xdr:rowOff>
    </xdr:to>
    <xdr:grpSp>
      <xdr:nvGrpSpPr>
        <xdr:cNvPr id="38" name="Group 37">
          <a:extLst>
            <a:ext uri="{FF2B5EF4-FFF2-40B4-BE49-F238E27FC236}">
              <a16:creationId xmlns:a16="http://schemas.microsoft.com/office/drawing/2014/main" id="{40DB8992-2F1C-F39D-392C-F358FD4EF6CB}"/>
            </a:ext>
          </a:extLst>
        </xdr:cNvPr>
        <xdr:cNvGrpSpPr/>
      </xdr:nvGrpSpPr>
      <xdr:grpSpPr>
        <a:xfrm>
          <a:off x="6410325" y="581025"/>
          <a:ext cx="3150000" cy="1323976"/>
          <a:chOff x="5486400" y="561975"/>
          <a:chExt cx="2724150" cy="1323976"/>
        </a:xfrm>
      </xdr:grpSpPr>
      <xdr:sp macro="" textlink="Okpi!I12">
        <xdr:nvSpPr>
          <xdr:cNvPr id="27" name="Rectangle: Rounded Corners 26">
            <a:extLst>
              <a:ext uri="{FF2B5EF4-FFF2-40B4-BE49-F238E27FC236}">
                <a16:creationId xmlns:a16="http://schemas.microsoft.com/office/drawing/2014/main" id="{E27EDACD-CBB8-4214-9FCA-579D81C9A60A}"/>
              </a:ext>
            </a:extLst>
          </xdr:cNvPr>
          <xdr:cNvSpPr/>
        </xdr:nvSpPr>
        <xdr:spPr>
          <a:xfrm>
            <a:off x="5486400" y="561975"/>
            <a:ext cx="2724150" cy="1323976"/>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000000"/>
              </a:solidFill>
              <a:latin typeface="Calibri"/>
              <a:cs typeface="Calibri"/>
            </a:endParaRPr>
          </a:p>
          <a:p>
            <a:pPr algn="l"/>
            <a:r>
              <a:rPr lang="en-US" sz="1400" b="1" i="0" u="none" strike="noStrike" baseline="0">
                <a:solidFill>
                  <a:srgbClr val="000000"/>
                </a:solidFill>
                <a:latin typeface="Calibri"/>
                <a:cs typeface="Calibri"/>
              </a:rPr>
              <a:t>                                 </a:t>
            </a:r>
            <a:endParaRPr lang="en-IN" sz="1400" b="1"/>
          </a:p>
        </xdr:txBody>
      </xdr:sp>
      <xdr:sp macro="" textlink="">
        <xdr:nvSpPr>
          <xdr:cNvPr id="28" name="TextBox 27">
            <a:extLst>
              <a:ext uri="{FF2B5EF4-FFF2-40B4-BE49-F238E27FC236}">
                <a16:creationId xmlns:a16="http://schemas.microsoft.com/office/drawing/2014/main" id="{12CDCBF6-3F50-E4E8-DA8E-A78B6D0E1529}"/>
              </a:ext>
            </a:extLst>
          </xdr:cNvPr>
          <xdr:cNvSpPr txBox="1"/>
        </xdr:nvSpPr>
        <xdr:spPr>
          <a:xfrm>
            <a:off x="5514975" y="657226"/>
            <a:ext cx="2647950" cy="266699"/>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A0404"/>
                </a:solidFill>
              </a:rPr>
              <a:t>Total Non-Heart Disease Patient</a:t>
            </a:r>
          </a:p>
        </xdr:txBody>
      </xdr:sp>
      <xdr:sp macro="" textlink="Okpi!E6">
        <xdr:nvSpPr>
          <xdr:cNvPr id="29" name="TextBox 28">
            <a:extLst>
              <a:ext uri="{FF2B5EF4-FFF2-40B4-BE49-F238E27FC236}">
                <a16:creationId xmlns:a16="http://schemas.microsoft.com/office/drawing/2014/main" id="{27C56AAC-4BF3-AE69-6F65-D1902C1195B3}"/>
              </a:ext>
            </a:extLst>
          </xdr:cNvPr>
          <xdr:cNvSpPr txBox="1"/>
        </xdr:nvSpPr>
        <xdr:spPr>
          <a:xfrm>
            <a:off x="5514975" y="971550"/>
            <a:ext cx="2647950" cy="44767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2DA368-3EDE-480A-97E2-A1B22EE801BF}" type="TxLink">
              <a:rPr lang="en-US" sz="2400" b="1" i="0" u="none" strike="noStrike">
                <a:solidFill>
                  <a:srgbClr val="4A0404"/>
                </a:solidFill>
                <a:latin typeface="Calibri"/>
                <a:cs typeface="Calibri"/>
              </a:rPr>
              <a:pPr algn="ctr"/>
              <a:t>138</a:t>
            </a:fld>
            <a:endParaRPr lang="en-IN" sz="2400" b="1">
              <a:solidFill>
                <a:srgbClr val="4A0404"/>
              </a:solidFill>
            </a:endParaRPr>
          </a:p>
        </xdr:txBody>
      </xdr:sp>
      <xdr:pic>
        <xdr:nvPicPr>
          <xdr:cNvPr id="31" name="Picture 30">
            <a:extLst>
              <a:ext uri="{FF2B5EF4-FFF2-40B4-BE49-F238E27FC236}">
                <a16:creationId xmlns:a16="http://schemas.microsoft.com/office/drawing/2014/main" id="{71FCA50D-3688-5A05-830C-D8804E27220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677025" y="1447800"/>
            <a:ext cx="360000" cy="360000"/>
          </a:xfrm>
          <a:prstGeom prst="rect">
            <a:avLst/>
          </a:prstGeom>
        </xdr:spPr>
      </xdr:pic>
    </xdr:grpSp>
    <xdr:clientData/>
  </xdr:twoCellAnchor>
  <xdr:twoCellAnchor>
    <xdr:from>
      <xdr:col>15</xdr:col>
      <xdr:colOff>419100</xdr:colOff>
      <xdr:row>3</xdr:row>
      <xdr:rowOff>9525</xdr:rowOff>
    </xdr:from>
    <xdr:to>
      <xdr:col>21</xdr:col>
      <xdr:colOff>1500</xdr:colOff>
      <xdr:row>10</xdr:row>
      <xdr:rowOff>1</xdr:rowOff>
    </xdr:to>
    <xdr:grpSp>
      <xdr:nvGrpSpPr>
        <xdr:cNvPr id="37" name="Group 36">
          <a:extLst>
            <a:ext uri="{FF2B5EF4-FFF2-40B4-BE49-F238E27FC236}">
              <a16:creationId xmlns:a16="http://schemas.microsoft.com/office/drawing/2014/main" id="{9659DE94-E279-8383-423E-DA2D34ED4B1D}"/>
            </a:ext>
          </a:extLst>
        </xdr:cNvPr>
        <xdr:cNvGrpSpPr/>
      </xdr:nvGrpSpPr>
      <xdr:grpSpPr>
        <a:xfrm>
          <a:off x="9563100" y="581025"/>
          <a:ext cx="3240000" cy="1323976"/>
          <a:chOff x="8248135" y="552450"/>
          <a:chExt cx="2724150" cy="1323976"/>
        </a:xfrm>
      </xdr:grpSpPr>
      <xdr:sp macro="" textlink="Okpi!I12">
        <xdr:nvSpPr>
          <xdr:cNvPr id="32" name="Rectangle: Rounded Corners 31">
            <a:extLst>
              <a:ext uri="{FF2B5EF4-FFF2-40B4-BE49-F238E27FC236}">
                <a16:creationId xmlns:a16="http://schemas.microsoft.com/office/drawing/2014/main" id="{C5C5E41D-A7DA-4645-A387-3C0AADC8EE24}"/>
              </a:ext>
            </a:extLst>
          </xdr:cNvPr>
          <xdr:cNvSpPr/>
        </xdr:nvSpPr>
        <xdr:spPr>
          <a:xfrm>
            <a:off x="8248135" y="552450"/>
            <a:ext cx="2724150" cy="1323976"/>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i="0" u="none" strike="noStrike">
              <a:solidFill>
                <a:srgbClr val="000000"/>
              </a:solidFill>
              <a:latin typeface="Calibri"/>
              <a:cs typeface="Calibri"/>
            </a:endParaRPr>
          </a:p>
          <a:p>
            <a:pPr algn="l"/>
            <a:r>
              <a:rPr lang="en-US" sz="1400" b="1" i="0" u="none" strike="noStrike" baseline="0">
                <a:solidFill>
                  <a:srgbClr val="000000"/>
                </a:solidFill>
                <a:latin typeface="Calibri"/>
                <a:cs typeface="Calibri"/>
              </a:rPr>
              <a:t>                                 </a:t>
            </a:r>
            <a:endParaRPr lang="en-IN" sz="1400" b="1"/>
          </a:p>
        </xdr:txBody>
      </xdr:sp>
      <xdr:sp macro="" textlink="">
        <xdr:nvSpPr>
          <xdr:cNvPr id="33" name="TextBox 32">
            <a:extLst>
              <a:ext uri="{FF2B5EF4-FFF2-40B4-BE49-F238E27FC236}">
                <a16:creationId xmlns:a16="http://schemas.microsoft.com/office/drawing/2014/main" id="{1A92A218-6FBD-8722-AE09-3731AD1F3DD3}"/>
              </a:ext>
            </a:extLst>
          </xdr:cNvPr>
          <xdr:cNvSpPr txBox="1"/>
        </xdr:nvSpPr>
        <xdr:spPr>
          <a:xfrm>
            <a:off x="8355220" y="619125"/>
            <a:ext cx="2512380" cy="31432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rgbClr val="4A0404"/>
                </a:solidFill>
              </a:rPr>
              <a:t>Age Range of Patient</a:t>
            </a:r>
          </a:p>
        </xdr:txBody>
      </xdr:sp>
      <xdr:sp macro="" textlink="Okpi!G8">
        <xdr:nvSpPr>
          <xdr:cNvPr id="34" name="TextBox 33">
            <a:extLst>
              <a:ext uri="{FF2B5EF4-FFF2-40B4-BE49-F238E27FC236}">
                <a16:creationId xmlns:a16="http://schemas.microsoft.com/office/drawing/2014/main" id="{2C79290E-9BE8-3B87-B18F-B578CD8819C8}"/>
              </a:ext>
            </a:extLst>
          </xdr:cNvPr>
          <xdr:cNvSpPr txBox="1"/>
        </xdr:nvSpPr>
        <xdr:spPr>
          <a:xfrm>
            <a:off x="8286750" y="1028700"/>
            <a:ext cx="2619376" cy="37147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AAC6C2-A8B2-413A-9091-E7D1E4ED43EF}" type="TxLink">
              <a:rPr lang="en-US" sz="2000" b="1" i="0" u="none" strike="noStrike">
                <a:solidFill>
                  <a:srgbClr val="4A0404"/>
                </a:solidFill>
                <a:latin typeface="Calibri"/>
                <a:cs typeface="Calibri"/>
              </a:rPr>
              <a:pPr algn="ctr"/>
              <a:t>29-77</a:t>
            </a:fld>
            <a:endParaRPr lang="en-IN" sz="2000" b="1">
              <a:solidFill>
                <a:srgbClr val="4A0404"/>
              </a:solidFill>
            </a:endParaRPr>
          </a:p>
        </xdr:txBody>
      </xdr:sp>
      <xdr:pic>
        <xdr:nvPicPr>
          <xdr:cNvPr id="36" name="Picture 35">
            <a:extLst>
              <a:ext uri="{FF2B5EF4-FFF2-40B4-BE49-F238E27FC236}">
                <a16:creationId xmlns:a16="http://schemas.microsoft.com/office/drawing/2014/main" id="{13555939-BA67-0A51-E5DD-CBB865D1D2CD}"/>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410700" y="1438275"/>
            <a:ext cx="360000" cy="360000"/>
          </a:xfrm>
          <a:prstGeom prst="rect">
            <a:avLst/>
          </a:prstGeom>
        </xdr:spPr>
      </xdr:pic>
    </xdr:grpSp>
    <xdr:clientData/>
  </xdr:twoCellAnchor>
  <xdr:twoCellAnchor>
    <xdr:from>
      <xdr:col>14</xdr:col>
      <xdr:colOff>95250</xdr:colOff>
      <xdr:row>0</xdr:row>
      <xdr:rowOff>57150</xdr:rowOff>
    </xdr:from>
    <xdr:to>
      <xdr:col>16</xdr:col>
      <xdr:colOff>161925</xdr:colOff>
      <xdr:row>2</xdr:row>
      <xdr:rowOff>133349</xdr:rowOff>
    </xdr:to>
    <xdr:sp macro="" textlink="">
      <xdr:nvSpPr>
        <xdr:cNvPr id="42" name="TextBox 41">
          <a:hlinkClick xmlns:r="http://schemas.openxmlformats.org/officeDocument/2006/relationships" r:id="rId15"/>
          <a:extLst>
            <a:ext uri="{FF2B5EF4-FFF2-40B4-BE49-F238E27FC236}">
              <a16:creationId xmlns:a16="http://schemas.microsoft.com/office/drawing/2014/main" id="{0D8A48C1-C1EA-9019-CE0D-2FD720AED3C5}"/>
            </a:ext>
          </a:extLst>
        </xdr:cNvPr>
        <xdr:cNvSpPr txBox="1"/>
      </xdr:nvSpPr>
      <xdr:spPr>
        <a:xfrm>
          <a:off x="8629650" y="57150"/>
          <a:ext cx="1285875" cy="457199"/>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ANALYSIS</a:t>
          </a:r>
        </a:p>
      </xdr:txBody>
    </xdr:sp>
    <xdr:clientData/>
  </xdr:twoCellAnchor>
  <xdr:twoCellAnchor>
    <xdr:from>
      <xdr:col>17</xdr:col>
      <xdr:colOff>123825</xdr:colOff>
      <xdr:row>0</xdr:row>
      <xdr:rowOff>57150</xdr:rowOff>
    </xdr:from>
    <xdr:to>
      <xdr:col>19</xdr:col>
      <xdr:colOff>0</xdr:colOff>
      <xdr:row>2</xdr:row>
      <xdr:rowOff>133350</xdr:rowOff>
    </xdr:to>
    <xdr:sp macro="" textlink="">
      <xdr:nvSpPr>
        <xdr:cNvPr id="43" name="TextBox 42">
          <a:hlinkClick xmlns:r="http://schemas.openxmlformats.org/officeDocument/2006/relationships" r:id="rId16"/>
          <a:extLst>
            <a:ext uri="{FF2B5EF4-FFF2-40B4-BE49-F238E27FC236}">
              <a16:creationId xmlns:a16="http://schemas.microsoft.com/office/drawing/2014/main" id="{F429F2B9-0E63-85BB-CF90-8D1C3B9DCBBA}"/>
            </a:ext>
          </a:extLst>
        </xdr:cNvPr>
        <xdr:cNvSpPr txBox="1"/>
      </xdr:nvSpPr>
      <xdr:spPr>
        <a:xfrm>
          <a:off x="10487025" y="57150"/>
          <a:ext cx="1095375" cy="457200"/>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KEY</a:t>
          </a:r>
          <a:r>
            <a:rPr lang="en-IN" sz="1200" b="1" baseline="0">
              <a:solidFill>
                <a:srgbClr val="4A0404"/>
              </a:solidFill>
            </a:rPr>
            <a:t> INSIGHT</a:t>
          </a:r>
          <a:endParaRPr lang="en-IN" sz="1200" b="1">
            <a:solidFill>
              <a:srgbClr val="4A0404"/>
            </a:solidFill>
          </a:endParaRPr>
        </a:p>
      </xdr:txBody>
    </xdr:sp>
    <xdr:clientData/>
  </xdr:twoCellAnchor>
  <xdr:twoCellAnchor editAs="oneCell">
    <xdr:from>
      <xdr:col>20</xdr:col>
      <xdr:colOff>152400</xdr:colOff>
      <xdr:row>0</xdr:row>
      <xdr:rowOff>123825</xdr:rowOff>
    </xdr:from>
    <xdr:to>
      <xdr:col>20</xdr:col>
      <xdr:colOff>512400</xdr:colOff>
      <xdr:row>2</xdr:row>
      <xdr:rowOff>102825</xdr:rowOff>
    </xdr:to>
    <xdr:pic>
      <xdr:nvPicPr>
        <xdr:cNvPr id="45" name="Picture 44">
          <a:hlinkClick xmlns:r="http://schemas.openxmlformats.org/officeDocument/2006/relationships" r:id="rId17"/>
          <a:extLst>
            <a:ext uri="{FF2B5EF4-FFF2-40B4-BE49-F238E27FC236}">
              <a16:creationId xmlns:a16="http://schemas.microsoft.com/office/drawing/2014/main" id="{4A985F20-C6DC-D57F-B907-6961DB3E60A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2344400" y="123825"/>
          <a:ext cx="360000" cy="360000"/>
        </a:xfrm>
        <a:prstGeom prst="rect">
          <a:avLst/>
        </a:prstGeom>
      </xdr:spPr>
    </xdr:pic>
    <xdr:clientData/>
  </xdr:twoCellAnchor>
  <xdr:twoCellAnchor>
    <xdr:from>
      <xdr:col>0</xdr:col>
      <xdr:colOff>9525</xdr:colOff>
      <xdr:row>11</xdr:row>
      <xdr:rowOff>19050</xdr:rowOff>
    </xdr:from>
    <xdr:to>
      <xdr:col>1</xdr:col>
      <xdr:colOff>495300</xdr:colOff>
      <xdr:row>12</xdr:row>
      <xdr:rowOff>66675</xdr:rowOff>
    </xdr:to>
    <xdr:sp macro="" textlink="">
      <xdr:nvSpPr>
        <xdr:cNvPr id="47" name="Rectangle: Rounded Corners 46">
          <a:extLst>
            <a:ext uri="{FF2B5EF4-FFF2-40B4-BE49-F238E27FC236}">
              <a16:creationId xmlns:a16="http://schemas.microsoft.com/office/drawing/2014/main" id="{D8B7CEB6-4A66-CB72-C10E-4FE0F32AA872}"/>
            </a:ext>
          </a:extLst>
        </xdr:cNvPr>
        <xdr:cNvSpPr/>
      </xdr:nvSpPr>
      <xdr:spPr>
        <a:xfrm>
          <a:off x="9525" y="2114550"/>
          <a:ext cx="1095375" cy="238125"/>
        </a:xfrm>
        <a:prstGeom prst="roundRect">
          <a:avLst/>
        </a:prstGeom>
        <a:solidFill>
          <a:srgbClr val="A61C1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4A0404"/>
              </a:solidFill>
            </a:rPr>
            <a:t>Age Range</a:t>
          </a:r>
        </a:p>
      </xdr:txBody>
    </xdr:sp>
    <xdr:clientData/>
  </xdr:twoCellAnchor>
  <xdr:twoCellAnchor editAs="oneCell">
    <xdr:from>
      <xdr:col>0</xdr:col>
      <xdr:colOff>0</xdr:colOff>
      <xdr:row>22</xdr:row>
      <xdr:rowOff>133350</xdr:rowOff>
    </xdr:from>
    <xdr:to>
      <xdr:col>1</xdr:col>
      <xdr:colOff>506400</xdr:colOff>
      <xdr:row>26</xdr:row>
      <xdr:rowOff>47625</xdr:rowOff>
    </xdr:to>
    <mc:AlternateContent xmlns:mc="http://schemas.openxmlformats.org/markup-compatibility/2006" xmlns:a14="http://schemas.microsoft.com/office/drawing/2010/main">
      <mc:Choice Requires="a14">
        <xdr:graphicFrame macro="">
          <xdr:nvGraphicFramePr>
            <xdr:cNvPr id="48" name="Gender 1">
              <a:extLst>
                <a:ext uri="{FF2B5EF4-FFF2-40B4-BE49-F238E27FC236}">
                  <a16:creationId xmlns:a16="http://schemas.microsoft.com/office/drawing/2014/main" id="{3BCA0695-698B-490A-BED0-CA2C997B8654}"/>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0" y="4324350"/>
              <a:ext cx="1116000" cy="676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9525</xdr:colOff>
      <xdr:row>21</xdr:row>
      <xdr:rowOff>133351</xdr:rowOff>
    </xdr:from>
    <xdr:to>
      <xdr:col>1</xdr:col>
      <xdr:colOff>466725</xdr:colOff>
      <xdr:row>22</xdr:row>
      <xdr:rowOff>152401</xdr:rowOff>
    </xdr:to>
    <xdr:sp macro="" textlink="">
      <xdr:nvSpPr>
        <xdr:cNvPr id="49" name="Rectangle: Rounded Corners 48">
          <a:extLst>
            <a:ext uri="{FF2B5EF4-FFF2-40B4-BE49-F238E27FC236}">
              <a16:creationId xmlns:a16="http://schemas.microsoft.com/office/drawing/2014/main" id="{8EA8BAF8-C0D4-A869-96EB-62AF97EDF502}"/>
            </a:ext>
          </a:extLst>
        </xdr:cNvPr>
        <xdr:cNvSpPr/>
      </xdr:nvSpPr>
      <xdr:spPr>
        <a:xfrm>
          <a:off x="9525" y="4133851"/>
          <a:ext cx="1066800" cy="209550"/>
        </a:xfrm>
        <a:prstGeom prst="roundRect">
          <a:avLst/>
        </a:prstGeom>
        <a:solidFill>
          <a:srgbClr val="A61C1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Gender</a:t>
          </a:r>
        </a:p>
      </xdr:txBody>
    </xdr:sp>
    <xdr:clientData/>
  </xdr:twoCellAnchor>
  <xdr:oneCellAnchor>
    <xdr:from>
      <xdr:col>10</xdr:col>
      <xdr:colOff>57150</xdr:colOff>
      <xdr:row>1</xdr:row>
      <xdr:rowOff>57150</xdr:rowOff>
    </xdr:from>
    <xdr:ext cx="184731" cy="264560"/>
    <xdr:sp macro="" textlink="">
      <xdr:nvSpPr>
        <xdr:cNvPr id="50" name="TextBox 49">
          <a:extLst>
            <a:ext uri="{FF2B5EF4-FFF2-40B4-BE49-F238E27FC236}">
              <a16:creationId xmlns:a16="http://schemas.microsoft.com/office/drawing/2014/main" id="{A9A321B7-49D1-09D3-8144-C49FBBBB0F8A}"/>
            </a:ext>
          </a:extLst>
        </xdr:cNvPr>
        <xdr:cNvSpPr txBox="1"/>
      </xdr:nvSpPr>
      <xdr:spPr>
        <a:xfrm>
          <a:off x="6153150" y="247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2</xdr:row>
      <xdr:rowOff>161925</xdr:rowOff>
    </xdr:to>
    <xdr:sp macro="" textlink="">
      <xdr:nvSpPr>
        <xdr:cNvPr id="2" name="Rectangle: Rounded Corners 1">
          <a:extLst>
            <a:ext uri="{FF2B5EF4-FFF2-40B4-BE49-F238E27FC236}">
              <a16:creationId xmlns:a16="http://schemas.microsoft.com/office/drawing/2014/main" id="{6C7ECA3D-C336-2CC8-57B1-08BA4F8C8791}"/>
            </a:ext>
          </a:extLst>
        </xdr:cNvPr>
        <xdr:cNvSpPr/>
      </xdr:nvSpPr>
      <xdr:spPr>
        <a:xfrm>
          <a:off x="0" y="0"/>
          <a:ext cx="12780000" cy="542925"/>
        </a:xfrm>
        <a:prstGeom prst="roundRect">
          <a:avLst/>
        </a:prstGeom>
        <a:solidFill>
          <a:srgbClr val="7A0C0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38099</xdr:colOff>
      <xdr:row>0</xdr:row>
      <xdr:rowOff>28576</xdr:rowOff>
    </xdr:from>
    <xdr:to>
      <xdr:col>4</xdr:col>
      <xdr:colOff>600075</xdr:colOff>
      <xdr:row>2</xdr:row>
      <xdr:rowOff>142876</xdr:rowOff>
    </xdr:to>
    <xdr:sp macro="" textlink="">
      <xdr:nvSpPr>
        <xdr:cNvPr id="3" name="TextBox 2">
          <a:extLst>
            <a:ext uri="{FF2B5EF4-FFF2-40B4-BE49-F238E27FC236}">
              <a16:creationId xmlns:a16="http://schemas.microsoft.com/office/drawing/2014/main" id="{B37333E9-AEC7-0694-806A-3EC9A0A27325}"/>
            </a:ext>
          </a:extLst>
        </xdr:cNvPr>
        <xdr:cNvSpPr txBox="1"/>
      </xdr:nvSpPr>
      <xdr:spPr>
        <a:xfrm>
          <a:off x="38099" y="28576"/>
          <a:ext cx="3000376" cy="495300"/>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rgbClr val="4A0404"/>
              </a:solidFill>
            </a:rPr>
            <a:t>HEART DISEASE</a:t>
          </a:r>
          <a:r>
            <a:rPr lang="en-IN" sz="1800" b="1" baseline="0">
              <a:solidFill>
                <a:srgbClr val="4A0404"/>
              </a:solidFill>
            </a:rPr>
            <a:t> DASHBOARD</a:t>
          </a:r>
          <a:endParaRPr lang="en-IN" sz="1800" b="1">
            <a:solidFill>
              <a:srgbClr val="4A0404"/>
            </a:solidFill>
          </a:endParaRPr>
        </a:p>
      </xdr:txBody>
    </xdr:sp>
    <xdr:clientData/>
  </xdr:twoCellAnchor>
  <xdr:twoCellAnchor editAs="oneCell">
    <xdr:from>
      <xdr:col>4</xdr:col>
      <xdr:colOff>428623</xdr:colOff>
      <xdr:row>0</xdr:row>
      <xdr:rowOff>66674</xdr:rowOff>
    </xdr:from>
    <xdr:to>
      <xdr:col>5</xdr:col>
      <xdr:colOff>287023</xdr:colOff>
      <xdr:row>2</xdr:row>
      <xdr:rowOff>123825</xdr:rowOff>
    </xdr:to>
    <xdr:pic>
      <xdr:nvPicPr>
        <xdr:cNvPr id="5" name="Graphic 4" descr="Heart with pulse with solid fill">
          <a:extLst>
            <a:ext uri="{FF2B5EF4-FFF2-40B4-BE49-F238E27FC236}">
              <a16:creationId xmlns:a16="http://schemas.microsoft.com/office/drawing/2014/main" id="{FB182C83-840F-ACF4-B355-03BB5A00CC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67023" y="66674"/>
          <a:ext cx="468000" cy="438151"/>
        </a:xfrm>
        <a:prstGeom prst="rect">
          <a:avLst/>
        </a:prstGeom>
      </xdr:spPr>
    </xdr:pic>
    <xdr:clientData/>
  </xdr:twoCellAnchor>
  <xdr:twoCellAnchor>
    <xdr:from>
      <xdr:col>9</xdr:col>
      <xdr:colOff>200025</xdr:colOff>
      <xdr:row>0</xdr:row>
      <xdr:rowOff>19050</xdr:rowOff>
    </xdr:from>
    <xdr:to>
      <xdr:col>12</xdr:col>
      <xdr:colOff>66675</xdr:colOff>
      <xdr:row>2</xdr:row>
      <xdr:rowOff>152401</xdr:rowOff>
    </xdr:to>
    <xdr:sp macro="" textlink="">
      <xdr:nvSpPr>
        <xdr:cNvPr id="6" name="TextBox 5">
          <a:extLst>
            <a:ext uri="{FF2B5EF4-FFF2-40B4-BE49-F238E27FC236}">
              <a16:creationId xmlns:a16="http://schemas.microsoft.com/office/drawing/2014/main" id="{069B3672-8BAE-22A8-3B7C-0FC538A2FC3D}"/>
            </a:ext>
          </a:extLst>
        </xdr:cNvPr>
        <xdr:cNvSpPr txBox="1"/>
      </xdr:nvSpPr>
      <xdr:spPr>
        <a:xfrm>
          <a:off x="5686425" y="19050"/>
          <a:ext cx="1695450" cy="514351"/>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A0404"/>
              </a:solidFill>
            </a:rPr>
            <a:t>ANALYSIS</a:t>
          </a:r>
        </a:p>
      </xdr:txBody>
    </xdr:sp>
    <xdr:clientData/>
  </xdr:twoCellAnchor>
  <xdr:twoCellAnchor>
    <xdr:from>
      <xdr:col>15</xdr:col>
      <xdr:colOff>142875</xdr:colOff>
      <xdr:row>0</xdr:row>
      <xdr:rowOff>38099</xdr:rowOff>
    </xdr:from>
    <xdr:to>
      <xdr:col>17</xdr:col>
      <xdr:colOff>123825</xdr:colOff>
      <xdr:row>2</xdr:row>
      <xdr:rowOff>142875</xdr:rowOff>
    </xdr:to>
    <xdr:sp macro="" textlink="">
      <xdr:nvSpPr>
        <xdr:cNvPr id="7" name="TextBox 6">
          <a:hlinkClick xmlns:r="http://schemas.openxmlformats.org/officeDocument/2006/relationships" r:id="rId3"/>
          <a:extLst>
            <a:ext uri="{FF2B5EF4-FFF2-40B4-BE49-F238E27FC236}">
              <a16:creationId xmlns:a16="http://schemas.microsoft.com/office/drawing/2014/main" id="{AF0EDD8D-768C-F6E9-32C2-A08FA6B46BF0}"/>
            </a:ext>
          </a:extLst>
        </xdr:cNvPr>
        <xdr:cNvSpPr txBox="1"/>
      </xdr:nvSpPr>
      <xdr:spPr>
        <a:xfrm>
          <a:off x="9286875" y="38099"/>
          <a:ext cx="1200150" cy="485776"/>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KEY</a:t>
          </a:r>
          <a:r>
            <a:rPr lang="en-IN" sz="1200" b="1" baseline="0">
              <a:solidFill>
                <a:srgbClr val="4A0404"/>
              </a:solidFill>
            </a:rPr>
            <a:t> INSIGHT</a:t>
          </a:r>
          <a:endParaRPr lang="en-IN" sz="1200" b="1">
            <a:solidFill>
              <a:srgbClr val="4A0404"/>
            </a:solidFill>
          </a:endParaRPr>
        </a:p>
      </xdr:txBody>
    </xdr:sp>
    <xdr:clientData/>
  </xdr:twoCellAnchor>
  <xdr:twoCellAnchor>
    <xdr:from>
      <xdr:col>18</xdr:col>
      <xdr:colOff>323850</xdr:colOff>
      <xdr:row>0</xdr:row>
      <xdr:rowOff>28576</xdr:rowOff>
    </xdr:from>
    <xdr:to>
      <xdr:col>20</xdr:col>
      <xdr:colOff>38100</xdr:colOff>
      <xdr:row>2</xdr:row>
      <xdr:rowOff>133350</xdr:rowOff>
    </xdr:to>
    <xdr:sp macro="" textlink="">
      <xdr:nvSpPr>
        <xdr:cNvPr id="8" name="TextBox 7">
          <a:hlinkClick xmlns:r="http://schemas.openxmlformats.org/officeDocument/2006/relationships" r:id="rId4"/>
          <a:extLst>
            <a:ext uri="{FF2B5EF4-FFF2-40B4-BE49-F238E27FC236}">
              <a16:creationId xmlns:a16="http://schemas.microsoft.com/office/drawing/2014/main" id="{FB2674C9-81FA-8000-C7B8-81B5A7108C36}"/>
            </a:ext>
          </a:extLst>
        </xdr:cNvPr>
        <xdr:cNvSpPr txBox="1"/>
      </xdr:nvSpPr>
      <xdr:spPr>
        <a:xfrm>
          <a:off x="11296650" y="28576"/>
          <a:ext cx="933450" cy="485774"/>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OVERVIEW</a:t>
          </a:r>
        </a:p>
      </xdr:txBody>
    </xdr:sp>
    <xdr:clientData/>
  </xdr:twoCellAnchor>
  <xdr:twoCellAnchor>
    <xdr:from>
      <xdr:col>0</xdr:col>
      <xdr:colOff>0</xdr:colOff>
      <xdr:row>2</xdr:row>
      <xdr:rowOff>161925</xdr:rowOff>
    </xdr:from>
    <xdr:to>
      <xdr:col>20</xdr:col>
      <xdr:colOff>571500</xdr:colOff>
      <xdr:row>4</xdr:row>
      <xdr:rowOff>114300</xdr:rowOff>
    </xdr:to>
    <xdr:sp macro="" textlink="">
      <xdr:nvSpPr>
        <xdr:cNvPr id="9" name="Rectangle: Rounded Corners 8">
          <a:extLst>
            <a:ext uri="{FF2B5EF4-FFF2-40B4-BE49-F238E27FC236}">
              <a16:creationId xmlns:a16="http://schemas.microsoft.com/office/drawing/2014/main" id="{EDB7760A-2B1D-C978-2892-601B369E947C}"/>
            </a:ext>
          </a:extLst>
        </xdr:cNvPr>
        <xdr:cNvSpPr/>
      </xdr:nvSpPr>
      <xdr:spPr>
        <a:xfrm>
          <a:off x="0" y="542925"/>
          <a:ext cx="12763500" cy="333375"/>
        </a:xfrm>
        <a:prstGeom prst="roundRect">
          <a:avLst/>
        </a:prstGeom>
        <a:solidFill>
          <a:srgbClr val="1F4E7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57150</xdr:colOff>
      <xdr:row>3</xdr:row>
      <xdr:rowOff>19051</xdr:rowOff>
    </xdr:from>
    <xdr:to>
      <xdr:col>20</xdr:col>
      <xdr:colOff>514350</xdr:colOff>
      <xdr:row>4</xdr:row>
      <xdr:rowOff>76201</xdr:rowOff>
    </xdr:to>
    <xdr:sp macro="" textlink="">
      <xdr:nvSpPr>
        <xdr:cNvPr id="10" name="TextBox 9">
          <a:extLst>
            <a:ext uri="{FF2B5EF4-FFF2-40B4-BE49-F238E27FC236}">
              <a16:creationId xmlns:a16="http://schemas.microsoft.com/office/drawing/2014/main" id="{206EAEB6-223A-0CA1-98A3-9FF848A69648}"/>
            </a:ext>
          </a:extLst>
        </xdr:cNvPr>
        <xdr:cNvSpPr txBox="1"/>
      </xdr:nvSpPr>
      <xdr:spPr>
        <a:xfrm>
          <a:off x="57150" y="590551"/>
          <a:ext cx="12649200" cy="247650"/>
        </a:xfrm>
        <a:prstGeom prst="rect">
          <a:avLst/>
        </a:prstGeom>
        <a:solidFill>
          <a:srgbClr val="1F4E7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A0404"/>
              </a:solidFill>
            </a:rPr>
            <a:t>The Journey</a:t>
          </a:r>
          <a:r>
            <a:rPr lang="en-IN" sz="1600" b="1" baseline="0">
              <a:solidFill>
                <a:srgbClr val="4A0404"/>
              </a:solidFill>
            </a:rPr>
            <a:t> From Chest Pain To Heart Disease via Blood Pressure, Cholestrol, Slope</a:t>
          </a:r>
          <a:endParaRPr lang="en-IN" sz="1600" b="1">
            <a:solidFill>
              <a:srgbClr val="4A0404"/>
            </a:solidFill>
          </a:endParaRPr>
        </a:p>
      </xdr:txBody>
    </xdr:sp>
    <xdr:clientData/>
  </xdr:twoCellAnchor>
  <xdr:twoCellAnchor>
    <xdr:from>
      <xdr:col>0</xdr:col>
      <xdr:colOff>0</xdr:colOff>
      <xdr:row>4</xdr:row>
      <xdr:rowOff>133350</xdr:rowOff>
    </xdr:from>
    <xdr:to>
      <xdr:col>2</xdr:col>
      <xdr:colOff>581025</xdr:colOff>
      <xdr:row>8</xdr:row>
      <xdr:rowOff>76200</xdr:rowOff>
    </xdr:to>
    <xdr:sp macro="" textlink="">
      <xdr:nvSpPr>
        <xdr:cNvPr id="12" name="Rectangle: Rounded Corners 11">
          <a:extLst>
            <a:ext uri="{FF2B5EF4-FFF2-40B4-BE49-F238E27FC236}">
              <a16:creationId xmlns:a16="http://schemas.microsoft.com/office/drawing/2014/main" id="{4690CCE5-8F89-DED6-18FA-D3243F6ED8A2}"/>
            </a:ext>
          </a:extLst>
        </xdr:cNvPr>
        <xdr:cNvSpPr/>
      </xdr:nvSpPr>
      <xdr:spPr>
        <a:xfrm>
          <a:off x="0" y="895350"/>
          <a:ext cx="1800225" cy="704850"/>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600075</xdr:colOff>
      <xdr:row>4</xdr:row>
      <xdr:rowOff>133350</xdr:rowOff>
    </xdr:from>
    <xdr:to>
      <xdr:col>5</xdr:col>
      <xdr:colOff>571500</xdr:colOff>
      <xdr:row>8</xdr:row>
      <xdr:rowOff>76200</xdr:rowOff>
    </xdr:to>
    <xdr:sp macro="" textlink="">
      <xdr:nvSpPr>
        <xdr:cNvPr id="13" name="Rectangle: Rounded Corners 12">
          <a:extLst>
            <a:ext uri="{FF2B5EF4-FFF2-40B4-BE49-F238E27FC236}">
              <a16:creationId xmlns:a16="http://schemas.microsoft.com/office/drawing/2014/main" id="{793FB163-A8F8-4E70-B2B6-34F964E6AE74}"/>
            </a:ext>
          </a:extLst>
        </xdr:cNvPr>
        <xdr:cNvSpPr/>
      </xdr:nvSpPr>
      <xdr:spPr>
        <a:xfrm>
          <a:off x="1819275" y="895350"/>
          <a:ext cx="1800225" cy="704850"/>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590550</xdr:colOff>
      <xdr:row>4</xdr:row>
      <xdr:rowOff>133350</xdr:rowOff>
    </xdr:from>
    <xdr:to>
      <xdr:col>8</xdr:col>
      <xdr:colOff>561975</xdr:colOff>
      <xdr:row>8</xdr:row>
      <xdr:rowOff>76200</xdr:rowOff>
    </xdr:to>
    <xdr:sp macro="" textlink="">
      <xdr:nvSpPr>
        <xdr:cNvPr id="14" name="Rectangle: Rounded Corners 13">
          <a:extLst>
            <a:ext uri="{FF2B5EF4-FFF2-40B4-BE49-F238E27FC236}">
              <a16:creationId xmlns:a16="http://schemas.microsoft.com/office/drawing/2014/main" id="{45252F8C-A475-4745-8003-5FC814608ABE}"/>
            </a:ext>
          </a:extLst>
        </xdr:cNvPr>
        <xdr:cNvSpPr/>
      </xdr:nvSpPr>
      <xdr:spPr>
        <a:xfrm>
          <a:off x="3638550" y="895350"/>
          <a:ext cx="1800225" cy="704850"/>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581024</xdr:colOff>
      <xdr:row>4</xdr:row>
      <xdr:rowOff>133350</xdr:rowOff>
    </xdr:from>
    <xdr:to>
      <xdr:col>11</xdr:col>
      <xdr:colOff>552224</xdr:colOff>
      <xdr:row>8</xdr:row>
      <xdr:rowOff>76200</xdr:rowOff>
    </xdr:to>
    <xdr:sp macro="" textlink="">
      <xdr:nvSpPr>
        <xdr:cNvPr id="15" name="Rectangle: Rounded Corners 14">
          <a:extLst>
            <a:ext uri="{FF2B5EF4-FFF2-40B4-BE49-F238E27FC236}">
              <a16:creationId xmlns:a16="http://schemas.microsoft.com/office/drawing/2014/main" id="{F3876D1A-D293-4186-B13E-D519E4895396}"/>
            </a:ext>
          </a:extLst>
        </xdr:cNvPr>
        <xdr:cNvSpPr/>
      </xdr:nvSpPr>
      <xdr:spPr>
        <a:xfrm>
          <a:off x="5457824" y="895350"/>
          <a:ext cx="1800000" cy="704850"/>
        </a:xfrm>
        <a:prstGeom prst="round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457200</xdr:colOff>
      <xdr:row>4</xdr:row>
      <xdr:rowOff>133350</xdr:rowOff>
    </xdr:from>
    <xdr:to>
      <xdr:col>15</xdr:col>
      <xdr:colOff>476250</xdr:colOff>
      <xdr:row>8</xdr:row>
      <xdr:rowOff>85725</xdr:rowOff>
    </xdr:to>
    <xdr:grpSp>
      <xdr:nvGrpSpPr>
        <xdr:cNvPr id="22" name="Group 21">
          <a:extLst>
            <a:ext uri="{FF2B5EF4-FFF2-40B4-BE49-F238E27FC236}">
              <a16:creationId xmlns:a16="http://schemas.microsoft.com/office/drawing/2014/main" id="{9924F27F-E3AC-0580-97C8-14FC8E2E7E55}"/>
            </a:ext>
          </a:extLst>
        </xdr:cNvPr>
        <xdr:cNvGrpSpPr/>
      </xdr:nvGrpSpPr>
      <xdr:grpSpPr>
        <a:xfrm>
          <a:off x="7772400" y="895350"/>
          <a:ext cx="1847850" cy="714375"/>
          <a:chOff x="7858125" y="1905000"/>
          <a:chExt cx="1847850" cy="819151"/>
        </a:xfrm>
      </xdr:grpSpPr>
      <mc:AlternateContent xmlns:mc="http://schemas.openxmlformats.org/markup-compatibility/2006" xmlns:a14="http://schemas.microsoft.com/office/drawing/2010/main">
        <mc:Choice Requires="a14">
          <xdr:graphicFrame macro="">
            <xdr:nvGraphicFramePr>
              <xdr:cNvPr id="16" name="age 3">
                <a:extLst>
                  <a:ext uri="{FF2B5EF4-FFF2-40B4-BE49-F238E27FC236}">
                    <a16:creationId xmlns:a16="http://schemas.microsoft.com/office/drawing/2014/main" id="{AC61A8A2-C57B-4586-AE4D-D89A011CB11E}"/>
                  </a:ext>
                </a:extLst>
              </xdr:cNvPr>
              <xdr:cNvGraphicFramePr/>
            </xdr:nvGraphicFramePr>
            <xdr:xfrm>
              <a:off x="7867650" y="2047877"/>
              <a:ext cx="1828800" cy="676274"/>
            </xdr:xfrm>
            <a:graphic>
              <a:graphicData uri="http://schemas.microsoft.com/office/drawing/2010/slicer">
                <sle:slicer xmlns:sle="http://schemas.microsoft.com/office/drawing/2010/slicer" name="age 3"/>
              </a:graphicData>
            </a:graphic>
          </xdr:graphicFrame>
        </mc:Choice>
        <mc:Fallback xmlns="">
          <xdr:sp macro="" textlink="">
            <xdr:nvSpPr>
              <xdr:cNvPr id="0" name=""/>
              <xdr:cNvSpPr>
                <a:spLocks noTextEdit="1"/>
              </xdr:cNvSpPr>
            </xdr:nvSpPr>
            <xdr:spPr>
              <a:xfrm>
                <a:off x="7781925" y="1019952"/>
                <a:ext cx="1828800" cy="5897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1" name="Rectangle: Rounded Corners 20">
            <a:extLst>
              <a:ext uri="{FF2B5EF4-FFF2-40B4-BE49-F238E27FC236}">
                <a16:creationId xmlns:a16="http://schemas.microsoft.com/office/drawing/2014/main" id="{A1CBB6B0-864E-F3F7-FBC1-36CF650B7E61}"/>
              </a:ext>
            </a:extLst>
          </xdr:cNvPr>
          <xdr:cNvSpPr/>
        </xdr:nvSpPr>
        <xdr:spPr>
          <a:xfrm>
            <a:off x="7858125" y="1905000"/>
            <a:ext cx="1847850" cy="200025"/>
          </a:xfrm>
          <a:prstGeom prst="roundRect">
            <a:avLst/>
          </a:prstGeom>
          <a:solidFill>
            <a:srgbClr val="7A0C0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AGE</a:t>
            </a:r>
          </a:p>
        </xdr:txBody>
      </xdr:sp>
    </xdr:grpSp>
    <xdr:clientData fLocksWithSheet="0"/>
  </xdr:twoCellAnchor>
  <xdr:twoCellAnchor>
    <xdr:from>
      <xdr:col>16</xdr:col>
      <xdr:colOff>57150</xdr:colOff>
      <xdr:row>4</xdr:row>
      <xdr:rowOff>133350</xdr:rowOff>
    </xdr:from>
    <xdr:to>
      <xdr:col>19</xdr:col>
      <xdr:colOff>76200</xdr:colOff>
      <xdr:row>8</xdr:row>
      <xdr:rowOff>76200</xdr:rowOff>
    </xdr:to>
    <xdr:grpSp>
      <xdr:nvGrpSpPr>
        <xdr:cNvPr id="24" name="Group 23">
          <a:extLst>
            <a:ext uri="{FF2B5EF4-FFF2-40B4-BE49-F238E27FC236}">
              <a16:creationId xmlns:a16="http://schemas.microsoft.com/office/drawing/2014/main" id="{5BF52A45-011A-2FB6-543E-2A6C9F34916B}"/>
            </a:ext>
          </a:extLst>
        </xdr:cNvPr>
        <xdr:cNvGrpSpPr/>
      </xdr:nvGrpSpPr>
      <xdr:grpSpPr>
        <a:xfrm>
          <a:off x="9810750" y="895350"/>
          <a:ext cx="1847850" cy="704850"/>
          <a:chOff x="7515225" y="2381250"/>
          <a:chExt cx="1847850" cy="872401"/>
        </a:xfrm>
      </xdr:grpSpPr>
      <mc:AlternateContent xmlns:mc="http://schemas.openxmlformats.org/markup-compatibility/2006" xmlns:a14="http://schemas.microsoft.com/office/drawing/2010/main">
        <mc:Choice Requires="a14">
          <xdr:graphicFrame macro="">
            <xdr:nvGraphicFramePr>
              <xdr:cNvPr id="18" name="Gender 3">
                <a:extLst>
                  <a:ext uri="{FF2B5EF4-FFF2-40B4-BE49-F238E27FC236}">
                    <a16:creationId xmlns:a16="http://schemas.microsoft.com/office/drawing/2014/main" id="{58456A38-5ABF-47F5-A91A-B673A890306D}"/>
                  </a:ext>
                </a:extLst>
              </xdr:cNvPr>
              <xdr:cNvGraphicFramePr/>
            </xdr:nvGraphicFramePr>
            <xdr:xfrm>
              <a:off x="7524750" y="2533651"/>
              <a:ext cx="1828800" cy="72000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9820275" y="1018481"/>
                <a:ext cx="1828800" cy="581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Rectangle: Rounded Corners 22">
            <a:extLst>
              <a:ext uri="{FF2B5EF4-FFF2-40B4-BE49-F238E27FC236}">
                <a16:creationId xmlns:a16="http://schemas.microsoft.com/office/drawing/2014/main" id="{EA8A215E-0477-2250-8309-EDDD17B8569E}"/>
              </a:ext>
            </a:extLst>
          </xdr:cNvPr>
          <xdr:cNvSpPr/>
        </xdr:nvSpPr>
        <xdr:spPr>
          <a:xfrm>
            <a:off x="7515225" y="2381250"/>
            <a:ext cx="1847850" cy="200025"/>
          </a:xfrm>
          <a:prstGeom prst="roundRect">
            <a:avLst/>
          </a:prstGeom>
          <a:solidFill>
            <a:srgbClr val="7A0C0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GENDER</a:t>
            </a:r>
          </a:p>
        </xdr:txBody>
      </xdr:sp>
    </xdr:grpSp>
    <xdr:clientData fLocksWithSheet="0"/>
  </xdr:twoCellAnchor>
  <xdr:twoCellAnchor editAs="oneCell">
    <xdr:from>
      <xdr:col>19</xdr:col>
      <xdr:colOff>409575</xdr:colOff>
      <xdr:row>5</xdr:row>
      <xdr:rowOff>57150</xdr:rowOff>
    </xdr:from>
    <xdr:to>
      <xdr:col>20</xdr:col>
      <xdr:colOff>249975</xdr:colOff>
      <xdr:row>7</xdr:row>
      <xdr:rowOff>126150</xdr:rowOff>
    </xdr:to>
    <xdr:pic macro="[0]!Sheet7.ResetDashboard">
      <xdr:nvPicPr>
        <xdr:cNvPr id="26" name="Picture 25">
          <a:extLst>
            <a:ext uri="{FF2B5EF4-FFF2-40B4-BE49-F238E27FC236}">
              <a16:creationId xmlns:a16="http://schemas.microsoft.com/office/drawing/2014/main" id="{B9503FC4-EBB5-74B6-C6B7-172E380541E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991975" y="1009650"/>
          <a:ext cx="450000" cy="450000"/>
        </a:xfrm>
        <a:prstGeom prst="rect">
          <a:avLst/>
        </a:prstGeom>
      </xdr:spPr>
    </xdr:pic>
    <xdr:clientData fLocksWithSheet="0"/>
  </xdr:twoCellAnchor>
  <xdr:twoCellAnchor>
    <xdr:from>
      <xdr:col>0</xdr:col>
      <xdr:colOff>0</xdr:colOff>
      <xdr:row>8</xdr:row>
      <xdr:rowOff>95250</xdr:rowOff>
    </xdr:from>
    <xdr:to>
      <xdr:col>6</xdr:col>
      <xdr:colOff>554400</xdr:colOff>
      <xdr:row>21</xdr:row>
      <xdr:rowOff>30750</xdr:rowOff>
    </xdr:to>
    <xdr:graphicFrame macro="">
      <xdr:nvGraphicFramePr>
        <xdr:cNvPr id="27" name="Chart 26">
          <a:extLst>
            <a:ext uri="{FF2B5EF4-FFF2-40B4-BE49-F238E27FC236}">
              <a16:creationId xmlns:a16="http://schemas.microsoft.com/office/drawing/2014/main" id="{E6E219E7-307C-45EA-9B26-72B6772CD5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542925</xdr:colOff>
      <xdr:row>8</xdr:row>
      <xdr:rowOff>85725</xdr:rowOff>
    </xdr:from>
    <xdr:to>
      <xdr:col>14</xdr:col>
      <xdr:colOff>94125</xdr:colOff>
      <xdr:row>21</xdr:row>
      <xdr:rowOff>21225</xdr:rowOff>
    </xdr:to>
    <xdr:graphicFrame macro="">
      <xdr:nvGraphicFramePr>
        <xdr:cNvPr id="28" name="Chart 27">
          <a:extLst>
            <a:ext uri="{FF2B5EF4-FFF2-40B4-BE49-F238E27FC236}">
              <a16:creationId xmlns:a16="http://schemas.microsoft.com/office/drawing/2014/main" id="{F7583EDB-D43F-43E7-A731-728339980D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76200</xdr:colOff>
      <xdr:row>8</xdr:row>
      <xdr:rowOff>95250</xdr:rowOff>
    </xdr:from>
    <xdr:to>
      <xdr:col>21</xdr:col>
      <xdr:colOff>21000</xdr:colOff>
      <xdr:row>21</xdr:row>
      <xdr:rowOff>30750</xdr:rowOff>
    </xdr:to>
    <xdr:graphicFrame macro="">
      <xdr:nvGraphicFramePr>
        <xdr:cNvPr id="29" name="Chart 28">
          <a:extLst>
            <a:ext uri="{FF2B5EF4-FFF2-40B4-BE49-F238E27FC236}">
              <a16:creationId xmlns:a16="http://schemas.microsoft.com/office/drawing/2014/main" id="{1B4E3BE5-8114-48D8-BF51-F944A620D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21</xdr:row>
      <xdr:rowOff>28575</xdr:rowOff>
    </xdr:from>
    <xdr:to>
      <xdr:col>6</xdr:col>
      <xdr:colOff>554400</xdr:colOff>
      <xdr:row>33</xdr:row>
      <xdr:rowOff>154575</xdr:rowOff>
    </xdr:to>
    <xdr:graphicFrame macro="">
      <xdr:nvGraphicFramePr>
        <xdr:cNvPr id="30" name="Chart 29">
          <a:extLst>
            <a:ext uri="{FF2B5EF4-FFF2-40B4-BE49-F238E27FC236}">
              <a16:creationId xmlns:a16="http://schemas.microsoft.com/office/drawing/2014/main" id="{4FD770E1-4D0E-4192-8702-9CD17F3F3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571500</xdr:colOff>
      <xdr:row>21</xdr:row>
      <xdr:rowOff>47625</xdr:rowOff>
    </xdr:from>
    <xdr:to>
      <xdr:col>20</xdr:col>
      <xdr:colOff>569100</xdr:colOff>
      <xdr:row>33</xdr:row>
      <xdr:rowOff>101625</xdr:rowOff>
    </xdr:to>
    <xdr:sp macro="" textlink="">
      <xdr:nvSpPr>
        <xdr:cNvPr id="32" name="Rectangle 31">
          <a:extLst>
            <a:ext uri="{FF2B5EF4-FFF2-40B4-BE49-F238E27FC236}">
              <a16:creationId xmlns:a16="http://schemas.microsoft.com/office/drawing/2014/main" id="{D4E79E89-51E7-1B5C-3E09-CB614D122E4E}"/>
            </a:ext>
          </a:extLst>
        </xdr:cNvPr>
        <xdr:cNvSpPr/>
      </xdr:nvSpPr>
      <xdr:spPr>
        <a:xfrm>
          <a:off x="4229100" y="4048125"/>
          <a:ext cx="8532000" cy="2340000"/>
        </a:xfrm>
        <a:prstGeom prst="rect">
          <a:avLst/>
        </a:prstGeom>
        <a:solidFill>
          <a:srgbClr val="1F4E7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352425</xdr:colOff>
      <xdr:row>25</xdr:row>
      <xdr:rowOff>0</xdr:rowOff>
    </xdr:from>
    <xdr:to>
      <xdr:col>8</xdr:col>
      <xdr:colOff>462825</xdr:colOff>
      <xdr:row>28</xdr:row>
      <xdr:rowOff>148500</xdr:rowOff>
    </xdr:to>
    <xdr:pic>
      <xdr:nvPicPr>
        <xdr:cNvPr id="34" name="Picture 33">
          <a:extLst>
            <a:ext uri="{FF2B5EF4-FFF2-40B4-BE49-F238E27FC236}">
              <a16:creationId xmlns:a16="http://schemas.microsoft.com/office/drawing/2014/main" id="{AFFB6A50-EBC1-5878-33DD-80A2E7971A6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19625" y="4762500"/>
          <a:ext cx="720000" cy="720000"/>
        </a:xfrm>
        <a:prstGeom prst="rect">
          <a:avLst/>
        </a:prstGeom>
      </xdr:spPr>
    </xdr:pic>
    <xdr:clientData/>
  </xdr:twoCellAnchor>
  <xdr:twoCellAnchor>
    <xdr:from>
      <xdr:col>6</xdr:col>
      <xdr:colOff>600075</xdr:colOff>
      <xdr:row>21</xdr:row>
      <xdr:rowOff>76200</xdr:rowOff>
    </xdr:from>
    <xdr:to>
      <xdr:col>9</xdr:col>
      <xdr:colOff>180975</xdr:colOff>
      <xdr:row>22</xdr:row>
      <xdr:rowOff>152400</xdr:rowOff>
    </xdr:to>
    <xdr:sp macro="" textlink="">
      <xdr:nvSpPr>
        <xdr:cNvPr id="35" name="TextBox 34">
          <a:extLst>
            <a:ext uri="{FF2B5EF4-FFF2-40B4-BE49-F238E27FC236}">
              <a16:creationId xmlns:a16="http://schemas.microsoft.com/office/drawing/2014/main" id="{E53DB8D9-ED7D-B8F7-13FA-CE22897B3AFD}"/>
            </a:ext>
          </a:extLst>
        </xdr:cNvPr>
        <xdr:cNvSpPr txBox="1"/>
      </xdr:nvSpPr>
      <xdr:spPr>
        <a:xfrm>
          <a:off x="4257675" y="4076700"/>
          <a:ext cx="1409700" cy="266700"/>
        </a:xfrm>
        <a:prstGeom prst="rect">
          <a:avLst/>
        </a:prstGeom>
        <a:solidFill>
          <a:srgbClr val="A61C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Symptoms</a:t>
          </a:r>
        </a:p>
      </xdr:txBody>
    </xdr:sp>
    <xdr:clientData/>
  </xdr:twoCellAnchor>
  <xdr:twoCellAnchor editAs="oneCell">
    <xdr:from>
      <xdr:col>9</xdr:col>
      <xdr:colOff>219074</xdr:colOff>
      <xdr:row>25</xdr:row>
      <xdr:rowOff>19050</xdr:rowOff>
    </xdr:from>
    <xdr:to>
      <xdr:col>10</xdr:col>
      <xdr:colOff>552449</xdr:colOff>
      <xdr:row>28</xdr:row>
      <xdr:rowOff>167550</xdr:rowOff>
    </xdr:to>
    <xdr:pic>
      <xdr:nvPicPr>
        <xdr:cNvPr id="37" name="Picture 36">
          <a:extLst>
            <a:ext uri="{FF2B5EF4-FFF2-40B4-BE49-F238E27FC236}">
              <a16:creationId xmlns:a16="http://schemas.microsoft.com/office/drawing/2014/main" id="{9529DE7C-AB00-E80E-8937-59211E170A8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705474" y="4781550"/>
          <a:ext cx="942975" cy="720000"/>
        </a:xfrm>
        <a:prstGeom prst="rect">
          <a:avLst/>
        </a:prstGeom>
      </xdr:spPr>
    </xdr:pic>
    <xdr:clientData/>
  </xdr:twoCellAnchor>
  <xdr:twoCellAnchor editAs="oneCell">
    <xdr:from>
      <xdr:col>11</xdr:col>
      <xdr:colOff>409575</xdr:colOff>
      <xdr:row>24</xdr:row>
      <xdr:rowOff>133350</xdr:rowOff>
    </xdr:from>
    <xdr:to>
      <xdr:col>12</xdr:col>
      <xdr:colOff>519975</xdr:colOff>
      <xdr:row>28</xdr:row>
      <xdr:rowOff>91350</xdr:rowOff>
    </xdr:to>
    <xdr:pic>
      <xdr:nvPicPr>
        <xdr:cNvPr id="39" name="Picture 38">
          <a:extLst>
            <a:ext uri="{FF2B5EF4-FFF2-40B4-BE49-F238E27FC236}">
              <a16:creationId xmlns:a16="http://schemas.microsoft.com/office/drawing/2014/main" id="{BE02FB29-F872-6B85-8882-C20B7B88EE9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115175" y="4705350"/>
          <a:ext cx="720000" cy="720000"/>
        </a:xfrm>
        <a:prstGeom prst="rect">
          <a:avLst/>
        </a:prstGeom>
      </xdr:spPr>
    </xdr:pic>
    <xdr:clientData/>
  </xdr:twoCellAnchor>
  <xdr:twoCellAnchor editAs="oneCell">
    <xdr:from>
      <xdr:col>11</xdr:col>
      <xdr:colOff>428625</xdr:colOff>
      <xdr:row>29</xdr:row>
      <xdr:rowOff>47625</xdr:rowOff>
    </xdr:from>
    <xdr:to>
      <xdr:col>12</xdr:col>
      <xdr:colOff>539025</xdr:colOff>
      <xdr:row>33</xdr:row>
      <xdr:rowOff>5625</xdr:rowOff>
    </xdr:to>
    <xdr:pic>
      <xdr:nvPicPr>
        <xdr:cNvPr id="41" name="Picture 40">
          <a:extLst>
            <a:ext uri="{FF2B5EF4-FFF2-40B4-BE49-F238E27FC236}">
              <a16:creationId xmlns:a16="http://schemas.microsoft.com/office/drawing/2014/main" id="{6A0735AB-1A7D-A5F1-CE1E-5496B751033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134225" y="5572125"/>
          <a:ext cx="720000" cy="720000"/>
        </a:xfrm>
        <a:prstGeom prst="rect">
          <a:avLst/>
        </a:prstGeom>
      </xdr:spPr>
    </xdr:pic>
    <xdr:clientData/>
  </xdr:twoCellAnchor>
  <xdr:twoCellAnchor>
    <xdr:from>
      <xdr:col>11</xdr:col>
      <xdr:colOff>19050</xdr:colOff>
      <xdr:row>21</xdr:row>
      <xdr:rowOff>76200</xdr:rowOff>
    </xdr:from>
    <xdr:to>
      <xdr:col>13</xdr:col>
      <xdr:colOff>190500</xdr:colOff>
      <xdr:row>22</xdr:row>
      <xdr:rowOff>152400</xdr:rowOff>
    </xdr:to>
    <xdr:sp macro="" textlink="">
      <xdr:nvSpPr>
        <xdr:cNvPr id="42" name="TextBox 41">
          <a:extLst>
            <a:ext uri="{FF2B5EF4-FFF2-40B4-BE49-F238E27FC236}">
              <a16:creationId xmlns:a16="http://schemas.microsoft.com/office/drawing/2014/main" id="{3691893E-7A5C-8780-9C12-67D94F1DF7D5}"/>
            </a:ext>
          </a:extLst>
        </xdr:cNvPr>
        <xdr:cNvSpPr txBox="1"/>
      </xdr:nvSpPr>
      <xdr:spPr>
        <a:xfrm>
          <a:off x="6724650" y="4076700"/>
          <a:ext cx="1390650" cy="266700"/>
        </a:xfrm>
        <a:prstGeom prst="rect">
          <a:avLst/>
        </a:prstGeom>
        <a:solidFill>
          <a:srgbClr val="A61C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Risk Factors</a:t>
          </a:r>
        </a:p>
      </xdr:txBody>
    </xdr:sp>
    <xdr:clientData/>
  </xdr:twoCellAnchor>
  <xdr:twoCellAnchor editAs="oneCell">
    <xdr:from>
      <xdr:col>13</xdr:col>
      <xdr:colOff>285749</xdr:colOff>
      <xdr:row>25</xdr:row>
      <xdr:rowOff>9525</xdr:rowOff>
    </xdr:from>
    <xdr:to>
      <xdr:col>14</xdr:col>
      <xdr:colOff>581024</xdr:colOff>
      <xdr:row>28</xdr:row>
      <xdr:rowOff>158025</xdr:rowOff>
    </xdr:to>
    <xdr:pic>
      <xdr:nvPicPr>
        <xdr:cNvPr id="44" name="Picture 43">
          <a:extLst>
            <a:ext uri="{FF2B5EF4-FFF2-40B4-BE49-F238E27FC236}">
              <a16:creationId xmlns:a16="http://schemas.microsoft.com/office/drawing/2014/main" id="{A04ED9B9-088C-56BD-AF70-A62D8157994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210549" y="4772025"/>
          <a:ext cx="904875" cy="720000"/>
        </a:xfrm>
        <a:prstGeom prst="rect">
          <a:avLst/>
        </a:prstGeom>
      </xdr:spPr>
    </xdr:pic>
    <xdr:clientData/>
  </xdr:twoCellAnchor>
  <xdr:twoCellAnchor editAs="oneCell">
    <xdr:from>
      <xdr:col>15</xdr:col>
      <xdr:colOff>133350</xdr:colOff>
      <xdr:row>25</xdr:row>
      <xdr:rowOff>38100</xdr:rowOff>
    </xdr:from>
    <xdr:to>
      <xdr:col>16</xdr:col>
      <xdr:colOff>243750</xdr:colOff>
      <xdr:row>28</xdr:row>
      <xdr:rowOff>186600</xdr:rowOff>
    </xdr:to>
    <xdr:pic>
      <xdr:nvPicPr>
        <xdr:cNvPr id="46" name="Picture 45">
          <a:extLst>
            <a:ext uri="{FF2B5EF4-FFF2-40B4-BE49-F238E27FC236}">
              <a16:creationId xmlns:a16="http://schemas.microsoft.com/office/drawing/2014/main" id="{06A48FB9-5222-1A5A-70B5-9D0E0111E335}"/>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277350" y="4800600"/>
          <a:ext cx="720000" cy="720000"/>
        </a:xfrm>
        <a:prstGeom prst="rect">
          <a:avLst/>
        </a:prstGeom>
      </xdr:spPr>
    </xdr:pic>
    <xdr:clientData/>
  </xdr:twoCellAnchor>
  <xdr:twoCellAnchor>
    <xdr:from>
      <xdr:col>14</xdr:col>
      <xdr:colOff>447675</xdr:colOff>
      <xdr:row>21</xdr:row>
      <xdr:rowOff>76200</xdr:rowOff>
    </xdr:from>
    <xdr:to>
      <xdr:col>17</xdr:col>
      <xdr:colOff>0</xdr:colOff>
      <xdr:row>22</xdr:row>
      <xdr:rowOff>142875</xdr:rowOff>
    </xdr:to>
    <xdr:sp macro="" textlink="">
      <xdr:nvSpPr>
        <xdr:cNvPr id="47" name="TextBox 46">
          <a:extLst>
            <a:ext uri="{FF2B5EF4-FFF2-40B4-BE49-F238E27FC236}">
              <a16:creationId xmlns:a16="http://schemas.microsoft.com/office/drawing/2014/main" id="{1E2E358B-6109-B0C3-29DD-55272AF9041E}"/>
            </a:ext>
          </a:extLst>
        </xdr:cNvPr>
        <xdr:cNvSpPr txBox="1"/>
      </xdr:nvSpPr>
      <xdr:spPr>
        <a:xfrm>
          <a:off x="8982075" y="4076700"/>
          <a:ext cx="1381125" cy="257175"/>
        </a:xfrm>
        <a:prstGeom prst="rect">
          <a:avLst/>
        </a:prstGeom>
        <a:solidFill>
          <a:srgbClr val="A61C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Diagnostic Indicator</a:t>
          </a:r>
        </a:p>
      </xdr:txBody>
    </xdr:sp>
    <xdr:clientData/>
  </xdr:twoCellAnchor>
  <xdr:twoCellAnchor editAs="oneCell">
    <xdr:from>
      <xdr:col>17</xdr:col>
      <xdr:colOff>19049</xdr:colOff>
      <xdr:row>25</xdr:row>
      <xdr:rowOff>47625</xdr:rowOff>
    </xdr:from>
    <xdr:to>
      <xdr:col>18</xdr:col>
      <xdr:colOff>314324</xdr:colOff>
      <xdr:row>29</xdr:row>
      <xdr:rowOff>5625</xdr:rowOff>
    </xdr:to>
    <xdr:pic>
      <xdr:nvPicPr>
        <xdr:cNvPr id="49" name="Picture 48">
          <a:extLst>
            <a:ext uri="{FF2B5EF4-FFF2-40B4-BE49-F238E27FC236}">
              <a16:creationId xmlns:a16="http://schemas.microsoft.com/office/drawing/2014/main" id="{6A408063-B463-7BEB-64D9-8B1D841CF9A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382249" y="4810125"/>
          <a:ext cx="904875" cy="720000"/>
        </a:xfrm>
        <a:prstGeom prst="rect">
          <a:avLst/>
        </a:prstGeom>
      </xdr:spPr>
    </xdr:pic>
    <xdr:clientData/>
  </xdr:twoCellAnchor>
  <xdr:twoCellAnchor editAs="oneCell">
    <xdr:from>
      <xdr:col>19</xdr:col>
      <xdr:colOff>38100</xdr:colOff>
      <xdr:row>24</xdr:row>
      <xdr:rowOff>161925</xdr:rowOff>
    </xdr:from>
    <xdr:to>
      <xdr:col>20</xdr:col>
      <xdr:colOff>148500</xdr:colOff>
      <xdr:row>28</xdr:row>
      <xdr:rowOff>119925</xdr:rowOff>
    </xdr:to>
    <xdr:pic>
      <xdr:nvPicPr>
        <xdr:cNvPr id="51" name="Picture 50">
          <a:extLst>
            <a:ext uri="{FF2B5EF4-FFF2-40B4-BE49-F238E27FC236}">
              <a16:creationId xmlns:a16="http://schemas.microsoft.com/office/drawing/2014/main" id="{49DBCEA2-1DDB-4456-04E7-9BB725493773}"/>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620500" y="4733925"/>
          <a:ext cx="720000" cy="720000"/>
        </a:xfrm>
        <a:prstGeom prst="rect">
          <a:avLst/>
        </a:prstGeom>
      </xdr:spPr>
    </xdr:pic>
    <xdr:clientData/>
  </xdr:twoCellAnchor>
  <xdr:twoCellAnchor>
    <xdr:from>
      <xdr:col>13</xdr:col>
      <xdr:colOff>142875</xdr:colOff>
      <xdr:row>29</xdr:row>
      <xdr:rowOff>9525</xdr:rowOff>
    </xdr:from>
    <xdr:to>
      <xdr:col>20</xdr:col>
      <xdr:colOff>555675</xdr:colOff>
      <xdr:row>33</xdr:row>
      <xdr:rowOff>111525</xdr:rowOff>
    </xdr:to>
    <xdr:sp macro="" textlink="">
      <xdr:nvSpPr>
        <xdr:cNvPr id="52" name="Rectangle 51">
          <a:extLst>
            <a:ext uri="{FF2B5EF4-FFF2-40B4-BE49-F238E27FC236}">
              <a16:creationId xmlns:a16="http://schemas.microsoft.com/office/drawing/2014/main" id="{F32B381D-1379-6D53-4B6E-906910B83C19}"/>
            </a:ext>
          </a:extLst>
        </xdr:cNvPr>
        <xdr:cNvSpPr/>
      </xdr:nvSpPr>
      <xdr:spPr>
        <a:xfrm>
          <a:off x="8067675" y="5534025"/>
          <a:ext cx="4680000" cy="864000"/>
        </a:xfrm>
        <a:prstGeom prst="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a:t>
          </a:r>
        </a:p>
        <a:p>
          <a:pPr algn="l"/>
          <a:r>
            <a:rPr lang="en-IN" sz="1100" b="1"/>
            <a:t>49 out of 303 (16%)</a:t>
          </a:r>
          <a:r>
            <a:rPr lang="en-IN" sz="1100" b="1" baseline="0"/>
            <a:t> </a:t>
          </a:r>
          <a:r>
            <a:rPr lang="en-IN" sz="1100" baseline="0"/>
            <a:t>showed Heart Disease that started from </a:t>
          </a:r>
          <a:r>
            <a:rPr lang="en-IN" sz="1100" b="1" baseline="0"/>
            <a:t>Chest Pain </a:t>
          </a:r>
          <a:r>
            <a:rPr lang="en-IN" sz="1100" baseline="0"/>
            <a:t>to risk factor </a:t>
          </a:r>
          <a:r>
            <a:rPr lang="en-IN" sz="1100" b="1" baseline="0"/>
            <a:t>Blood Pressure </a:t>
          </a:r>
          <a:r>
            <a:rPr lang="en-IN" sz="1100" baseline="0"/>
            <a:t>and </a:t>
          </a:r>
          <a:r>
            <a:rPr lang="en-IN" sz="1100" b="1" baseline="0"/>
            <a:t>Cholestrol</a:t>
          </a:r>
          <a:r>
            <a:rPr lang="en-IN" sz="1100" baseline="0"/>
            <a:t> till it showed through diagnostic Indicator </a:t>
          </a:r>
          <a:r>
            <a:rPr lang="en-IN" sz="1100" b="1" baseline="0"/>
            <a:t>Slope</a:t>
          </a:r>
          <a:r>
            <a:rPr lang="en-IN" sz="1100" baseline="0"/>
            <a:t> that </a:t>
          </a:r>
          <a:r>
            <a:rPr lang="en-IN" sz="1100" b="1" baseline="0"/>
            <a:t>Downsloping</a:t>
          </a:r>
          <a:r>
            <a:rPr lang="en-IN" sz="1100" baseline="0"/>
            <a:t> which is </a:t>
          </a:r>
          <a:r>
            <a:rPr lang="en-IN" sz="1100" b="1" baseline="0"/>
            <a:t>Coronary Artery Disease</a:t>
          </a:r>
          <a:r>
            <a:rPr lang="en-IN" sz="1100" baseline="0"/>
            <a:t>.</a:t>
          </a:r>
          <a:endParaRPr lang="en-IN" sz="1100"/>
        </a:p>
      </xdr:txBody>
    </xdr:sp>
    <xdr:clientData/>
  </xdr:twoCellAnchor>
  <xdr:twoCellAnchor>
    <xdr:from>
      <xdr:col>16</xdr:col>
      <xdr:colOff>57150</xdr:colOff>
      <xdr:row>29</xdr:row>
      <xdr:rowOff>28575</xdr:rowOff>
    </xdr:from>
    <xdr:to>
      <xdr:col>17</xdr:col>
      <xdr:colOff>495300</xdr:colOff>
      <xdr:row>30</xdr:row>
      <xdr:rowOff>19050</xdr:rowOff>
    </xdr:to>
    <xdr:sp macro="" textlink="">
      <xdr:nvSpPr>
        <xdr:cNvPr id="53" name="TextBox 52">
          <a:extLst>
            <a:ext uri="{FF2B5EF4-FFF2-40B4-BE49-F238E27FC236}">
              <a16:creationId xmlns:a16="http://schemas.microsoft.com/office/drawing/2014/main" id="{F9EF392D-0BC4-3833-FB70-E55D78F3BB00}"/>
            </a:ext>
          </a:extLst>
        </xdr:cNvPr>
        <xdr:cNvSpPr txBox="1"/>
      </xdr:nvSpPr>
      <xdr:spPr>
        <a:xfrm>
          <a:off x="9810750" y="5553075"/>
          <a:ext cx="1047750" cy="180975"/>
        </a:xfrm>
        <a:prstGeom prst="rect">
          <a:avLst/>
        </a:prstGeom>
        <a:solidFill>
          <a:srgbClr val="1F4E7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C93A3A"/>
              </a:solidFill>
            </a:rPr>
            <a:t>Key Insights</a:t>
          </a:r>
        </a:p>
      </xdr:txBody>
    </xdr:sp>
    <xdr:clientData/>
  </xdr:twoCellAnchor>
  <xdr:twoCellAnchor>
    <xdr:from>
      <xdr:col>0</xdr:col>
      <xdr:colOff>114300</xdr:colOff>
      <xdr:row>4</xdr:row>
      <xdr:rowOff>152401</xdr:rowOff>
    </xdr:from>
    <xdr:to>
      <xdr:col>2</xdr:col>
      <xdr:colOff>523875</xdr:colOff>
      <xdr:row>5</xdr:row>
      <xdr:rowOff>141901</xdr:rowOff>
    </xdr:to>
    <xdr:sp macro="" textlink="">
      <xdr:nvSpPr>
        <xdr:cNvPr id="54" name="TextBox 53">
          <a:extLst>
            <a:ext uri="{FF2B5EF4-FFF2-40B4-BE49-F238E27FC236}">
              <a16:creationId xmlns:a16="http://schemas.microsoft.com/office/drawing/2014/main" id="{A0B4B703-1AAA-6253-B8C6-B095D4ED99BA}"/>
            </a:ext>
          </a:extLst>
        </xdr:cNvPr>
        <xdr:cNvSpPr txBox="1"/>
      </xdr:nvSpPr>
      <xdr:spPr>
        <a:xfrm>
          <a:off x="114300" y="914401"/>
          <a:ext cx="1628775"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Chest Pain</a:t>
          </a:r>
        </a:p>
        <a:p>
          <a:pPr algn="ctr"/>
          <a:endParaRPr lang="en-IN" sz="1100"/>
        </a:p>
      </xdr:txBody>
    </xdr:sp>
    <xdr:clientData/>
  </xdr:twoCellAnchor>
  <xdr:twoCellAnchor>
    <xdr:from>
      <xdr:col>0</xdr:col>
      <xdr:colOff>95250</xdr:colOff>
      <xdr:row>5</xdr:row>
      <xdr:rowOff>180975</xdr:rowOff>
    </xdr:from>
    <xdr:to>
      <xdr:col>2</xdr:col>
      <xdr:colOff>476250</xdr:colOff>
      <xdr:row>6</xdr:row>
      <xdr:rowOff>171450</xdr:rowOff>
    </xdr:to>
    <xdr:sp macro="" textlink="'A-koi'!B9">
      <xdr:nvSpPr>
        <xdr:cNvPr id="59" name="TextBox 58">
          <a:extLst>
            <a:ext uri="{FF2B5EF4-FFF2-40B4-BE49-F238E27FC236}">
              <a16:creationId xmlns:a16="http://schemas.microsoft.com/office/drawing/2014/main" id="{60C5858F-0384-1210-7CEE-5222FD8C574E}"/>
            </a:ext>
          </a:extLst>
        </xdr:cNvPr>
        <xdr:cNvSpPr txBox="1"/>
      </xdr:nvSpPr>
      <xdr:spPr>
        <a:xfrm>
          <a:off x="95250" y="1133475"/>
          <a:ext cx="1600200" cy="18097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200562-E08A-45B1-8905-5C4682781030}" type="TxLink">
            <a:rPr lang="en-US" sz="1100" b="1" i="0" u="none" strike="noStrike">
              <a:solidFill>
                <a:srgbClr val="4A0404"/>
              </a:solidFill>
              <a:latin typeface="Calibri"/>
              <a:cs typeface="Calibri"/>
            </a:rPr>
            <a:pPr algn="ctr"/>
            <a:t>165/303</a:t>
          </a:fld>
          <a:endParaRPr lang="en-IN" sz="1100" b="1">
            <a:solidFill>
              <a:srgbClr val="4A0404"/>
            </a:solidFill>
          </a:endParaRPr>
        </a:p>
      </xdr:txBody>
    </xdr:sp>
    <xdr:clientData/>
  </xdr:twoCellAnchor>
  <xdr:twoCellAnchor>
    <xdr:from>
      <xdr:col>0</xdr:col>
      <xdr:colOff>123824</xdr:colOff>
      <xdr:row>7</xdr:row>
      <xdr:rowOff>28575</xdr:rowOff>
    </xdr:from>
    <xdr:to>
      <xdr:col>2</xdr:col>
      <xdr:colOff>438149</xdr:colOff>
      <xdr:row>8</xdr:row>
      <xdr:rowOff>47625</xdr:rowOff>
    </xdr:to>
    <xdr:sp macro="" textlink="'A-koi'!B4">
      <xdr:nvSpPr>
        <xdr:cNvPr id="60" name="TextBox 59">
          <a:extLst>
            <a:ext uri="{FF2B5EF4-FFF2-40B4-BE49-F238E27FC236}">
              <a16:creationId xmlns:a16="http://schemas.microsoft.com/office/drawing/2014/main" id="{D530A8F0-6274-4ECB-1EA2-6FED98791B8F}"/>
            </a:ext>
          </a:extLst>
        </xdr:cNvPr>
        <xdr:cNvSpPr txBox="1"/>
      </xdr:nvSpPr>
      <xdr:spPr>
        <a:xfrm>
          <a:off x="123824" y="1362075"/>
          <a:ext cx="1533525" cy="20955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39B617-5CCA-44DD-A91C-60F3DBC0FF18}" type="TxLink">
            <a:rPr lang="en-US" sz="1100" b="1" i="0" u="none" strike="noStrike">
              <a:solidFill>
                <a:srgbClr val="4A0404"/>
              </a:solidFill>
              <a:latin typeface="Calibri"/>
              <a:cs typeface="Calibri"/>
            </a:rPr>
            <a:pPr algn="ctr"/>
            <a:t>54.46%</a:t>
          </a:fld>
          <a:endParaRPr lang="en-IN" sz="1100" b="1">
            <a:solidFill>
              <a:srgbClr val="4A0404"/>
            </a:solidFill>
          </a:endParaRPr>
        </a:p>
      </xdr:txBody>
    </xdr:sp>
    <xdr:clientData/>
  </xdr:twoCellAnchor>
  <xdr:twoCellAnchor>
    <xdr:from>
      <xdr:col>3</xdr:col>
      <xdr:colOff>66675</xdr:colOff>
      <xdr:row>4</xdr:row>
      <xdr:rowOff>161925</xdr:rowOff>
    </xdr:from>
    <xdr:to>
      <xdr:col>5</xdr:col>
      <xdr:colOff>447675</xdr:colOff>
      <xdr:row>5</xdr:row>
      <xdr:rowOff>151425</xdr:rowOff>
    </xdr:to>
    <xdr:sp macro="" textlink="">
      <xdr:nvSpPr>
        <xdr:cNvPr id="61" name="TextBox 60">
          <a:extLst>
            <a:ext uri="{FF2B5EF4-FFF2-40B4-BE49-F238E27FC236}">
              <a16:creationId xmlns:a16="http://schemas.microsoft.com/office/drawing/2014/main" id="{61A6F044-ED30-EA22-2542-F9143115C48F}"/>
            </a:ext>
          </a:extLst>
        </xdr:cNvPr>
        <xdr:cNvSpPr txBox="1"/>
      </xdr:nvSpPr>
      <xdr:spPr>
        <a:xfrm>
          <a:off x="1895475" y="923925"/>
          <a:ext cx="1600200"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CP</a:t>
          </a:r>
          <a:r>
            <a:rPr lang="en-IN" sz="1100" b="1" baseline="0">
              <a:solidFill>
                <a:srgbClr val="4A0404"/>
              </a:solidFill>
            </a:rPr>
            <a:t> &amp; Blood Pressure</a:t>
          </a:r>
          <a:endParaRPr lang="en-IN" sz="1100" b="1">
            <a:solidFill>
              <a:srgbClr val="4A0404"/>
            </a:solidFill>
          </a:endParaRPr>
        </a:p>
      </xdr:txBody>
    </xdr:sp>
    <xdr:clientData/>
  </xdr:twoCellAnchor>
  <xdr:twoCellAnchor>
    <xdr:from>
      <xdr:col>6</xdr:col>
      <xdr:colOff>38100</xdr:colOff>
      <xdr:row>4</xdr:row>
      <xdr:rowOff>171450</xdr:rowOff>
    </xdr:from>
    <xdr:to>
      <xdr:col>8</xdr:col>
      <xdr:colOff>495300</xdr:colOff>
      <xdr:row>5</xdr:row>
      <xdr:rowOff>160950</xdr:rowOff>
    </xdr:to>
    <xdr:sp macro="" textlink="">
      <xdr:nvSpPr>
        <xdr:cNvPr id="62" name="TextBox 61">
          <a:extLst>
            <a:ext uri="{FF2B5EF4-FFF2-40B4-BE49-F238E27FC236}">
              <a16:creationId xmlns:a16="http://schemas.microsoft.com/office/drawing/2014/main" id="{B353CB11-4CCE-8309-2569-40C20220E9D6}"/>
            </a:ext>
          </a:extLst>
        </xdr:cNvPr>
        <xdr:cNvSpPr txBox="1"/>
      </xdr:nvSpPr>
      <xdr:spPr>
        <a:xfrm>
          <a:off x="3695700" y="933450"/>
          <a:ext cx="1676400"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CP, BP &amp; Cholestrol</a:t>
          </a:r>
        </a:p>
      </xdr:txBody>
    </xdr:sp>
    <xdr:clientData/>
  </xdr:twoCellAnchor>
  <xdr:twoCellAnchor>
    <xdr:from>
      <xdr:col>9</xdr:col>
      <xdr:colOff>19051</xdr:colOff>
      <xdr:row>4</xdr:row>
      <xdr:rowOff>180975</xdr:rowOff>
    </xdr:from>
    <xdr:to>
      <xdr:col>11</xdr:col>
      <xdr:colOff>504825</xdr:colOff>
      <xdr:row>5</xdr:row>
      <xdr:rowOff>170475</xdr:rowOff>
    </xdr:to>
    <xdr:sp macro="" textlink="">
      <xdr:nvSpPr>
        <xdr:cNvPr id="63" name="TextBox 62">
          <a:extLst>
            <a:ext uri="{FF2B5EF4-FFF2-40B4-BE49-F238E27FC236}">
              <a16:creationId xmlns:a16="http://schemas.microsoft.com/office/drawing/2014/main" id="{1E597E30-B59E-22E7-D1D1-6FCB536E4D2D}"/>
            </a:ext>
          </a:extLst>
        </xdr:cNvPr>
        <xdr:cNvSpPr txBox="1"/>
      </xdr:nvSpPr>
      <xdr:spPr>
        <a:xfrm>
          <a:off x="5505451" y="942975"/>
          <a:ext cx="1704974"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CP, BP, Ch        Slope</a:t>
          </a:r>
        </a:p>
      </xdr:txBody>
    </xdr:sp>
    <xdr:clientData/>
  </xdr:twoCellAnchor>
  <xdr:twoCellAnchor editAs="oneCell">
    <xdr:from>
      <xdr:col>10</xdr:col>
      <xdr:colOff>323850</xdr:colOff>
      <xdr:row>5</xdr:row>
      <xdr:rowOff>0</xdr:rowOff>
    </xdr:from>
    <xdr:to>
      <xdr:col>10</xdr:col>
      <xdr:colOff>503850</xdr:colOff>
      <xdr:row>5</xdr:row>
      <xdr:rowOff>180000</xdr:rowOff>
    </xdr:to>
    <xdr:pic>
      <xdr:nvPicPr>
        <xdr:cNvPr id="10242" name="Graphic 10241" descr="Arrow: Slight curve with solid fill">
          <a:extLst>
            <a:ext uri="{FF2B5EF4-FFF2-40B4-BE49-F238E27FC236}">
              <a16:creationId xmlns:a16="http://schemas.microsoft.com/office/drawing/2014/main" id="{3AC5A967-9ADC-86CD-2304-5C487230DA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6419850" y="952500"/>
          <a:ext cx="180000" cy="180000"/>
        </a:xfrm>
        <a:prstGeom prst="rect">
          <a:avLst/>
        </a:prstGeom>
      </xdr:spPr>
    </xdr:pic>
    <xdr:clientData/>
  </xdr:twoCellAnchor>
  <xdr:twoCellAnchor>
    <xdr:from>
      <xdr:col>3</xdr:col>
      <xdr:colOff>66675</xdr:colOff>
      <xdr:row>6</xdr:row>
      <xdr:rowOff>19050</xdr:rowOff>
    </xdr:from>
    <xdr:to>
      <xdr:col>5</xdr:col>
      <xdr:colOff>447674</xdr:colOff>
      <xdr:row>7</xdr:row>
      <xdr:rowOff>8550</xdr:rowOff>
    </xdr:to>
    <xdr:sp macro="" textlink="'A-koi'!E9">
      <xdr:nvSpPr>
        <xdr:cNvPr id="4" name="TextBox 3">
          <a:extLst>
            <a:ext uri="{FF2B5EF4-FFF2-40B4-BE49-F238E27FC236}">
              <a16:creationId xmlns:a16="http://schemas.microsoft.com/office/drawing/2014/main" id="{DC8E392D-C8ED-310B-1FE6-F8F7492C16E7}"/>
            </a:ext>
          </a:extLst>
        </xdr:cNvPr>
        <xdr:cNvSpPr txBox="1"/>
      </xdr:nvSpPr>
      <xdr:spPr>
        <a:xfrm>
          <a:off x="1895475" y="1162050"/>
          <a:ext cx="1600199"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D66164-3FE4-4FDD-9A94-ED61D3F502DB}" type="TxLink">
            <a:rPr lang="en-US" sz="1100" b="1" i="0" u="none" strike="noStrike">
              <a:solidFill>
                <a:srgbClr val="4A0404"/>
              </a:solidFill>
              <a:latin typeface="Calibri"/>
              <a:cs typeface="Calibri"/>
            </a:rPr>
            <a:pPr algn="ctr"/>
            <a:t>88/303</a:t>
          </a:fld>
          <a:endParaRPr lang="en-IN" sz="1100" b="1">
            <a:solidFill>
              <a:srgbClr val="4A0404"/>
            </a:solidFill>
          </a:endParaRPr>
        </a:p>
      </xdr:txBody>
    </xdr:sp>
    <xdr:clientData/>
  </xdr:twoCellAnchor>
  <xdr:twoCellAnchor>
    <xdr:from>
      <xdr:col>3</xdr:col>
      <xdr:colOff>57150</xdr:colOff>
      <xdr:row>7</xdr:row>
      <xdr:rowOff>66675</xdr:rowOff>
    </xdr:from>
    <xdr:to>
      <xdr:col>5</xdr:col>
      <xdr:colOff>409575</xdr:colOff>
      <xdr:row>8</xdr:row>
      <xdr:rowOff>45718</xdr:rowOff>
    </xdr:to>
    <xdr:sp macro="" textlink="'A-koi'!E4">
      <xdr:nvSpPr>
        <xdr:cNvPr id="11" name="TextBox 10">
          <a:extLst>
            <a:ext uri="{FF2B5EF4-FFF2-40B4-BE49-F238E27FC236}">
              <a16:creationId xmlns:a16="http://schemas.microsoft.com/office/drawing/2014/main" id="{F464FEC1-E0B8-3A6D-46EF-E65C63D345D8}"/>
            </a:ext>
          </a:extLst>
        </xdr:cNvPr>
        <xdr:cNvSpPr txBox="1"/>
      </xdr:nvSpPr>
      <xdr:spPr>
        <a:xfrm>
          <a:off x="1885950" y="1400175"/>
          <a:ext cx="1571625" cy="169543"/>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E76548-8FC0-4A76-9BF2-A2A79186C928}" type="TxLink">
            <a:rPr lang="en-US" sz="1100" b="1" i="0" u="none" strike="noStrike">
              <a:solidFill>
                <a:srgbClr val="4A0404"/>
              </a:solidFill>
              <a:latin typeface="Calibri"/>
              <a:cs typeface="Calibri"/>
            </a:rPr>
            <a:pPr algn="ctr"/>
            <a:t>29.04%</a:t>
          </a:fld>
          <a:endParaRPr lang="en-IN" sz="1100" b="1">
            <a:solidFill>
              <a:srgbClr val="4A0404"/>
            </a:solidFill>
          </a:endParaRPr>
        </a:p>
      </xdr:txBody>
    </xdr:sp>
    <xdr:clientData/>
  </xdr:twoCellAnchor>
  <xdr:twoCellAnchor>
    <xdr:from>
      <xdr:col>6</xdr:col>
      <xdr:colOff>38100</xdr:colOff>
      <xdr:row>6</xdr:row>
      <xdr:rowOff>28576</xdr:rowOff>
    </xdr:from>
    <xdr:to>
      <xdr:col>8</xdr:col>
      <xdr:colOff>466725</xdr:colOff>
      <xdr:row>7</xdr:row>
      <xdr:rowOff>18076</xdr:rowOff>
    </xdr:to>
    <xdr:sp macro="" textlink="'A-koi'!H9">
      <xdr:nvSpPr>
        <xdr:cNvPr id="17" name="TextBox 16">
          <a:extLst>
            <a:ext uri="{FF2B5EF4-FFF2-40B4-BE49-F238E27FC236}">
              <a16:creationId xmlns:a16="http://schemas.microsoft.com/office/drawing/2014/main" id="{C5E8CE4A-320C-728F-6423-46BC3D6BBDD8}"/>
            </a:ext>
          </a:extLst>
        </xdr:cNvPr>
        <xdr:cNvSpPr txBox="1"/>
      </xdr:nvSpPr>
      <xdr:spPr>
        <a:xfrm>
          <a:off x="3695700" y="1171576"/>
          <a:ext cx="1647825"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7DDF4E-2B27-465A-886C-439D4E809217}" type="TxLink">
            <a:rPr lang="en-US" sz="1100" b="1" i="0" u="none" strike="noStrike">
              <a:solidFill>
                <a:srgbClr val="4A0404"/>
              </a:solidFill>
              <a:latin typeface="Calibri"/>
              <a:cs typeface="Calibri"/>
            </a:rPr>
            <a:pPr algn="ctr"/>
            <a:t>73/303</a:t>
          </a:fld>
          <a:endParaRPr lang="en-IN" sz="1100" b="1">
            <a:solidFill>
              <a:srgbClr val="4A0404"/>
            </a:solidFill>
          </a:endParaRPr>
        </a:p>
      </xdr:txBody>
    </xdr:sp>
    <xdr:clientData/>
  </xdr:twoCellAnchor>
  <xdr:twoCellAnchor>
    <xdr:from>
      <xdr:col>6</xdr:col>
      <xdr:colOff>38100</xdr:colOff>
      <xdr:row>7</xdr:row>
      <xdr:rowOff>66675</xdr:rowOff>
    </xdr:from>
    <xdr:to>
      <xdr:col>8</xdr:col>
      <xdr:colOff>474900</xdr:colOff>
      <xdr:row>8</xdr:row>
      <xdr:rowOff>56175</xdr:rowOff>
    </xdr:to>
    <xdr:sp macro="" textlink="'A-koi'!H4">
      <xdr:nvSpPr>
        <xdr:cNvPr id="19" name="TextBox 18">
          <a:extLst>
            <a:ext uri="{FF2B5EF4-FFF2-40B4-BE49-F238E27FC236}">
              <a16:creationId xmlns:a16="http://schemas.microsoft.com/office/drawing/2014/main" id="{7BAB2A2B-CC79-CBD1-A52A-499144729E57}"/>
            </a:ext>
          </a:extLst>
        </xdr:cNvPr>
        <xdr:cNvSpPr txBox="1"/>
      </xdr:nvSpPr>
      <xdr:spPr>
        <a:xfrm>
          <a:off x="3695700" y="1400175"/>
          <a:ext cx="1656000"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711A90-BE42-4B66-BB7E-8B73A2766507}" type="TxLink">
            <a:rPr lang="en-US" sz="1100" b="1" i="0" u="none" strike="noStrike">
              <a:solidFill>
                <a:srgbClr val="4A0404"/>
              </a:solidFill>
              <a:latin typeface="Calibri"/>
              <a:cs typeface="Calibri"/>
            </a:rPr>
            <a:pPr algn="ctr"/>
            <a:t>24.09%</a:t>
          </a:fld>
          <a:endParaRPr lang="en-IN" sz="1100" b="1">
            <a:solidFill>
              <a:srgbClr val="4A0404"/>
            </a:solidFill>
          </a:endParaRPr>
        </a:p>
      </xdr:txBody>
    </xdr:sp>
    <xdr:clientData/>
  </xdr:twoCellAnchor>
  <xdr:twoCellAnchor>
    <xdr:from>
      <xdr:col>9</xdr:col>
      <xdr:colOff>28574</xdr:colOff>
      <xdr:row>6</xdr:row>
      <xdr:rowOff>38100</xdr:rowOff>
    </xdr:from>
    <xdr:to>
      <xdr:col>11</xdr:col>
      <xdr:colOff>501374</xdr:colOff>
      <xdr:row>7</xdr:row>
      <xdr:rowOff>27600</xdr:rowOff>
    </xdr:to>
    <xdr:sp macro="" textlink="'A-koi'!K9">
      <xdr:nvSpPr>
        <xdr:cNvPr id="20" name="TextBox 19">
          <a:extLst>
            <a:ext uri="{FF2B5EF4-FFF2-40B4-BE49-F238E27FC236}">
              <a16:creationId xmlns:a16="http://schemas.microsoft.com/office/drawing/2014/main" id="{D1EF62D5-C0BB-9396-053C-3008A8BD6557}"/>
            </a:ext>
          </a:extLst>
        </xdr:cNvPr>
        <xdr:cNvSpPr txBox="1"/>
      </xdr:nvSpPr>
      <xdr:spPr>
        <a:xfrm>
          <a:off x="5514974" y="1181100"/>
          <a:ext cx="1692000"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8BBEA4-C713-4DDA-81B8-666FD5C8FFD4}" type="TxLink">
            <a:rPr lang="en-US" sz="1100" b="1" i="0" u="none" strike="noStrike">
              <a:solidFill>
                <a:srgbClr val="4A0404"/>
              </a:solidFill>
              <a:latin typeface="Calibri"/>
              <a:cs typeface="Calibri"/>
            </a:rPr>
            <a:pPr algn="ctr"/>
            <a:t>49/303</a:t>
          </a:fld>
          <a:endParaRPr lang="en-IN" sz="1100" b="1">
            <a:solidFill>
              <a:srgbClr val="4A0404"/>
            </a:solidFill>
          </a:endParaRPr>
        </a:p>
      </xdr:txBody>
    </xdr:sp>
    <xdr:clientData/>
  </xdr:twoCellAnchor>
  <xdr:twoCellAnchor>
    <xdr:from>
      <xdr:col>9</xdr:col>
      <xdr:colOff>28573</xdr:colOff>
      <xdr:row>7</xdr:row>
      <xdr:rowOff>76199</xdr:rowOff>
    </xdr:from>
    <xdr:to>
      <xdr:col>11</xdr:col>
      <xdr:colOff>465373</xdr:colOff>
      <xdr:row>8</xdr:row>
      <xdr:rowOff>65699</xdr:rowOff>
    </xdr:to>
    <xdr:sp macro="" textlink="'A-koi'!K4">
      <xdr:nvSpPr>
        <xdr:cNvPr id="25" name="TextBox 24">
          <a:extLst>
            <a:ext uri="{FF2B5EF4-FFF2-40B4-BE49-F238E27FC236}">
              <a16:creationId xmlns:a16="http://schemas.microsoft.com/office/drawing/2014/main" id="{D05DF481-14A9-ED43-E55F-097151B2F084}"/>
            </a:ext>
          </a:extLst>
        </xdr:cNvPr>
        <xdr:cNvSpPr txBox="1"/>
      </xdr:nvSpPr>
      <xdr:spPr>
        <a:xfrm rot="10800000" flipV="1">
          <a:off x="5514973" y="1409699"/>
          <a:ext cx="1656000" cy="1800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AFD6DA-FD6C-48FC-9F6C-72AED7C5D625}" type="TxLink">
            <a:rPr lang="en-US" sz="1100" b="1" i="0" u="none" strike="noStrike">
              <a:solidFill>
                <a:srgbClr val="4A0404"/>
              </a:solidFill>
              <a:latin typeface="Calibri"/>
              <a:cs typeface="Calibri"/>
            </a:rPr>
            <a:pPr algn="ctr"/>
            <a:t>16.17%</a:t>
          </a:fld>
          <a:endParaRPr lang="en-US" sz="1100" b="1">
            <a:solidFill>
              <a:srgbClr val="4A0404"/>
            </a:solidFill>
          </a:endParaRPr>
        </a:p>
      </xdr:txBody>
    </xdr:sp>
    <xdr:clientData/>
  </xdr:twoCellAnchor>
  <xdr:twoCellAnchor>
    <xdr:from>
      <xdr:col>18</xdr:col>
      <xdr:colOff>266699</xdr:colOff>
      <xdr:row>21</xdr:row>
      <xdr:rowOff>76200</xdr:rowOff>
    </xdr:from>
    <xdr:to>
      <xdr:col>20</xdr:col>
      <xdr:colOff>409574</xdr:colOff>
      <xdr:row>22</xdr:row>
      <xdr:rowOff>152400</xdr:rowOff>
    </xdr:to>
    <xdr:sp macro="" textlink="">
      <xdr:nvSpPr>
        <xdr:cNvPr id="31" name="TextBox 30">
          <a:extLst>
            <a:ext uri="{FF2B5EF4-FFF2-40B4-BE49-F238E27FC236}">
              <a16:creationId xmlns:a16="http://schemas.microsoft.com/office/drawing/2014/main" id="{10A09D20-E891-AB62-2267-AFFFFD08D203}"/>
            </a:ext>
          </a:extLst>
        </xdr:cNvPr>
        <xdr:cNvSpPr txBox="1"/>
      </xdr:nvSpPr>
      <xdr:spPr>
        <a:xfrm>
          <a:off x="11239499" y="4076700"/>
          <a:ext cx="1362075" cy="266700"/>
        </a:xfrm>
        <a:prstGeom prst="rect">
          <a:avLst/>
        </a:prstGeom>
        <a:solidFill>
          <a:srgbClr val="A61C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Result</a:t>
          </a:r>
        </a:p>
      </xdr:txBody>
    </xdr:sp>
    <xdr:clientData/>
  </xdr:twoCellAnchor>
</xdr:wsDr>
</file>

<file path=xl/drawings/drawing9.xml><?xml version="1.0" encoding="utf-8"?>
<c:userShapes xmlns:c="http://schemas.openxmlformats.org/drawingml/2006/chart">
  <cdr:relSizeAnchor xmlns:cdr="http://schemas.openxmlformats.org/drawingml/2006/chartDrawing">
    <cdr:from>
      <cdr:x>0.01506</cdr:x>
      <cdr:y>0.05134</cdr:y>
    </cdr:from>
    <cdr:to>
      <cdr:x>0.72922</cdr:x>
      <cdr:y>0.13822</cdr:y>
    </cdr:to>
    <cdr:sp macro="" textlink="">
      <cdr:nvSpPr>
        <cdr:cNvPr id="2" name="TextBox 1">
          <a:extLst xmlns:a="http://schemas.openxmlformats.org/drawingml/2006/main">
            <a:ext uri="{FF2B5EF4-FFF2-40B4-BE49-F238E27FC236}">
              <a16:creationId xmlns:a16="http://schemas.microsoft.com/office/drawing/2014/main" id="{888A70B9-AE5F-08B0-0E0F-6B653A85E957}"/>
            </a:ext>
          </a:extLst>
        </cdr:cNvPr>
        <cdr:cNvSpPr txBox="1"/>
      </cdr:nvSpPr>
      <cdr:spPr>
        <a:xfrm xmlns:a="http://schemas.openxmlformats.org/drawingml/2006/main">
          <a:off x="66675" y="123825"/>
          <a:ext cx="3162300" cy="2095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0.01721</cdr:x>
      <cdr:y>0.01185</cdr:y>
    </cdr:from>
    <cdr:to>
      <cdr:x>0.96153</cdr:x>
      <cdr:y>0.15796</cdr:y>
    </cdr:to>
    <cdr:sp macro="" textlink="">
      <cdr:nvSpPr>
        <cdr:cNvPr id="3" name="TextBox 2">
          <a:extLst xmlns:a="http://schemas.openxmlformats.org/drawingml/2006/main">
            <a:ext uri="{FF2B5EF4-FFF2-40B4-BE49-F238E27FC236}">
              <a16:creationId xmlns:a16="http://schemas.microsoft.com/office/drawing/2014/main" id="{DD8339C9-825A-E06A-3B61-DA0C45B9EF98}"/>
            </a:ext>
          </a:extLst>
        </cdr:cNvPr>
        <cdr:cNvSpPr txBox="1"/>
      </cdr:nvSpPr>
      <cdr:spPr>
        <a:xfrm xmlns:a="http://schemas.openxmlformats.org/drawingml/2006/main">
          <a:off x="76200" y="28575"/>
          <a:ext cx="418147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0.01506</cdr:x>
      <cdr:y>0.0158</cdr:y>
    </cdr:from>
    <cdr:to>
      <cdr:x>0.97659</cdr:x>
      <cdr:y>0.13427</cdr:y>
    </cdr:to>
    <cdr:sp macro="" textlink="">
      <cdr:nvSpPr>
        <cdr:cNvPr id="5" name="TextBox 4">
          <a:extLst xmlns:a="http://schemas.openxmlformats.org/drawingml/2006/main">
            <a:ext uri="{FF2B5EF4-FFF2-40B4-BE49-F238E27FC236}">
              <a16:creationId xmlns:a16="http://schemas.microsoft.com/office/drawing/2014/main" id="{751BFB27-27C0-9354-C7F0-4CFE54424CFF}"/>
            </a:ext>
          </a:extLst>
        </cdr:cNvPr>
        <cdr:cNvSpPr txBox="1"/>
      </cdr:nvSpPr>
      <cdr:spPr>
        <a:xfrm xmlns:a="http://schemas.openxmlformats.org/drawingml/2006/main">
          <a:off x="66675" y="38100"/>
          <a:ext cx="4257675" cy="2857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IN" sz="1100" kern="1200"/>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588000</xdr:colOff>
      <xdr:row>3</xdr:row>
      <xdr:rowOff>76200</xdr:rowOff>
    </xdr:to>
    <xdr:grpSp>
      <xdr:nvGrpSpPr>
        <xdr:cNvPr id="2" name="Group 1">
          <a:extLst>
            <a:ext uri="{FF2B5EF4-FFF2-40B4-BE49-F238E27FC236}">
              <a16:creationId xmlns:a16="http://schemas.microsoft.com/office/drawing/2014/main" id="{9180BEA6-3A5D-4985-8E65-52D74AE65051}"/>
            </a:ext>
          </a:extLst>
        </xdr:cNvPr>
        <xdr:cNvGrpSpPr/>
      </xdr:nvGrpSpPr>
      <xdr:grpSpPr>
        <a:xfrm>
          <a:off x="0" y="0"/>
          <a:ext cx="12780000" cy="647700"/>
          <a:chOff x="0" y="0"/>
          <a:chExt cx="12780000" cy="647700"/>
        </a:xfrm>
      </xdr:grpSpPr>
      <xdr:sp macro="" textlink="">
        <xdr:nvSpPr>
          <xdr:cNvPr id="3" name="Rectangle: Rounded Corners 2">
            <a:extLst>
              <a:ext uri="{FF2B5EF4-FFF2-40B4-BE49-F238E27FC236}">
                <a16:creationId xmlns:a16="http://schemas.microsoft.com/office/drawing/2014/main" id="{19BFB2B5-4A32-5CF5-28AF-25B7146ED666}"/>
              </a:ext>
            </a:extLst>
          </xdr:cNvPr>
          <xdr:cNvSpPr/>
        </xdr:nvSpPr>
        <xdr:spPr>
          <a:xfrm>
            <a:off x="0" y="0"/>
            <a:ext cx="12780000" cy="647700"/>
          </a:xfrm>
          <a:prstGeom prst="roundRect">
            <a:avLst/>
          </a:prstGeom>
          <a:solidFill>
            <a:srgbClr val="7A0C0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TextBox 3">
            <a:extLst>
              <a:ext uri="{FF2B5EF4-FFF2-40B4-BE49-F238E27FC236}">
                <a16:creationId xmlns:a16="http://schemas.microsoft.com/office/drawing/2014/main" id="{2CB08293-D171-524C-C095-B108DDC32CDF}"/>
              </a:ext>
            </a:extLst>
          </xdr:cNvPr>
          <xdr:cNvSpPr txBox="1"/>
        </xdr:nvSpPr>
        <xdr:spPr>
          <a:xfrm>
            <a:off x="28574" y="57150"/>
            <a:ext cx="3343276" cy="552450"/>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a:solidFill>
                  <a:srgbClr val="4A0404"/>
                </a:solidFill>
              </a:rPr>
              <a:t>HEART DISEASE DASHBOARD</a:t>
            </a:r>
          </a:p>
        </xdr:txBody>
      </xdr:sp>
      <xdr:pic>
        <xdr:nvPicPr>
          <xdr:cNvPr id="5" name="Graphic 4" descr="Heart with pulse with solid fill">
            <a:extLst>
              <a:ext uri="{FF2B5EF4-FFF2-40B4-BE49-F238E27FC236}">
                <a16:creationId xmlns:a16="http://schemas.microsoft.com/office/drawing/2014/main" id="{F1F2C240-ACC3-6B08-C4CE-36BBACE51F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52700" y="152400"/>
            <a:ext cx="360000" cy="360000"/>
          </a:xfrm>
          <a:prstGeom prst="rect">
            <a:avLst/>
          </a:prstGeom>
        </xdr:spPr>
      </xdr:pic>
      <xdr:sp macro="" textlink="">
        <xdr:nvSpPr>
          <xdr:cNvPr id="6" name="TextBox 5">
            <a:extLst>
              <a:ext uri="{FF2B5EF4-FFF2-40B4-BE49-F238E27FC236}">
                <a16:creationId xmlns:a16="http://schemas.microsoft.com/office/drawing/2014/main" id="{CF544186-6A32-901C-3B05-41A72061144F}"/>
              </a:ext>
            </a:extLst>
          </xdr:cNvPr>
          <xdr:cNvSpPr txBox="1"/>
        </xdr:nvSpPr>
        <xdr:spPr>
          <a:xfrm>
            <a:off x="5057775" y="28576"/>
            <a:ext cx="2019300" cy="609600"/>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4A0404"/>
                </a:solidFill>
              </a:rPr>
              <a:t>KEY INSIGHTS</a:t>
            </a:r>
          </a:p>
        </xdr:txBody>
      </xdr:sp>
      <xdr:sp macro="" textlink="">
        <xdr:nvSpPr>
          <xdr:cNvPr id="7" name="TextBox 6">
            <a:hlinkClick xmlns:r="http://schemas.openxmlformats.org/officeDocument/2006/relationships" r:id="rId3"/>
            <a:extLst>
              <a:ext uri="{FF2B5EF4-FFF2-40B4-BE49-F238E27FC236}">
                <a16:creationId xmlns:a16="http://schemas.microsoft.com/office/drawing/2014/main" id="{0A6926D3-7A7B-693C-788A-BFE11C299F88}"/>
              </a:ext>
            </a:extLst>
          </xdr:cNvPr>
          <xdr:cNvSpPr txBox="1"/>
        </xdr:nvSpPr>
        <xdr:spPr>
          <a:xfrm>
            <a:off x="8162925" y="47626"/>
            <a:ext cx="1590675" cy="561974"/>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OVERVIEW</a:t>
            </a:r>
          </a:p>
        </xdr:txBody>
      </xdr:sp>
      <xdr:sp macro="" textlink="">
        <xdr:nvSpPr>
          <xdr:cNvPr id="8" name="TextBox 7">
            <a:hlinkClick xmlns:r="http://schemas.openxmlformats.org/officeDocument/2006/relationships" r:id="rId4"/>
            <a:extLst>
              <a:ext uri="{FF2B5EF4-FFF2-40B4-BE49-F238E27FC236}">
                <a16:creationId xmlns:a16="http://schemas.microsoft.com/office/drawing/2014/main" id="{63A88012-15BD-2A11-CF76-FC31DF5B81F1}"/>
              </a:ext>
            </a:extLst>
          </xdr:cNvPr>
          <xdr:cNvSpPr txBox="1"/>
        </xdr:nvSpPr>
        <xdr:spPr>
          <a:xfrm>
            <a:off x="10544175" y="38100"/>
            <a:ext cx="1419225" cy="581026"/>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4A0404"/>
                </a:solidFill>
              </a:rPr>
              <a:t>ANALYSIS</a:t>
            </a:r>
          </a:p>
        </xdr:txBody>
      </xdr:sp>
    </xdr:grpSp>
    <xdr:clientData/>
  </xdr:twoCellAnchor>
  <xdr:twoCellAnchor>
    <xdr:from>
      <xdr:col>0</xdr:col>
      <xdr:colOff>0</xdr:colOff>
      <xdr:row>6</xdr:row>
      <xdr:rowOff>0</xdr:rowOff>
    </xdr:from>
    <xdr:to>
      <xdr:col>20</xdr:col>
      <xdr:colOff>533400</xdr:colOff>
      <xdr:row>9</xdr:row>
      <xdr:rowOff>9525</xdr:rowOff>
    </xdr:to>
    <xdr:sp macro="" textlink="">
      <xdr:nvSpPr>
        <xdr:cNvPr id="9" name="Rectangle 8">
          <a:extLst>
            <a:ext uri="{FF2B5EF4-FFF2-40B4-BE49-F238E27FC236}">
              <a16:creationId xmlns:a16="http://schemas.microsoft.com/office/drawing/2014/main" id="{7022B704-EC51-40D3-2ADE-0EDEAEB940B0}"/>
            </a:ext>
          </a:extLst>
        </xdr:cNvPr>
        <xdr:cNvSpPr/>
      </xdr:nvSpPr>
      <xdr:spPr>
        <a:xfrm>
          <a:off x="0" y="1143000"/>
          <a:ext cx="12725400" cy="581025"/>
        </a:xfrm>
        <a:prstGeom prst="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10</xdr:row>
      <xdr:rowOff>180975</xdr:rowOff>
    </xdr:from>
    <xdr:to>
      <xdr:col>20</xdr:col>
      <xdr:colOff>533400</xdr:colOff>
      <xdr:row>14</xdr:row>
      <xdr:rowOff>0</xdr:rowOff>
    </xdr:to>
    <xdr:sp macro="" textlink="">
      <xdr:nvSpPr>
        <xdr:cNvPr id="10" name="Rectangle 9">
          <a:extLst>
            <a:ext uri="{FF2B5EF4-FFF2-40B4-BE49-F238E27FC236}">
              <a16:creationId xmlns:a16="http://schemas.microsoft.com/office/drawing/2014/main" id="{8DA09151-D67A-40CF-B6DD-03EC09B9E90A}"/>
            </a:ext>
          </a:extLst>
        </xdr:cNvPr>
        <xdr:cNvSpPr/>
      </xdr:nvSpPr>
      <xdr:spPr>
        <a:xfrm>
          <a:off x="0" y="2085975"/>
          <a:ext cx="12725400" cy="581025"/>
        </a:xfrm>
        <a:prstGeom prst="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16</xdr:row>
      <xdr:rowOff>9525</xdr:rowOff>
    </xdr:from>
    <xdr:to>
      <xdr:col>20</xdr:col>
      <xdr:colOff>533400</xdr:colOff>
      <xdr:row>19</xdr:row>
      <xdr:rowOff>19050</xdr:rowOff>
    </xdr:to>
    <xdr:sp macro="" textlink="">
      <xdr:nvSpPr>
        <xdr:cNvPr id="11" name="Rectangle 10">
          <a:extLst>
            <a:ext uri="{FF2B5EF4-FFF2-40B4-BE49-F238E27FC236}">
              <a16:creationId xmlns:a16="http://schemas.microsoft.com/office/drawing/2014/main" id="{64866C84-9640-443B-B0D8-59C3DFFE971B}"/>
            </a:ext>
          </a:extLst>
        </xdr:cNvPr>
        <xdr:cNvSpPr/>
      </xdr:nvSpPr>
      <xdr:spPr>
        <a:xfrm>
          <a:off x="0" y="3057525"/>
          <a:ext cx="12725400" cy="581025"/>
        </a:xfrm>
        <a:prstGeom prst="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21</xdr:row>
      <xdr:rowOff>19050</xdr:rowOff>
    </xdr:from>
    <xdr:to>
      <xdr:col>20</xdr:col>
      <xdr:colOff>533400</xdr:colOff>
      <xdr:row>24</xdr:row>
      <xdr:rowOff>28575</xdr:rowOff>
    </xdr:to>
    <xdr:sp macro="" textlink="">
      <xdr:nvSpPr>
        <xdr:cNvPr id="12" name="Rectangle 11">
          <a:extLst>
            <a:ext uri="{FF2B5EF4-FFF2-40B4-BE49-F238E27FC236}">
              <a16:creationId xmlns:a16="http://schemas.microsoft.com/office/drawing/2014/main" id="{B3DEE35A-A7E1-4A2F-AE03-00DBA19FD196}"/>
            </a:ext>
          </a:extLst>
        </xdr:cNvPr>
        <xdr:cNvSpPr/>
      </xdr:nvSpPr>
      <xdr:spPr>
        <a:xfrm>
          <a:off x="0" y="4019550"/>
          <a:ext cx="12725400" cy="581025"/>
        </a:xfrm>
        <a:prstGeom prst="rect">
          <a:avLst/>
        </a:prstGeom>
        <a:solidFill>
          <a:srgbClr val="C93A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114300</xdr:colOff>
      <xdr:row>6</xdr:row>
      <xdr:rowOff>85725</xdr:rowOff>
    </xdr:from>
    <xdr:to>
      <xdr:col>0</xdr:col>
      <xdr:colOff>546300</xdr:colOff>
      <xdr:row>8</xdr:row>
      <xdr:rowOff>136725</xdr:rowOff>
    </xdr:to>
    <xdr:pic>
      <xdr:nvPicPr>
        <xdr:cNvPr id="15" name="Picture 14">
          <a:extLst>
            <a:ext uri="{FF2B5EF4-FFF2-40B4-BE49-F238E27FC236}">
              <a16:creationId xmlns:a16="http://schemas.microsoft.com/office/drawing/2014/main" id="{B133F42E-3342-E051-9AF2-C8E3062AC49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4300" y="1228725"/>
          <a:ext cx="432000" cy="432000"/>
        </a:xfrm>
        <a:prstGeom prst="rect">
          <a:avLst/>
        </a:prstGeom>
      </xdr:spPr>
    </xdr:pic>
    <xdr:clientData/>
  </xdr:twoCellAnchor>
  <xdr:twoCellAnchor>
    <xdr:from>
      <xdr:col>1</xdr:col>
      <xdr:colOff>219075</xdr:colOff>
      <xdr:row>6</xdr:row>
      <xdr:rowOff>28575</xdr:rowOff>
    </xdr:from>
    <xdr:to>
      <xdr:col>4</xdr:col>
      <xdr:colOff>142875</xdr:colOff>
      <xdr:row>7</xdr:row>
      <xdr:rowOff>66675</xdr:rowOff>
    </xdr:to>
    <xdr:sp macro="" textlink="">
      <xdr:nvSpPr>
        <xdr:cNvPr id="16" name="TextBox 15">
          <a:extLst>
            <a:ext uri="{FF2B5EF4-FFF2-40B4-BE49-F238E27FC236}">
              <a16:creationId xmlns:a16="http://schemas.microsoft.com/office/drawing/2014/main" id="{B2F91DBD-09E5-358F-3CD8-968652F7F416}"/>
            </a:ext>
          </a:extLst>
        </xdr:cNvPr>
        <xdr:cNvSpPr txBox="1"/>
      </xdr:nvSpPr>
      <xdr:spPr>
        <a:xfrm>
          <a:off x="828675" y="1171575"/>
          <a:ext cx="1752600" cy="2286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1. Gender</a:t>
          </a:r>
          <a:r>
            <a:rPr lang="en-IN" sz="1200" b="1" baseline="0">
              <a:solidFill>
                <a:srgbClr val="4A0404"/>
              </a:solidFill>
            </a:rPr>
            <a:t> Distribution</a:t>
          </a:r>
          <a:endParaRPr lang="en-IN" sz="1200" b="1">
            <a:solidFill>
              <a:srgbClr val="4A0404"/>
            </a:solidFill>
          </a:endParaRPr>
        </a:p>
      </xdr:txBody>
    </xdr:sp>
    <xdr:clientData/>
  </xdr:twoCellAnchor>
  <xdr:twoCellAnchor>
    <xdr:from>
      <xdr:col>1</xdr:col>
      <xdr:colOff>542925</xdr:colOff>
      <xdr:row>7</xdr:row>
      <xdr:rowOff>114299</xdr:rowOff>
    </xdr:from>
    <xdr:to>
      <xdr:col>8</xdr:col>
      <xdr:colOff>415725</xdr:colOff>
      <xdr:row>8</xdr:row>
      <xdr:rowOff>161924</xdr:rowOff>
    </xdr:to>
    <xdr:sp macro="" textlink="">
      <xdr:nvSpPr>
        <xdr:cNvPr id="17" name="TextBox 16">
          <a:extLst>
            <a:ext uri="{FF2B5EF4-FFF2-40B4-BE49-F238E27FC236}">
              <a16:creationId xmlns:a16="http://schemas.microsoft.com/office/drawing/2014/main" id="{B8A77CFC-A400-451B-410D-18192752F522}"/>
            </a:ext>
          </a:extLst>
        </xdr:cNvPr>
        <xdr:cNvSpPr txBox="1"/>
      </xdr:nvSpPr>
      <xdr:spPr>
        <a:xfrm>
          <a:off x="1152525" y="1447799"/>
          <a:ext cx="4140000" cy="23812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4A0404"/>
              </a:solidFill>
            </a:rPr>
            <a:t>93 out of 303</a:t>
          </a:r>
          <a:r>
            <a:rPr lang="en-IN" sz="1100" baseline="0">
              <a:solidFill>
                <a:srgbClr val="4A0404"/>
              </a:solidFill>
            </a:rPr>
            <a:t> are male and 72 out of 303 are female suffered Heart Disease</a:t>
          </a:r>
          <a:endParaRPr lang="en-IN" sz="1100">
            <a:solidFill>
              <a:srgbClr val="4A0404"/>
            </a:solidFill>
          </a:endParaRPr>
        </a:p>
      </xdr:txBody>
    </xdr:sp>
    <xdr:clientData/>
  </xdr:twoCellAnchor>
  <xdr:twoCellAnchor editAs="oneCell">
    <xdr:from>
      <xdr:col>0</xdr:col>
      <xdr:colOff>152400</xdr:colOff>
      <xdr:row>11</xdr:row>
      <xdr:rowOff>66675</xdr:rowOff>
    </xdr:from>
    <xdr:to>
      <xdr:col>0</xdr:col>
      <xdr:colOff>584400</xdr:colOff>
      <xdr:row>13</xdr:row>
      <xdr:rowOff>117675</xdr:rowOff>
    </xdr:to>
    <xdr:pic>
      <xdr:nvPicPr>
        <xdr:cNvPr id="19" name="Picture 18">
          <a:extLst>
            <a:ext uri="{FF2B5EF4-FFF2-40B4-BE49-F238E27FC236}">
              <a16:creationId xmlns:a16="http://schemas.microsoft.com/office/drawing/2014/main" id="{B33522CA-09AC-3458-59AB-8DEE718B5A9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2400" y="2162175"/>
          <a:ext cx="432000" cy="432000"/>
        </a:xfrm>
        <a:prstGeom prst="rect">
          <a:avLst/>
        </a:prstGeom>
      </xdr:spPr>
    </xdr:pic>
    <xdr:clientData/>
  </xdr:twoCellAnchor>
  <xdr:twoCellAnchor>
    <xdr:from>
      <xdr:col>1</xdr:col>
      <xdr:colOff>219074</xdr:colOff>
      <xdr:row>11</xdr:row>
      <xdr:rowOff>19050</xdr:rowOff>
    </xdr:from>
    <xdr:to>
      <xdr:col>4</xdr:col>
      <xdr:colOff>143474</xdr:colOff>
      <xdr:row>12</xdr:row>
      <xdr:rowOff>58950</xdr:rowOff>
    </xdr:to>
    <xdr:sp macro="" textlink="">
      <xdr:nvSpPr>
        <xdr:cNvPr id="20" name="TextBox 19">
          <a:extLst>
            <a:ext uri="{FF2B5EF4-FFF2-40B4-BE49-F238E27FC236}">
              <a16:creationId xmlns:a16="http://schemas.microsoft.com/office/drawing/2014/main" id="{24C8AA53-41DC-C14C-7DE2-E31749039422}"/>
            </a:ext>
          </a:extLst>
        </xdr:cNvPr>
        <xdr:cNvSpPr txBox="1"/>
      </xdr:nvSpPr>
      <xdr:spPr>
        <a:xfrm>
          <a:off x="828674" y="2114550"/>
          <a:ext cx="1753200" cy="230400"/>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2. Age Grouped</a:t>
          </a:r>
        </a:p>
      </xdr:txBody>
    </xdr:sp>
    <xdr:clientData/>
  </xdr:twoCellAnchor>
  <xdr:twoCellAnchor>
    <xdr:from>
      <xdr:col>2</xdr:col>
      <xdr:colOff>95249</xdr:colOff>
      <xdr:row>12</xdr:row>
      <xdr:rowOff>114300</xdr:rowOff>
    </xdr:from>
    <xdr:to>
      <xdr:col>9</xdr:col>
      <xdr:colOff>200024</xdr:colOff>
      <xdr:row>13</xdr:row>
      <xdr:rowOff>142875</xdr:rowOff>
    </xdr:to>
    <xdr:sp macro="" textlink="">
      <xdr:nvSpPr>
        <xdr:cNvPr id="21" name="TextBox 20">
          <a:extLst>
            <a:ext uri="{FF2B5EF4-FFF2-40B4-BE49-F238E27FC236}">
              <a16:creationId xmlns:a16="http://schemas.microsoft.com/office/drawing/2014/main" id="{718E7F19-55AE-8F1D-0E5B-AD38F40C4A59}"/>
            </a:ext>
          </a:extLst>
        </xdr:cNvPr>
        <xdr:cNvSpPr txBox="1"/>
      </xdr:nvSpPr>
      <xdr:spPr>
        <a:xfrm>
          <a:off x="1314449" y="2400300"/>
          <a:ext cx="4371975" cy="21907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4A0404"/>
              </a:solidFill>
            </a:rPr>
            <a:t>49-58 Years Age</a:t>
          </a:r>
          <a:r>
            <a:rPr lang="en-IN" sz="1100" baseline="0">
              <a:solidFill>
                <a:srgbClr val="4A0404"/>
              </a:solidFill>
            </a:rPr>
            <a:t> grouped has higher percentages of Heart Disease (38%)</a:t>
          </a:r>
          <a:endParaRPr lang="en-IN" sz="1100">
            <a:solidFill>
              <a:srgbClr val="4A0404"/>
            </a:solidFill>
          </a:endParaRPr>
        </a:p>
      </xdr:txBody>
    </xdr:sp>
    <xdr:clientData/>
  </xdr:twoCellAnchor>
  <xdr:twoCellAnchor editAs="oneCell">
    <xdr:from>
      <xdr:col>0</xdr:col>
      <xdr:colOff>152400</xdr:colOff>
      <xdr:row>16</xdr:row>
      <xdr:rowOff>85725</xdr:rowOff>
    </xdr:from>
    <xdr:to>
      <xdr:col>0</xdr:col>
      <xdr:colOff>584400</xdr:colOff>
      <xdr:row>18</xdr:row>
      <xdr:rowOff>136725</xdr:rowOff>
    </xdr:to>
    <xdr:pic>
      <xdr:nvPicPr>
        <xdr:cNvPr id="23" name="Picture 22">
          <a:extLst>
            <a:ext uri="{FF2B5EF4-FFF2-40B4-BE49-F238E27FC236}">
              <a16:creationId xmlns:a16="http://schemas.microsoft.com/office/drawing/2014/main" id="{2D109FEE-57C2-D959-FC55-C4EFE89A9E7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2400" y="3133725"/>
          <a:ext cx="432000" cy="432000"/>
        </a:xfrm>
        <a:prstGeom prst="rect">
          <a:avLst/>
        </a:prstGeom>
      </xdr:spPr>
    </xdr:pic>
    <xdr:clientData/>
  </xdr:twoCellAnchor>
  <xdr:twoCellAnchor>
    <xdr:from>
      <xdr:col>1</xdr:col>
      <xdr:colOff>200025</xdr:colOff>
      <xdr:row>16</xdr:row>
      <xdr:rowOff>38101</xdr:rowOff>
    </xdr:from>
    <xdr:to>
      <xdr:col>4</xdr:col>
      <xdr:colOff>9525</xdr:colOff>
      <xdr:row>17</xdr:row>
      <xdr:rowOff>66675</xdr:rowOff>
    </xdr:to>
    <xdr:sp macro="" textlink="">
      <xdr:nvSpPr>
        <xdr:cNvPr id="24" name="TextBox 23">
          <a:extLst>
            <a:ext uri="{FF2B5EF4-FFF2-40B4-BE49-F238E27FC236}">
              <a16:creationId xmlns:a16="http://schemas.microsoft.com/office/drawing/2014/main" id="{85A38C5E-1305-DD02-ECE1-863DBBC69D40}"/>
            </a:ext>
          </a:extLst>
        </xdr:cNvPr>
        <xdr:cNvSpPr txBox="1"/>
      </xdr:nvSpPr>
      <xdr:spPr>
        <a:xfrm>
          <a:off x="809625" y="3086101"/>
          <a:ext cx="1638300" cy="219074"/>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3. Chest Pain Type</a:t>
          </a:r>
        </a:p>
      </xdr:txBody>
    </xdr:sp>
    <xdr:clientData/>
  </xdr:twoCellAnchor>
  <xdr:twoCellAnchor>
    <xdr:from>
      <xdr:col>1</xdr:col>
      <xdr:colOff>581024</xdr:colOff>
      <xdr:row>17</xdr:row>
      <xdr:rowOff>114300</xdr:rowOff>
    </xdr:from>
    <xdr:to>
      <xdr:col>9</xdr:col>
      <xdr:colOff>384224</xdr:colOff>
      <xdr:row>18</xdr:row>
      <xdr:rowOff>180975</xdr:rowOff>
    </xdr:to>
    <xdr:sp macro="" textlink="">
      <xdr:nvSpPr>
        <xdr:cNvPr id="25" name="TextBox 24">
          <a:extLst>
            <a:ext uri="{FF2B5EF4-FFF2-40B4-BE49-F238E27FC236}">
              <a16:creationId xmlns:a16="http://schemas.microsoft.com/office/drawing/2014/main" id="{CC1771FE-BA00-47D1-12F8-790A2411AE54}"/>
            </a:ext>
          </a:extLst>
        </xdr:cNvPr>
        <xdr:cNvSpPr txBox="1"/>
      </xdr:nvSpPr>
      <xdr:spPr>
        <a:xfrm>
          <a:off x="1190624" y="3352800"/>
          <a:ext cx="4680000" cy="25717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4A0404"/>
              </a:solidFill>
            </a:rPr>
            <a:t>Non-Anginal Pain shows higher</a:t>
          </a:r>
          <a:r>
            <a:rPr lang="en-IN" sz="1100" baseline="0">
              <a:solidFill>
                <a:srgbClr val="4A0404"/>
              </a:solidFill>
            </a:rPr>
            <a:t> chance to ends up with Heart Disease</a:t>
          </a:r>
          <a:endParaRPr lang="en-IN" sz="1100">
            <a:solidFill>
              <a:srgbClr val="4A0404"/>
            </a:solidFill>
          </a:endParaRPr>
        </a:p>
      </xdr:txBody>
    </xdr:sp>
    <xdr:clientData/>
  </xdr:twoCellAnchor>
  <xdr:twoCellAnchor editAs="oneCell">
    <xdr:from>
      <xdr:col>0</xdr:col>
      <xdr:colOff>123825</xdr:colOff>
      <xdr:row>21</xdr:row>
      <xdr:rowOff>85725</xdr:rowOff>
    </xdr:from>
    <xdr:to>
      <xdr:col>0</xdr:col>
      <xdr:colOff>555825</xdr:colOff>
      <xdr:row>23</xdr:row>
      <xdr:rowOff>136725</xdr:rowOff>
    </xdr:to>
    <xdr:pic>
      <xdr:nvPicPr>
        <xdr:cNvPr id="27" name="Picture 26">
          <a:extLst>
            <a:ext uri="{FF2B5EF4-FFF2-40B4-BE49-F238E27FC236}">
              <a16:creationId xmlns:a16="http://schemas.microsoft.com/office/drawing/2014/main" id="{51ADDDD7-9E3E-CD81-1291-1DC02A00C58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3825" y="4086225"/>
          <a:ext cx="432000" cy="432000"/>
        </a:xfrm>
        <a:prstGeom prst="rect">
          <a:avLst/>
        </a:prstGeom>
      </xdr:spPr>
    </xdr:pic>
    <xdr:clientData/>
  </xdr:twoCellAnchor>
  <xdr:twoCellAnchor>
    <xdr:from>
      <xdr:col>1</xdr:col>
      <xdr:colOff>228600</xdr:colOff>
      <xdr:row>21</xdr:row>
      <xdr:rowOff>57150</xdr:rowOff>
    </xdr:from>
    <xdr:to>
      <xdr:col>3</xdr:col>
      <xdr:colOff>504825</xdr:colOff>
      <xdr:row>22</xdr:row>
      <xdr:rowOff>104775</xdr:rowOff>
    </xdr:to>
    <xdr:sp macro="" textlink="">
      <xdr:nvSpPr>
        <xdr:cNvPr id="28" name="TextBox 27">
          <a:extLst>
            <a:ext uri="{FF2B5EF4-FFF2-40B4-BE49-F238E27FC236}">
              <a16:creationId xmlns:a16="http://schemas.microsoft.com/office/drawing/2014/main" id="{B31EEA1D-B02C-038D-BD37-0AE193134AC0}"/>
            </a:ext>
          </a:extLst>
        </xdr:cNvPr>
        <xdr:cNvSpPr txBox="1"/>
      </xdr:nvSpPr>
      <xdr:spPr>
        <a:xfrm>
          <a:off x="838200" y="4057650"/>
          <a:ext cx="1495425" cy="23812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rgbClr val="4A0404"/>
              </a:solidFill>
            </a:rPr>
            <a:t>4. Distribution</a:t>
          </a:r>
        </a:p>
      </xdr:txBody>
    </xdr:sp>
    <xdr:clientData/>
  </xdr:twoCellAnchor>
  <xdr:twoCellAnchor>
    <xdr:from>
      <xdr:col>2</xdr:col>
      <xdr:colOff>38099</xdr:colOff>
      <xdr:row>22</xdr:row>
      <xdr:rowOff>142875</xdr:rowOff>
    </xdr:from>
    <xdr:to>
      <xdr:col>13</xdr:col>
      <xdr:colOff>244499</xdr:colOff>
      <xdr:row>24</xdr:row>
      <xdr:rowOff>0</xdr:rowOff>
    </xdr:to>
    <xdr:sp macro="" textlink="">
      <xdr:nvSpPr>
        <xdr:cNvPr id="29" name="TextBox 28">
          <a:extLst>
            <a:ext uri="{FF2B5EF4-FFF2-40B4-BE49-F238E27FC236}">
              <a16:creationId xmlns:a16="http://schemas.microsoft.com/office/drawing/2014/main" id="{A8E305A7-D0BA-5E4F-1063-B1745A429C33}"/>
            </a:ext>
          </a:extLst>
        </xdr:cNvPr>
        <xdr:cNvSpPr txBox="1"/>
      </xdr:nvSpPr>
      <xdr:spPr>
        <a:xfrm>
          <a:off x="1257299" y="4333875"/>
          <a:ext cx="6912000" cy="238125"/>
        </a:xfrm>
        <a:prstGeom prst="rect">
          <a:avLst/>
        </a:prstGeom>
        <a:solidFill>
          <a:srgbClr val="C93A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4A0404"/>
              </a:solidFill>
            </a:rPr>
            <a:t>49 out of</a:t>
          </a:r>
          <a:r>
            <a:rPr lang="en-IN" sz="1100" baseline="0">
              <a:solidFill>
                <a:srgbClr val="4A0404"/>
              </a:solidFill>
            </a:rPr>
            <a:t> 165 Heart Patients suffered from Chest Pain to Blood Pressure and Cholestrol and diagnose by Slope</a:t>
          </a:r>
          <a:endParaRPr lang="en-IN" sz="1100">
            <a:solidFill>
              <a:srgbClr val="4A0404"/>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343131</xdr:colOff>
      <xdr:row>4</xdr:row>
      <xdr:rowOff>190500</xdr:rowOff>
    </xdr:from>
    <xdr:to>
      <xdr:col>13</xdr:col>
      <xdr:colOff>517321</xdr:colOff>
      <xdr:row>5</xdr:row>
      <xdr:rowOff>114300</xdr:rowOff>
    </xdr:to>
    <xdr:sp macro="" textlink="">
      <xdr:nvSpPr>
        <xdr:cNvPr id="6" name="TextBox 5">
          <a:extLst>
            <a:ext uri="{FF2B5EF4-FFF2-40B4-BE49-F238E27FC236}">
              <a16:creationId xmlns:a16="http://schemas.microsoft.com/office/drawing/2014/main" id="{F7B09702-25A7-AE1A-77E6-7CB3B0CC126E}"/>
            </a:ext>
          </a:extLst>
        </xdr:cNvPr>
        <xdr:cNvSpPr txBox="1"/>
      </xdr:nvSpPr>
      <xdr:spPr>
        <a:xfrm>
          <a:off x="30356406" y="952500"/>
          <a:ext cx="2612590" cy="161925"/>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400" b="1">
            <a:solidFill>
              <a:srgbClr val="4A0404"/>
            </a:solidFill>
          </a:endParaRPr>
        </a:p>
      </xdr:txBody>
    </xdr:sp>
    <xdr:clientData/>
  </xdr:twoCellAnchor>
  <xdr:twoCellAnchor>
    <xdr:from>
      <xdr:col>0</xdr:col>
      <xdr:colOff>9525</xdr:colOff>
      <xdr:row>0</xdr:row>
      <xdr:rowOff>0</xdr:rowOff>
    </xdr:from>
    <xdr:to>
      <xdr:col>3</xdr:col>
      <xdr:colOff>999675</xdr:colOff>
      <xdr:row>2</xdr:row>
      <xdr:rowOff>161925</xdr:rowOff>
    </xdr:to>
    <xdr:grpSp>
      <xdr:nvGrpSpPr>
        <xdr:cNvPr id="17" name="Group 16">
          <a:extLst>
            <a:ext uri="{FF2B5EF4-FFF2-40B4-BE49-F238E27FC236}">
              <a16:creationId xmlns:a16="http://schemas.microsoft.com/office/drawing/2014/main" id="{E96A872F-A149-E2CA-16E8-CCFEB86DF479}"/>
            </a:ext>
          </a:extLst>
        </xdr:cNvPr>
        <xdr:cNvGrpSpPr/>
      </xdr:nvGrpSpPr>
      <xdr:grpSpPr>
        <a:xfrm>
          <a:off x="9525" y="0"/>
          <a:ext cx="12744000" cy="542925"/>
          <a:chOff x="9525" y="0"/>
          <a:chExt cx="12744000" cy="542925"/>
        </a:xfrm>
      </xdr:grpSpPr>
      <xdr:sp macro="" textlink="">
        <xdr:nvSpPr>
          <xdr:cNvPr id="9" name="Rectangle: Rounded Corners 8">
            <a:extLst>
              <a:ext uri="{FF2B5EF4-FFF2-40B4-BE49-F238E27FC236}">
                <a16:creationId xmlns:a16="http://schemas.microsoft.com/office/drawing/2014/main" id="{1B2CB88C-4775-EE03-0B92-3E67A40A32EE}"/>
              </a:ext>
            </a:extLst>
          </xdr:cNvPr>
          <xdr:cNvSpPr/>
        </xdr:nvSpPr>
        <xdr:spPr>
          <a:xfrm>
            <a:off x="9525" y="0"/>
            <a:ext cx="12744000" cy="542925"/>
          </a:xfrm>
          <a:prstGeom prst="roundRect">
            <a:avLst/>
          </a:prstGeom>
          <a:solidFill>
            <a:srgbClr val="7A0C0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TextBox 9">
            <a:extLst>
              <a:ext uri="{FF2B5EF4-FFF2-40B4-BE49-F238E27FC236}">
                <a16:creationId xmlns:a16="http://schemas.microsoft.com/office/drawing/2014/main" id="{206A2A67-1A35-F737-9F8D-247607091E74}"/>
              </a:ext>
            </a:extLst>
          </xdr:cNvPr>
          <xdr:cNvSpPr txBox="1"/>
        </xdr:nvSpPr>
        <xdr:spPr>
          <a:xfrm>
            <a:off x="38100" y="28575"/>
            <a:ext cx="2800350" cy="504825"/>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1">
                <a:solidFill>
                  <a:srgbClr val="4A0404"/>
                </a:solidFill>
              </a:rPr>
              <a:t>HEART DISEASE DASHBOARD</a:t>
            </a:r>
          </a:p>
        </xdr:txBody>
      </xdr:sp>
      <xdr:pic>
        <xdr:nvPicPr>
          <xdr:cNvPr id="12" name="Graphic 11" descr="Heart with pulse with solid fill">
            <a:extLst>
              <a:ext uri="{FF2B5EF4-FFF2-40B4-BE49-F238E27FC236}">
                <a16:creationId xmlns:a16="http://schemas.microsoft.com/office/drawing/2014/main" id="{8CD52841-02FE-F742-D3EC-CB11AA3A6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52700" y="104775"/>
            <a:ext cx="360000" cy="360000"/>
          </a:xfrm>
          <a:prstGeom prst="rect">
            <a:avLst/>
          </a:prstGeom>
        </xdr:spPr>
      </xdr:pic>
      <xdr:sp macro="" textlink="">
        <xdr:nvSpPr>
          <xdr:cNvPr id="13" name="TextBox 12">
            <a:extLst>
              <a:ext uri="{FF2B5EF4-FFF2-40B4-BE49-F238E27FC236}">
                <a16:creationId xmlns:a16="http://schemas.microsoft.com/office/drawing/2014/main" id="{802C9A66-9EF1-C908-BEBC-1196140D78A1}"/>
              </a:ext>
            </a:extLst>
          </xdr:cNvPr>
          <xdr:cNvSpPr txBox="1"/>
        </xdr:nvSpPr>
        <xdr:spPr>
          <a:xfrm>
            <a:off x="5505450" y="57150"/>
            <a:ext cx="2000250" cy="447675"/>
          </a:xfrm>
          <a:prstGeom prst="rect">
            <a:avLst/>
          </a:prstGeom>
          <a:solidFill>
            <a:srgbClr val="7A0C0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4A0404"/>
                </a:solidFill>
              </a:rPr>
              <a:t>DATA DICTIONARY</a:t>
            </a:r>
          </a:p>
        </xdr:txBody>
      </xdr:sp>
      <xdr:sp macro="" textlink="">
        <xdr:nvSpPr>
          <xdr:cNvPr id="16" name="TextBox 15">
            <a:hlinkClick xmlns:r="http://schemas.openxmlformats.org/officeDocument/2006/relationships" r:id="rId3"/>
            <a:extLst>
              <a:ext uri="{FF2B5EF4-FFF2-40B4-BE49-F238E27FC236}">
                <a16:creationId xmlns:a16="http://schemas.microsoft.com/office/drawing/2014/main" id="{12437495-1BBD-282E-5725-43019DD64F9F}"/>
              </a:ext>
            </a:extLst>
          </xdr:cNvPr>
          <xdr:cNvSpPr txBox="1"/>
        </xdr:nvSpPr>
        <xdr:spPr>
          <a:xfrm>
            <a:off x="10915649" y="133351"/>
            <a:ext cx="1512000" cy="266700"/>
          </a:xfrm>
          <a:prstGeom prst="rect">
            <a:avLst/>
          </a:prstGeom>
          <a:solidFill>
            <a:srgbClr val="C93A3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rgbClr val="4A0404"/>
                </a:solidFill>
              </a:rPr>
              <a:t>Back To Dashboard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828675</xdr:colOff>
      <xdr:row>17</xdr:row>
      <xdr:rowOff>171450</xdr:rowOff>
    </xdr:from>
    <xdr:to>
      <xdr:col>3</xdr:col>
      <xdr:colOff>190500</xdr:colOff>
      <xdr:row>26</xdr:row>
      <xdr:rowOff>123825</xdr:rowOff>
    </xdr:to>
    <mc:AlternateContent xmlns:mc="http://schemas.openxmlformats.org/markup-compatibility/2006" xmlns:a14="http://schemas.microsoft.com/office/drawing/2010/main">
      <mc:Choice Requires="a14">
        <xdr:graphicFrame macro="">
          <xdr:nvGraphicFramePr>
            <xdr:cNvPr id="3" name="age 2">
              <a:extLst>
                <a:ext uri="{FF2B5EF4-FFF2-40B4-BE49-F238E27FC236}">
                  <a16:creationId xmlns:a16="http://schemas.microsoft.com/office/drawing/2014/main" id="{B2A9E0EF-C585-80D6-B1E5-F8BD5391D2BA}"/>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mlns="">
        <xdr:sp macro="" textlink="">
          <xdr:nvSpPr>
            <xdr:cNvPr id="0" name=""/>
            <xdr:cNvSpPr>
              <a:spLocks noTextEdit="1"/>
            </xdr:cNvSpPr>
          </xdr:nvSpPr>
          <xdr:spPr>
            <a:xfrm>
              <a:off x="2524125" y="3409950"/>
              <a:ext cx="1828800" cy="1666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295275</xdr:colOff>
      <xdr:row>19</xdr:row>
      <xdr:rowOff>142875</xdr:rowOff>
    </xdr:from>
    <xdr:to>
      <xdr:col>10</xdr:col>
      <xdr:colOff>295275</xdr:colOff>
      <xdr:row>24</xdr:row>
      <xdr:rowOff>76200</xdr:rowOff>
    </xdr:to>
    <mc:AlternateContent xmlns:mc="http://schemas.openxmlformats.org/markup-compatibility/2006" xmlns:a14="http://schemas.microsoft.com/office/drawing/2010/main">
      <mc:Choice Requires="a14">
        <xdr:graphicFrame macro="">
          <xdr:nvGraphicFramePr>
            <xdr:cNvPr id="6" name="Gender 2">
              <a:extLst>
                <a:ext uri="{FF2B5EF4-FFF2-40B4-BE49-F238E27FC236}">
                  <a16:creationId xmlns:a16="http://schemas.microsoft.com/office/drawing/2014/main" id="{27CBCF52-420E-748D-8C1E-1BEF956E7A59}"/>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6896100" y="3762375"/>
              <a:ext cx="1828800" cy="885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504825</xdr:colOff>
      <xdr:row>0</xdr:row>
      <xdr:rowOff>0</xdr:rowOff>
    </xdr:from>
    <xdr:to>
      <xdr:col>13</xdr:col>
      <xdr:colOff>200025</xdr:colOff>
      <xdr:row>14</xdr:row>
      <xdr:rowOff>76200</xdr:rowOff>
    </xdr:to>
    <xdr:graphicFrame macro="">
      <xdr:nvGraphicFramePr>
        <xdr:cNvPr id="7" name="Chart 6">
          <a:extLst>
            <a:ext uri="{FF2B5EF4-FFF2-40B4-BE49-F238E27FC236}">
              <a16:creationId xmlns:a16="http://schemas.microsoft.com/office/drawing/2014/main" id="{9674A702-4C1B-181B-25BD-8FA0970E95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9525</xdr:colOff>
      <xdr:row>3</xdr:row>
      <xdr:rowOff>28575</xdr:rowOff>
    </xdr:from>
    <xdr:to>
      <xdr:col>11</xdr:col>
      <xdr:colOff>314325</xdr:colOff>
      <xdr:row>17</xdr:row>
      <xdr:rowOff>104775</xdr:rowOff>
    </xdr:to>
    <xdr:graphicFrame macro="">
      <xdr:nvGraphicFramePr>
        <xdr:cNvPr id="2" name="Chart 1">
          <a:extLst>
            <a:ext uri="{FF2B5EF4-FFF2-40B4-BE49-F238E27FC236}">
              <a16:creationId xmlns:a16="http://schemas.microsoft.com/office/drawing/2014/main" id="{0C03EA68-68A3-8BF0-ED2D-FA6537B195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523875</xdr:colOff>
      <xdr:row>3</xdr:row>
      <xdr:rowOff>104775</xdr:rowOff>
    </xdr:from>
    <xdr:to>
      <xdr:col>11</xdr:col>
      <xdr:colOff>219075</xdr:colOff>
      <xdr:row>17</xdr:row>
      <xdr:rowOff>180975</xdr:rowOff>
    </xdr:to>
    <xdr:graphicFrame macro="">
      <xdr:nvGraphicFramePr>
        <xdr:cNvPr id="2" name="Chart 1">
          <a:extLst>
            <a:ext uri="{FF2B5EF4-FFF2-40B4-BE49-F238E27FC236}">
              <a16:creationId xmlns:a16="http://schemas.microsoft.com/office/drawing/2014/main" id="{10570058-17B5-4569-F56B-97B844DD3F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600075</xdr:colOff>
      <xdr:row>4</xdr:row>
      <xdr:rowOff>133350</xdr:rowOff>
    </xdr:from>
    <xdr:to>
      <xdr:col>11</xdr:col>
      <xdr:colOff>295275</xdr:colOff>
      <xdr:row>19</xdr:row>
      <xdr:rowOff>19050</xdr:rowOff>
    </xdr:to>
    <xdr:graphicFrame macro="">
      <xdr:nvGraphicFramePr>
        <xdr:cNvPr id="2" name="Chart 1">
          <a:extLst>
            <a:ext uri="{FF2B5EF4-FFF2-40B4-BE49-F238E27FC236}">
              <a16:creationId xmlns:a16="http://schemas.microsoft.com/office/drawing/2014/main" id="{2279D3EC-9454-390B-5C0C-38DD242166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9.8852974537" createdVersion="8" refreshedVersion="8" minRefreshableVersion="3" recordCount="303" xr:uid="{0DC1A9BB-5D3B-4408-8F88-F3769090ED1F}">
  <cacheSource type="worksheet">
    <worksheetSource name="Table1"/>
  </cacheSource>
  <cacheFields count="22">
    <cacheField name="age" numFmtId="0">
      <sharedItems containsSemiMixedTypes="0" containsString="0" containsNumber="1" containsInteger="1" minValue="29" maxValue="77" count="41">
        <n v="67"/>
        <n v="57"/>
        <n v="59"/>
        <n v="53"/>
        <n v="60"/>
        <n v="64"/>
        <n v="62"/>
        <n v="56"/>
        <n v="58"/>
        <n v="54"/>
        <n v="70"/>
        <n v="55"/>
        <n v="66"/>
        <n v="40"/>
        <n v="65"/>
        <n v="68"/>
        <n v="76"/>
        <n v="47"/>
        <n v="43"/>
        <n v="46"/>
        <n v="74"/>
        <n v="42"/>
        <n v="51"/>
        <n v="71"/>
        <n v="61"/>
        <n v="50"/>
        <n v="49"/>
        <n v="35"/>
        <n v="69"/>
        <n v="41"/>
        <n v="63"/>
        <n v="45"/>
        <n v="48"/>
        <n v="39"/>
        <n v="44"/>
        <n v="52"/>
        <n v="77"/>
        <n v="37"/>
        <n v="38"/>
        <n v="34"/>
        <n v="29"/>
      </sharedItems>
      <fieldGroup base="0">
        <rangePr startNum="29" endNum="77" groupInterval="10"/>
        <groupItems count="7">
          <s v="&lt;29"/>
          <s v="29-38"/>
          <s v="39-48"/>
          <s v="49-58"/>
          <s v="59-68"/>
          <s v="69-78"/>
          <s v="&gt;79"/>
        </groupItems>
      </fieldGroup>
    </cacheField>
    <cacheField name="sex" numFmtId="0">
      <sharedItems containsSemiMixedTypes="0" containsString="0" containsNumber="1" containsInteger="1" minValue="0" maxValue="1"/>
    </cacheField>
    <cacheField name="cp" numFmtId="0">
      <sharedItems containsSemiMixedTypes="0" containsString="0" containsNumber="1" containsInteger="1" minValue="0" maxValue="3"/>
    </cacheField>
    <cacheField name="trestbps" numFmtId="0">
      <sharedItems containsSemiMixedTypes="0" containsString="0" containsNumber="1" containsInteger="1" minValue="94" maxValue="200" count="49">
        <n v="120"/>
        <n v="152"/>
        <n v="164"/>
        <n v="123"/>
        <n v="130"/>
        <n v="128"/>
        <n v="132"/>
        <n v="146"/>
        <n v="138"/>
        <n v="160"/>
        <n v="110"/>
        <n v="124"/>
        <n v="142"/>
        <n v="150"/>
        <n v="140"/>
        <n v="122"/>
        <n v="180"/>
        <n v="102"/>
        <n v="100"/>
        <n v="165"/>
        <n v="125"/>
        <n v="112"/>
        <n v="145"/>
        <n v="136"/>
        <n v="144"/>
        <n v="118"/>
        <n v="135"/>
        <n v="200"/>
        <n v="126"/>
        <n v="170"/>
        <n v="114"/>
        <n v="106"/>
        <n v="156"/>
        <n v="174"/>
        <n v="178"/>
        <n v="134"/>
        <n v="108"/>
        <n v="155"/>
        <n v="104"/>
        <n v="94"/>
        <n v="105"/>
        <n v="101"/>
        <n v="115"/>
        <n v="117"/>
        <n v="148"/>
        <n v="172"/>
        <n v="129"/>
        <n v="154"/>
        <n v="192"/>
      </sharedItems>
    </cacheField>
    <cacheField name="chol" numFmtId="0">
      <sharedItems containsSemiMixedTypes="0" containsString="0" containsNumber="1" containsInteger="1" minValue="126" maxValue="564" count="152">
        <n v="237"/>
        <n v="274"/>
        <n v="176"/>
        <n v="282"/>
        <n v="178"/>
        <n v="246"/>
        <n v="263"/>
        <n v="267"/>
        <n v="281"/>
        <n v="283"/>
        <n v="184"/>
        <n v="218"/>
        <n v="294"/>
        <n v="286"/>
        <n v="206"/>
        <n v="266"/>
        <n v="322"/>
        <n v="226"/>
        <n v="270"/>
        <n v="217"/>
        <n v="276"/>
        <n v="269"/>
        <n v="188"/>
        <n v="167"/>
        <n v="225"/>
        <n v="216"/>
        <n v="211"/>
        <n v="131"/>
        <n v="197"/>
        <n v="327"/>
        <n v="275"/>
        <n v="177"/>
        <n v="311"/>
        <n v="265"/>
        <n v="248"/>
        <n v="303"/>
        <n v="298"/>
        <n v="175"/>
        <n v="241"/>
        <n v="289"/>
        <n v="213"/>
        <n v="149"/>
        <n v="174"/>
        <n v="299"/>
        <n v="273"/>
        <n v="166"/>
        <n v="315"/>
        <n v="201"/>
        <n v="239"/>
        <n v="200"/>
        <n v="254"/>
        <n v="243"/>
        <n v="229"/>
        <n v="198"/>
        <n v="259"/>
        <n v="205"/>
        <n v="234"/>
        <n v="309"/>
        <n v="203"/>
        <n v="353"/>
        <n v="330"/>
        <n v="212"/>
        <n v="264"/>
        <n v="313"/>
        <n v="288"/>
        <n v="341"/>
        <n v="160"/>
        <n v="228"/>
        <n v="207"/>
        <n v="208"/>
        <n v="326"/>
        <n v="260"/>
        <n v="219"/>
        <n v="318"/>
        <n v="258"/>
        <n v="261"/>
        <n v="193"/>
        <n v="308"/>
        <n v="223"/>
        <n v="256"/>
        <n v="305"/>
        <n v="222"/>
        <n v="204"/>
        <n v="245"/>
        <n v="249"/>
        <n v="247"/>
        <n v="335"/>
        <n v="220"/>
        <n v="253"/>
        <n v="169"/>
        <n v="187"/>
        <n v="164"/>
        <n v="231"/>
        <n v="307"/>
        <n v="233"/>
        <n v="192"/>
        <n v="242"/>
        <n v="180"/>
        <n v="409"/>
        <n v="360"/>
        <n v="302"/>
        <n v="277"/>
        <n v="236"/>
        <n v="278"/>
        <n v="319"/>
        <n v="235"/>
        <n v="290"/>
        <n v="227"/>
        <n v="240"/>
        <n v="325"/>
        <n v="407"/>
        <n v="244"/>
        <n v="262"/>
        <n v="185"/>
        <n v="257"/>
        <n v="417"/>
        <n v="394"/>
        <n v="295"/>
        <n v="214"/>
        <n v="172"/>
        <n v="564"/>
        <n v="268"/>
        <n v="284"/>
        <n v="230"/>
        <n v="250"/>
        <n v="255"/>
        <n v="199"/>
        <n v="271"/>
        <n v="304"/>
        <n v="354"/>
        <n v="209"/>
        <n v="196"/>
        <n v="306"/>
        <n v="221"/>
        <n v="232"/>
        <n v="342"/>
        <n v="215"/>
        <n v="293"/>
        <n v="300"/>
        <n v="340"/>
        <n v="252"/>
        <n v="126"/>
        <n v="224"/>
        <n v="168"/>
        <n v="182"/>
        <n v="141"/>
        <n v="195"/>
        <n v="321"/>
        <n v="183"/>
        <n v="157"/>
        <n v="186"/>
        <n v="210"/>
      </sharedItems>
    </cacheField>
    <cacheField name="fbs" numFmtId="0">
      <sharedItems containsSemiMixedTypes="0" containsString="0" containsNumber="1" containsInteger="1" minValue="0" maxValue="1"/>
    </cacheField>
    <cacheField name="restecg" numFmtId="0">
      <sharedItems containsSemiMixedTypes="0" containsString="0" containsNumber="1" containsInteger="1" minValue="0" maxValue="2"/>
    </cacheField>
    <cacheField name="thalach" numFmtId="0">
      <sharedItems containsSemiMixedTypes="0" containsString="0" containsNumber="1" containsInteger="1" minValue="71" maxValue="202" count="91">
        <n v="71"/>
        <n v="88"/>
        <n v="90"/>
        <n v="95"/>
        <n v="96"/>
        <n v="97"/>
        <n v="99"/>
        <n v="103"/>
        <n v="105"/>
        <n v="106"/>
        <n v="108"/>
        <n v="109"/>
        <n v="111"/>
        <n v="112"/>
        <n v="113"/>
        <n v="114"/>
        <n v="115"/>
        <n v="116"/>
        <n v="117"/>
        <n v="118"/>
        <n v="120"/>
        <n v="121"/>
        <n v="122"/>
        <n v="123"/>
        <n v="124"/>
        <n v="125"/>
        <n v="126"/>
        <n v="127"/>
        <n v="128"/>
        <n v="129"/>
        <n v="130"/>
        <n v="131"/>
        <n v="132"/>
        <n v="133"/>
        <n v="134"/>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7"/>
        <n v="178"/>
        <n v="179"/>
        <n v="180"/>
        <n v="181"/>
        <n v="182"/>
        <n v="184"/>
        <n v="185"/>
        <n v="186"/>
        <n v="187"/>
        <n v="188"/>
        <n v="190"/>
        <n v="192"/>
        <n v="194"/>
        <n v="195"/>
        <n v="202"/>
      </sharedItems>
    </cacheField>
    <cacheField name="exang" numFmtId="0">
      <sharedItems containsSemiMixedTypes="0" containsString="0" containsNumber="1" containsInteger="1" minValue="0" maxValue="1"/>
    </cacheField>
    <cacheField name="oldpeak" numFmtId="0">
      <sharedItems containsSemiMixedTypes="0" containsString="0" containsNumber="1" minValue="0" maxValue="6.2"/>
    </cacheField>
    <cacheField name="slope" numFmtId="0">
      <sharedItems containsSemiMixedTypes="0" containsString="0" containsNumber="1" containsInteger="1" minValue="0" maxValue="2"/>
    </cacheField>
    <cacheField name="ca" numFmtId="0">
      <sharedItems containsSemiMixedTypes="0" containsString="0" containsNumber="1" containsInteger="1" minValue="0" maxValue="4"/>
    </cacheField>
    <cacheField name="thal" numFmtId="0">
      <sharedItems containsSemiMixedTypes="0" containsString="0" containsNumber="1" containsInteger="1" minValue="0" maxValue="3"/>
    </cacheField>
    <cacheField name="target" numFmtId="0">
      <sharedItems containsSemiMixedTypes="0" containsString="0" containsNumber="1" containsInteger="1" minValue="0" maxValue="1"/>
    </cacheField>
    <cacheField name="Gender" numFmtId="0">
      <sharedItems count="2">
        <s v="Male"/>
        <s v="Female"/>
      </sharedItems>
    </cacheField>
    <cacheField name="Chest Pain" numFmtId="0">
      <sharedItems count="4">
        <s v="Typical Angina"/>
        <s v="Non-Anginal Pain"/>
        <s v="Atypical Angina"/>
        <s v="Asymptomatic"/>
      </sharedItems>
    </cacheField>
    <cacheField name="Resting Blood Pressure" numFmtId="0">
      <sharedItems containsSemiMixedTypes="0" containsString="0" containsNumber="1" containsInteger="1" minValue="0" maxValue="1"/>
    </cacheField>
    <cacheField name="Chest Pain + Target" numFmtId="0">
      <sharedItems containsSemiMixedTypes="0" containsString="0" containsNumber="1" containsInteger="1" minValue="0" maxValue="1"/>
    </cacheField>
    <cacheField name="Add BP" numFmtId="0">
      <sharedItems containsSemiMixedTypes="0" containsString="0" containsNumber="1" containsInteger="1" minValue="0" maxValue="1"/>
    </cacheField>
    <cacheField name="Add Cholestrol" numFmtId="0">
      <sharedItems containsSemiMixedTypes="0" containsString="0" containsNumber="1" containsInteger="1" minValue="0" maxValue="1"/>
    </cacheField>
    <cacheField name="Add Slope" numFmtId="0">
      <sharedItems containsSemiMixedTypes="0" containsString="0" containsNumber="1" containsInteger="1" minValue="0" maxValue="1"/>
    </cacheField>
    <cacheField name="Heart Target" numFmtId="0">
      <sharedItems containsSemiMixedTypes="0" containsString="0" containsNumber="1" containsInteger="1" minValue="165" maxValue="165"/>
    </cacheField>
  </cacheFields>
  <extLst>
    <ext xmlns:x14="http://schemas.microsoft.com/office/spreadsheetml/2009/9/main" uri="{725AE2AE-9491-48be-B2B4-4EB974FC3084}">
      <x14:pivotCacheDefinition pivotCacheId="8703181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x v="0"/>
    <n v="1"/>
    <n v="0"/>
    <x v="0"/>
    <x v="0"/>
    <n v="0"/>
    <n v="1"/>
    <x v="0"/>
    <n v="0"/>
    <n v="1"/>
    <n v="1"/>
    <n v="0"/>
    <n v="2"/>
    <n v="0"/>
    <x v="0"/>
    <x v="0"/>
    <n v="0"/>
    <n v="0"/>
    <n v="0"/>
    <n v="0"/>
    <n v="0"/>
    <n v="165"/>
  </r>
  <r>
    <x v="1"/>
    <n v="1"/>
    <n v="0"/>
    <x v="1"/>
    <x v="1"/>
    <n v="0"/>
    <n v="1"/>
    <x v="1"/>
    <n v="1"/>
    <n v="1.2"/>
    <n v="1"/>
    <n v="1"/>
    <n v="3"/>
    <n v="0"/>
    <x v="0"/>
    <x v="0"/>
    <n v="1"/>
    <n v="0"/>
    <n v="0"/>
    <n v="0"/>
    <n v="0"/>
    <n v="165"/>
  </r>
  <r>
    <x v="2"/>
    <n v="1"/>
    <n v="0"/>
    <x v="2"/>
    <x v="2"/>
    <n v="1"/>
    <n v="0"/>
    <x v="2"/>
    <n v="0"/>
    <n v="1"/>
    <n v="1"/>
    <n v="2"/>
    <n v="1"/>
    <n v="0"/>
    <x v="0"/>
    <x v="0"/>
    <n v="1"/>
    <n v="0"/>
    <n v="0"/>
    <n v="0"/>
    <n v="0"/>
    <n v="165"/>
  </r>
  <r>
    <x v="3"/>
    <n v="1"/>
    <n v="0"/>
    <x v="3"/>
    <x v="3"/>
    <n v="0"/>
    <n v="1"/>
    <x v="3"/>
    <n v="1"/>
    <n v="2"/>
    <n v="1"/>
    <n v="2"/>
    <n v="3"/>
    <n v="0"/>
    <x v="0"/>
    <x v="0"/>
    <n v="0"/>
    <n v="0"/>
    <n v="0"/>
    <n v="0"/>
    <n v="0"/>
    <n v="165"/>
  </r>
  <r>
    <x v="4"/>
    <n v="0"/>
    <n v="2"/>
    <x v="0"/>
    <x v="4"/>
    <n v="1"/>
    <n v="1"/>
    <x v="4"/>
    <n v="0"/>
    <n v="0"/>
    <n v="2"/>
    <n v="0"/>
    <n v="2"/>
    <n v="1"/>
    <x v="1"/>
    <x v="1"/>
    <n v="0"/>
    <n v="1"/>
    <n v="0"/>
    <n v="0"/>
    <n v="0"/>
    <n v="165"/>
  </r>
  <r>
    <x v="5"/>
    <n v="1"/>
    <n v="0"/>
    <x v="0"/>
    <x v="5"/>
    <n v="0"/>
    <n v="0"/>
    <x v="4"/>
    <n v="1"/>
    <n v="2.2000000000000002"/>
    <n v="0"/>
    <n v="1"/>
    <n v="2"/>
    <n v="0"/>
    <x v="0"/>
    <x v="0"/>
    <n v="0"/>
    <n v="0"/>
    <n v="0"/>
    <n v="0"/>
    <n v="0"/>
    <n v="165"/>
  </r>
  <r>
    <x v="6"/>
    <n v="0"/>
    <n v="2"/>
    <x v="4"/>
    <x v="6"/>
    <n v="0"/>
    <n v="1"/>
    <x v="5"/>
    <n v="0"/>
    <n v="1.2"/>
    <n v="1"/>
    <n v="1"/>
    <n v="3"/>
    <n v="0"/>
    <x v="1"/>
    <x v="1"/>
    <n v="1"/>
    <n v="0"/>
    <n v="0"/>
    <n v="0"/>
    <n v="0"/>
    <n v="165"/>
  </r>
  <r>
    <x v="6"/>
    <n v="1"/>
    <n v="0"/>
    <x v="0"/>
    <x v="7"/>
    <n v="0"/>
    <n v="1"/>
    <x v="6"/>
    <n v="1"/>
    <n v="1.8"/>
    <n v="1"/>
    <n v="2"/>
    <n v="3"/>
    <n v="0"/>
    <x v="0"/>
    <x v="0"/>
    <n v="0"/>
    <n v="0"/>
    <n v="0"/>
    <n v="0"/>
    <n v="0"/>
    <n v="165"/>
  </r>
  <r>
    <x v="6"/>
    <n v="1"/>
    <n v="1"/>
    <x v="0"/>
    <x v="8"/>
    <n v="0"/>
    <n v="0"/>
    <x v="7"/>
    <n v="0"/>
    <n v="1.4"/>
    <n v="1"/>
    <n v="1"/>
    <n v="3"/>
    <n v="0"/>
    <x v="0"/>
    <x v="2"/>
    <n v="0"/>
    <n v="0"/>
    <n v="0"/>
    <n v="0"/>
    <n v="0"/>
    <n v="165"/>
  </r>
  <r>
    <x v="7"/>
    <n v="1"/>
    <n v="0"/>
    <x v="4"/>
    <x v="9"/>
    <n v="1"/>
    <n v="0"/>
    <x v="7"/>
    <n v="1"/>
    <n v="1.6"/>
    <n v="0"/>
    <n v="0"/>
    <n v="3"/>
    <n v="0"/>
    <x v="0"/>
    <x v="0"/>
    <n v="1"/>
    <n v="0"/>
    <n v="0"/>
    <n v="0"/>
    <n v="0"/>
    <n v="165"/>
  </r>
  <r>
    <x v="5"/>
    <n v="1"/>
    <n v="0"/>
    <x v="5"/>
    <x v="6"/>
    <n v="0"/>
    <n v="1"/>
    <x v="8"/>
    <n v="1"/>
    <n v="0.2"/>
    <n v="1"/>
    <n v="1"/>
    <n v="3"/>
    <n v="1"/>
    <x v="0"/>
    <x v="0"/>
    <n v="0"/>
    <n v="1"/>
    <n v="0"/>
    <n v="0"/>
    <n v="0"/>
    <n v="165"/>
  </r>
  <r>
    <x v="7"/>
    <n v="1"/>
    <n v="0"/>
    <x v="6"/>
    <x v="10"/>
    <n v="0"/>
    <n v="0"/>
    <x v="8"/>
    <n v="1"/>
    <n v="2.1"/>
    <n v="1"/>
    <n v="1"/>
    <n v="1"/>
    <n v="0"/>
    <x v="0"/>
    <x v="0"/>
    <n v="1"/>
    <n v="0"/>
    <n v="0"/>
    <n v="0"/>
    <n v="0"/>
    <n v="165"/>
  </r>
  <r>
    <x v="8"/>
    <n v="1"/>
    <n v="0"/>
    <x v="7"/>
    <x v="11"/>
    <n v="0"/>
    <n v="1"/>
    <x v="8"/>
    <n v="0"/>
    <n v="2"/>
    <n v="1"/>
    <n v="1"/>
    <n v="3"/>
    <n v="0"/>
    <x v="0"/>
    <x v="0"/>
    <n v="1"/>
    <n v="0"/>
    <n v="0"/>
    <n v="0"/>
    <n v="0"/>
    <n v="165"/>
  </r>
  <r>
    <x v="6"/>
    <n v="0"/>
    <n v="0"/>
    <x v="8"/>
    <x v="12"/>
    <n v="1"/>
    <n v="1"/>
    <x v="9"/>
    <n v="0"/>
    <n v="1.9"/>
    <n v="1"/>
    <n v="3"/>
    <n v="2"/>
    <n v="0"/>
    <x v="1"/>
    <x v="0"/>
    <n v="1"/>
    <n v="0"/>
    <n v="0"/>
    <n v="0"/>
    <n v="0"/>
    <n v="165"/>
  </r>
  <r>
    <x v="0"/>
    <n v="1"/>
    <n v="0"/>
    <x v="9"/>
    <x v="13"/>
    <n v="0"/>
    <n v="0"/>
    <x v="10"/>
    <n v="1"/>
    <n v="1.5"/>
    <n v="1"/>
    <n v="3"/>
    <n v="2"/>
    <n v="0"/>
    <x v="0"/>
    <x v="0"/>
    <n v="1"/>
    <n v="0"/>
    <n v="0"/>
    <n v="0"/>
    <n v="0"/>
    <n v="165"/>
  </r>
  <r>
    <x v="9"/>
    <n v="1"/>
    <n v="0"/>
    <x v="10"/>
    <x v="14"/>
    <n v="0"/>
    <n v="0"/>
    <x v="10"/>
    <n v="1"/>
    <n v="0"/>
    <n v="1"/>
    <n v="1"/>
    <n v="2"/>
    <n v="0"/>
    <x v="0"/>
    <x v="0"/>
    <n v="0"/>
    <n v="0"/>
    <n v="0"/>
    <n v="0"/>
    <n v="0"/>
    <n v="165"/>
  </r>
  <r>
    <x v="9"/>
    <n v="1"/>
    <n v="0"/>
    <x v="11"/>
    <x v="15"/>
    <n v="0"/>
    <n v="0"/>
    <x v="11"/>
    <n v="1"/>
    <n v="2.2000000000000002"/>
    <n v="1"/>
    <n v="1"/>
    <n v="3"/>
    <n v="0"/>
    <x v="0"/>
    <x v="0"/>
    <n v="0"/>
    <n v="0"/>
    <n v="0"/>
    <n v="0"/>
    <n v="0"/>
    <n v="165"/>
  </r>
  <r>
    <x v="10"/>
    <n v="1"/>
    <n v="0"/>
    <x v="4"/>
    <x v="16"/>
    <n v="0"/>
    <n v="0"/>
    <x v="11"/>
    <n v="0"/>
    <n v="2.4"/>
    <n v="1"/>
    <n v="3"/>
    <n v="2"/>
    <n v="0"/>
    <x v="0"/>
    <x v="0"/>
    <n v="1"/>
    <n v="0"/>
    <n v="0"/>
    <n v="0"/>
    <n v="0"/>
    <n v="165"/>
  </r>
  <r>
    <x v="3"/>
    <n v="1"/>
    <n v="0"/>
    <x v="12"/>
    <x v="17"/>
    <n v="0"/>
    <n v="0"/>
    <x v="12"/>
    <n v="1"/>
    <n v="0"/>
    <n v="2"/>
    <n v="0"/>
    <n v="3"/>
    <n v="1"/>
    <x v="0"/>
    <x v="0"/>
    <n v="1"/>
    <n v="1"/>
    <n v="1"/>
    <n v="1"/>
    <n v="1"/>
    <n v="165"/>
  </r>
  <r>
    <x v="8"/>
    <n v="1"/>
    <n v="0"/>
    <x v="13"/>
    <x v="18"/>
    <n v="0"/>
    <n v="0"/>
    <x v="12"/>
    <n v="1"/>
    <n v="0.8"/>
    <n v="2"/>
    <n v="0"/>
    <n v="3"/>
    <n v="0"/>
    <x v="0"/>
    <x v="0"/>
    <n v="1"/>
    <n v="0"/>
    <n v="0"/>
    <n v="0"/>
    <n v="0"/>
    <n v="165"/>
  </r>
  <r>
    <x v="11"/>
    <n v="1"/>
    <n v="0"/>
    <x v="14"/>
    <x v="19"/>
    <n v="0"/>
    <n v="1"/>
    <x v="12"/>
    <n v="1"/>
    <n v="5.6"/>
    <n v="0"/>
    <n v="0"/>
    <n v="3"/>
    <n v="0"/>
    <x v="0"/>
    <x v="0"/>
    <n v="1"/>
    <n v="0"/>
    <n v="0"/>
    <n v="0"/>
    <n v="0"/>
    <n v="165"/>
  </r>
  <r>
    <x v="1"/>
    <n v="1"/>
    <n v="0"/>
    <x v="13"/>
    <x v="20"/>
    <n v="0"/>
    <n v="0"/>
    <x v="13"/>
    <n v="1"/>
    <n v="0.6"/>
    <n v="1"/>
    <n v="1"/>
    <n v="1"/>
    <n v="0"/>
    <x v="0"/>
    <x v="0"/>
    <n v="1"/>
    <n v="0"/>
    <n v="0"/>
    <n v="0"/>
    <n v="0"/>
    <n v="165"/>
  </r>
  <r>
    <x v="10"/>
    <n v="1"/>
    <n v="2"/>
    <x v="9"/>
    <x v="21"/>
    <n v="0"/>
    <n v="1"/>
    <x v="13"/>
    <n v="1"/>
    <n v="2.9"/>
    <n v="1"/>
    <n v="1"/>
    <n v="3"/>
    <n v="0"/>
    <x v="0"/>
    <x v="1"/>
    <n v="1"/>
    <n v="0"/>
    <n v="0"/>
    <n v="0"/>
    <n v="0"/>
    <n v="165"/>
  </r>
  <r>
    <x v="9"/>
    <n v="1"/>
    <n v="0"/>
    <x v="0"/>
    <x v="22"/>
    <n v="0"/>
    <n v="1"/>
    <x v="14"/>
    <n v="0"/>
    <n v="1.4"/>
    <n v="1"/>
    <n v="1"/>
    <n v="3"/>
    <n v="0"/>
    <x v="0"/>
    <x v="0"/>
    <n v="0"/>
    <n v="0"/>
    <n v="0"/>
    <n v="0"/>
    <n v="0"/>
    <n v="165"/>
  </r>
  <r>
    <x v="12"/>
    <n v="0"/>
    <n v="3"/>
    <x v="13"/>
    <x v="17"/>
    <n v="0"/>
    <n v="1"/>
    <x v="15"/>
    <n v="0"/>
    <n v="2.6"/>
    <n v="0"/>
    <n v="0"/>
    <n v="2"/>
    <n v="1"/>
    <x v="1"/>
    <x v="3"/>
    <n v="1"/>
    <n v="1"/>
    <n v="1"/>
    <n v="1"/>
    <n v="0"/>
    <n v="165"/>
  </r>
  <r>
    <x v="13"/>
    <n v="1"/>
    <n v="0"/>
    <x v="10"/>
    <x v="23"/>
    <n v="0"/>
    <n v="0"/>
    <x v="15"/>
    <n v="1"/>
    <n v="2"/>
    <n v="1"/>
    <n v="0"/>
    <n v="3"/>
    <n v="0"/>
    <x v="0"/>
    <x v="0"/>
    <n v="0"/>
    <n v="0"/>
    <n v="0"/>
    <n v="0"/>
    <n v="0"/>
    <n v="165"/>
  </r>
  <r>
    <x v="14"/>
    <n v="0"/>
    <n v="0"/>
    <x v="13"/>
    <x v="24"/>
    <n v="0"/>
    <n v="0"/>
    <x v="15"/>
    <n v="0"/>
    <n v="1"/>
    <n v="1"/>
    <n v="3"/>
    <n v="3"/>
    <n v="0"/>
    <x v="1"/>
    <x v="0"/>
    <n v="1"/>
    <n v="0"/>
    <n v="0"/>
    <n v="0"/>
    <n v="0"/>
    <n v="165"/>
  </r>
  <r>
    <x v="3"/>
    <n v="0"/>
    <n v="2"/>
    <x v="5"/>
    <x v="25"/>
    <n v="0"/>
    <n v="0"/>
    <x v="16"/>
    <n v="0"/>
    <n v="0"/>
    <n v="2"/>
    <n v="0"/>
    <n v="0"/>
    <n v="1"/>
    <x v="1"/>
    <x v="1"/>
    <n v="0"/>
    <n v="1"/>
    <n v="0"/>
    <n v="0"/>
    <n v="0"/>
    <n v="165"/>
  </r>
  <r>
    <x v="15"/>
    <n v="0"/>
    <n v="2"/>
    <x v="0"/>
    <x v="26"/>
    <n v="0"/>
    <n v="0"/>
    <x v="16"/>
    <n v="0"/>
    <n v="1.5"/>
    <n v="1"/>
    <n v="0"/>
    <n v="2"/>
    <n v="1"/>
    <x v="1"/>
    <x v="1"/>
    <n v="0"/>
    <n v="1"/>
    <n v="0"/>
    <n v="0"/>
    <n v="0"/>
    <n v="165"/>
  </r>
  <r>
    <x v="1"/>
    <n v="1"/>
    <n v="0"/>
    <x v="4"/>
    <x v="27"/>
    <n v="0"/>
    <n v="1"/>
    <x v="16"/>
    <n v="1"/>
    <n v="1.2"/>
    <n v="1"/>
    <n v="1"/>
    <n v="3"/>
    <n v="0"/>
    <x v="0"/>
    <x v="0"/>
    <n v="1"/>
    <n v="0"/>
    <n v="0"/>
    <n v="0"/>
    <n v="0"/>
    <n v="165"/>
  </r>
  <r>
    <x v="16"/>
    <n v="0"/>
    <n v="2"/>
    <x v="14"/>
    <x v="28"/>
    <n v="0"/>
    <n v="2"/>
    <x v="17"/>
    <n v="0"/>
    <n v="1.1000000000000001"/>
    <n v="1"/>
    <n v="0"/>
    <n v="2"/>
    <n v="1"/>
    <x v="1"/>
    <x v="1"/>
    <n v="1"/>
    <n v="1"/>
    <n v="1"/>
    <n v="0"/>
    <n v="0"/>
    <n v="165"/>
  </r>
  <r>
    <x v="9"/>
    <n v="1"/>
    <n v="0"/>
    <x v="15"/>
    <x v="13"/>
    <n v="0"/>
    <n v="0"/>
    <x v="17"/>
    <n v="1"/>
    <n v="3.2"/>
    <n v="1"/>
    <n v="2"/>
    <n v="2"/>
    <n v="0"/>
    <x v="0"/>
    <x v="0"/>
    <n v="0"/>
    <n v="0"/>
    <n v="0"/>
    <n v="0"/>
    <n v="0"/>
    <n v="165"/>
  </r>
  <r>
    <x v="11"/>
    <n v="0"/>
    <n v="0"/>
    <x v="16"/>
    <x v="29"/>
    <n v="0"/>
    <n v="2"/>
    <x v="18"/>
    <n v="1"/>
    <n v="3.4"/>
    <n v="1"/>
    <n v="0"/>
    <n v="2"/>
    <n v="0"/>
    <x v="1"/>
    <x v="0"/>
    <n v="1"/>
    <n v="0"/>
    <n v="0"/>
    <n v="0"/>
    <n v="0"/>
    <n v="165"/>
  </r>
  <r>
    <x v="17"/>
    <n v="1"/>
    <n v="0"/>
    <x v="10"/>
    <x v="30"/>
    <n v="0"/>
    <n v="0"/>
    <x v="19"/>
    <n v="1"/>
    <n v="1"/>
    <n v="1"/>
    <n v="1"/>
    <n v="2"/>
    <n v="0"/>
    <x v="0"/>
    <x v="0"/>
    <n v="0"/>
    <n v="0"/>
    <n v="0"/>
    <n v="0"/>
    <n v="0"/>
    <n v="165"/>
  </r>
  <r>
    <x v="18"/>
    <n v="1"/>
    <n v="0"/>
    <x v="0"/>
    <x v="31"/>
    <n v="0"/>
    <n v="0"/>
    <x v="20"/>
    <n v="1"/>
    <n v="2.5"/>
    <n v="1"/>
    <n v="0"/>
    <n v="3"/>
    <n v="0"/>
    <x v="0"/>
    <x v="0"/>
    <n v="0"/>
    <n v="0"/>
    <n v="0"/>
    <n v="0"/>
    <n v="0"/>
    <n v="165"/>
  </r>
  <r>
    <x v="12"/>
    <n v="1"/>
    <n v="1"/>
    <x v="9"/>
    <x v="5"/>
    <n v="0"/>
    <n v="1"/>
    <x v="20"/>
    <n v="1"/>
    <n v="0"/>
    <n v="1"/>
    <n v="3"/>
    <n v="1"/>
    <n v="0"/>
    <x v="0"/>
    <x v="2"/>
    <n v="1"/>
    <n v="0"/>
    <n v="0"/>
    <n v="0"/>
    <n v="0"/>
    <n v="165"/>
  </r>
  <r>
    <x v="19"/>
    <n v="1"/>
    <n v="0"/>
    <x v="14"/>
    <x v="32"/>
    <n v="0"/>
    <n v="1"/>
    <x v="20"/>
    <n v="1"/>
    <n v="1.8"/>
    <n v="1"/>
    <n v="2"/>
    <n v="3"/>
    <n v="0"/>
    <x v="0"/>
    <x v="0"/>
    <n v="1"/>
    <n v="0"/>
    <n v="0"/>
    <n v="0"/>
    <n v="0"/>
    <n v="165"/>
  </r>
  <r>
    <x v="20"/>
    <n v="0"/>
    <n v="1"/>
    <x v="0"/>
    <x v="21"/>
    <n v="0"/>
    <n v="0"/>
    <x v="21"/>
    <n v="1"/>
    <n v="0.2"/>
    <n v="2"/>
    <n v="1"/>
    <n v="2"/>
    <n v="1"/>
    <x v="1"/>
    <x v="2"/>
    <n v="0"/>
    <n v="1"/>
    <n v="0"/>
    <n v="0"/>
    <n v="0"/>
    <n v="165"/>
  </r>
  <r>
    <x v="21"/>
    <n v="0"/>
    <n v="0"/>
    <x v="17"/>
    <x v="33"/>
    <n v="0"/>
    <n v="0"/>
    <x v="22"/>
    <n v="0"/>
    <n v="0.6"/>
    <n v="1"/>
    <n v="0"/>
    <n v="2"/>
    <n v="1"/>
    <x v="1"/>
    <x v="0"/>
    <n v="0"/>
    <n v="1"/>
    <n v="0"/>
    <n v="0"/>
    <n v="0"/>
    <n v="165"/>
  </r>
  <r>
    <x v="8"/>
    <n v="0"/>
    <n v="0"/>
    <x v="18"/>
    <x v="34"/>
    <n v="0"/>
    <n v="0"/>
    <x v="22"/>
    <n v="0"/>
    <n v="1"/>
    <n v="1"/>
    <n v="0"/>
    <n v="2"/>
    <n v="1"/>
    <x v="1"/>
    <x v="0"/>
    <n v="0"/>
    <n v="1"/>
    <n v="0"/>
    <n v="0"/>
    <n v="0"/>
    <n v="165"/>
  </r>
  <r>
    <x v="5"/>
    <n v="0"/>
    <n v="0"/>
    <x v="4"/>
    <x v="35"/>
    <n v="0"/>
    <n v="1"/>
    <x v="22"/>
    <n v="0"/>
    <n v="2"/>
    <n v="1"/>
    <n v="2"/>
    <n v="2"/>
    <n v="1"/>
    <x v="1"/>
    <x v="0"/>
    <n v="1"/>
    <n v="1"/>
    <n v="1"/>
    <n v="1"/>
    <n v="0"/>
    <n v="165"/>
  </r>
  <r>
    <x v="22"/>
    <n v="1"/>
    <n v="0"/>
    <x v="14"/>
    <x v="36"/>
    <n v="0"/>
    <n v="1"/>
    <x v="22"/>
    <n v="1"/>
    <n v="4.2"/>
    <n v="1"/>
    <n v="3"/>
    <n v="3"/>
    <n v="0"/>
    <x v="0"/>
    <x v="0"/>
    <n v="1"/>
    <n v="0"/>
    <n v="0"/>
    <n v="0"/>
    <n v="0"/>
    <n v="165"/>
  </r>
  <r>
    <x v="22"/>
    <n v="1"/>
    <n v="2"/>
    <x v="10"/>
    <x v="37"/>
    <n v="0"/>
    <n v="1"/>
    <x v="23"/>
    <n v="0"/>
    <n v="0.6"/>
    <n v="2"/>
    <n v="0"/>
    <n v="2"/>
    <n v="1"/>
    <x v="0"/>
    <x v="1"/>
    <n v="0"/>
    <n v="1"/>
    <n v="0"/>
    <n v="0"/>
    <n v="0"/>
    <n v="165"/>
  </r>
  <r>
    <x v="1"/>
    <n v="0"/>
    <n v="0"/>
    <x v="14"/>
    <x v="38"/>
    <n v="0"/>
    <n v="1"/>
    <x v="23"/>
    <n v="1"/>
    <n v="0.2"/>
    <n v="1"/>
    <n v="0"/>
    <n v="3"/>
    <n v="0"/>
    <x v="1"/>
    <x v="0"/>
    <n v="1"/>
    <n v="0"/>
    <n v="0"/>
    <n v="0"/>
    <n v="0"/>
    <n v="165"/>
  </r>
  <r>
    <x v="1"/>
    <n v="1"/>
    <n v="0"/>
    <x v="19"/>
    <x v="39"/>
    <n v="1"/>
    <n v="0"/>
    <x v="24"/>
    <n v="0"/>
    <n v="1"/>
    <n v="1"/>
    <n v="3"/>
    <n v="3"/>
    <n v="0"/>
    <x v="0"/>
    <x v="0"/>
    <n v="1"/>
    <n v="0"/>
    <n v="0"/>
    <n v="0"/>
    <n v="0"/>
    <n v="165"/>
  </r>
  <r>
    <x v="22"/>
    <n v="1"/>
    <n v="3"/>
    <x v="20"/>
    <x v="40"/>
    <n v="0"/>
    <n v="0"/>
    <x v="25"/>
    <n v="1"/>
    <n v="1.4"/>
    <n v="2"/>
    <n v="1"/>
    <n v="2"/>
    <n v="1"/>
    <x v="0"/>
    <x v="3"/>
    <n v="0"/>
    <n v="1"/>
    <n v="0"/>
    <n v="0"/>
    <n v="0"/>
    <n v="165"/>
  </r>
  <r>
    <x v="23"/>
    <n v="0"/>
    <n v="0"/>
    <x v="21"/>
    <x v="41"/>
    <n v="0"/>
    <n v="1"/>
    <x v="25"/>
    <n v="0"/>
    <n v="1.6"/>
    <n v="1"/>
    <n v="0"/>
    <n v="2"/>
    <n v="1"/>
    <x v="1"/>
    <x v="0"/>
    <n v="0"/>
    <n v="1"/>
    <n v="0"/>
    <n v="0"/>
    <n v="0"/>
    <n v="165"/>
  </r>
  <r>
    <x v="10"/>
    <n v="1"/>
    <n v="0"/>
    <x v="22"/>
    <x v="42"/>
    <n v="0"/>
    <n v="1"/>
    <x v="25"/>
    <n v="1"/>
    <n v="2.6"/>
    <n v="0"/>
    <n v="0"/>
    <n v="3"/>
    <n v="0"/>
    <x v="0"/>
    <x v="0"/>
    <n v="1"/>
    <n v="0"/>
    <n v="0"/>
    <n v="0"/>
    <n v="0"/>
    <n v="165"/>
  </r>
  <r>
    <x v="0"/>
    <n v="1"/>
    <n v="0"/>
    <x v="18"/>
    <x v="43"/>
    <n v="0"/>
    <n v="0"/>
    <x v="25"/>
    <n v="1"/>
    <n v="0.9"/>
    <n v="1"/>
    <n v="2"/>
    <n v="2"/>
    <n v="0"/>
    <x v="0"/>
    <x v="0"/>
    <n v="0"/>
    <n v="0"/>
    <n v="0"/>
    <n v="0"/>
    <n v="0"/>
    <n v="165"/>
  </r>
  <r>
    <x v="2"/>
    <n v="1"/>
    <n v="3"/>
    <x v="9"/>
    <x v="44"/>
    <n v="0"/>
    <n v="0"/>
    <x v="25"/>
    <n v="0"/>
    <n v="0"/>
    <n v="2"/>
    <n v="0"/>
    <n v="2"/>
    <n v="0"/>
    <x v="0"/>
    <x v="3"/>
    <n v="1"/>
    <n v="0"/>
    <n v="0"/>
    <n v="0"/>
    <n v="0"/>
    <n v="165"/>
  </r>
  <r>
    <x v="24"/>
    <n v="1"/>
    <n v="0"/>
    <x v="8"/>
    <x v="45"/>
    <n v="0"/>
    <n v="0"/>
    <x v="25"/>
    <n v="1"/>
    <n v="3.6"/>
    <n v="1"/>
    <n v="1"/>
    <n v="2"/>
    <n v="0"/>
    <x v="0"/>
    <x v="0"/>
    <n v="1"/>
    <n v="0"/>
    <n v="0"/>
    <n v="0"/>
    <n v="0"/>
    <n v="165"/>
  </r>
  <r>
    <x v="21"/>
    <n v="1"/>
    <n v="0"/>
    <x v="23"/>
    <x v="46"/>
    <n v="0"/>
    <n v="1"/>
    <x v="25"/>
    <n v="1"/>
    <n v="1.8"/>
    <n v="1"/>
    <n v="0"/>
    <n v="1"/>
    <n v="0"/>
    <x v="0"/>
    <x v="0"/>
    <n v="1"/>
    <n v="0"/>
    <n v="0"/>
    <n v="0"/>
    <n v="0"/>
    <n v="165"/>
  </r>
  <r>
    <x v="1"/>
    <n v="1"/>
    <n v="0"/>
    <x v="10"/>
    <x v="47"/>
    <n v="0"/>
    <n v="1"/>
    <x v="26"/>
    <n v="1"/>
    <n v="1.5"/>
    <n v="1"/>
    <n v="0"/>
    <n v="1"/>
    <n v="1"/>
    <x v="0"/>
    <x v="0"/>
    <n v="0"/>
    <n v="1"/>
    <n v="0"/>
    <n v="0"/>
    <n v="0"/>
    <n v="165"/>
  </r>
  <r>
    <x v="9"/>
    <n v="1"/>
    <n v="0"/>
    <x v="10"/>
    <x v="48"/>
    <n v="0"/>
    <n v="1"/>
    <x v="26"/>
    <n v="1"/>
    <n v="2.8"/>
    <n v="1"/>
    <n v="1"/>
    <n v="3"/>
    <n v="0"/>
    <x v="0"/>
    <x v="0"/>
    <n v="0"/>
    <n v="0"/>
    <n v="0"/>
    <n v="0"/>
    <n v="0"/>
    <n v="165"/>
  </r>
  <r>
    <x v="25"/>
    <n v="1"/>
    <n v="0"/>
    <x v="24"/>
    <x v="49"/>
    <n v="0"/>
    <n v="0"/>
    <x v="26"/>
    <n v="1"/>
    <n v="0.9"/>
    <n v="1"/>
    <n v="0"/>
    <n v="3"/>
    <n v="0"/>
    <x v="0"/>
    <x v="0"/>
    <n v="1"/>
    <n v="0"/>
    <n v="0"/>
    <n v="0"/>
    <n v="0"/>
    <n v="165"/>
  </r>
  <r>
    <x v="26"/>
    <n v="1"/>
    <n v="2"/>
    <x v="25"/>
    <x v="41"/>
    <n v="0"/>
    <n v="0"/>
    <x v="26"/>
    <n v="0"/>
    <n v="0.8"/>
    <n v="2"/>
    <n v="3"/>
    <n v="2"/>
    <n v="0"/>
    <x v="0"/>
    <x v="1"/>
    <n v="0"/>
    <n v="0"/>
    <n v="0"/>
    <n v="0"/>
    <n v="0"/>
    <n v="165"/>
  </r>
  <r>
    <x v="14"/>
    <n v="1"/>
    <n v="0"/>
    <x v="26"/>
    <x v="50"/>
    <n v="0"/>
    <n v="0"/>
    <x v="27"/>
    <n v="0"/>
    <n v="2.8"/>
    <n v="1"/>
    <n v="1"/>
    <n v="3"/>
    <n v="0"/>
    <x v="0"/>
    <x v="0"/>
    <n v="1"/>
    <n v="0"/>
    <n v="0"/>
    <n v="0"/>
    <n v="0"/>
    <n v="165"/>
  </r>
  <r>
    <x v="25"/>
    <n v="1"/>
    <n v="0"/>
    <x v="13"/>
    <x v="51"/>
    <n v="0"/>
    <n v="0"/>
    <x v="28"/>
    <n v="0"/>
    <n v="2.6"/>
    <n v="1"/>
    <n v="0"/>
    <n v="3"/>
    <n v="0"/>
    <x v="0"/>
    <x v="0"/>
    <n v="1"/>
    <n v="0"/>
    <n v="0"/>
    <n v="0"/>
    <n v="0"/>
    <n v="165"/>
  </r>
  <r>
    <x v="0"/>
    <n v="1"/>
    <n v="0"/>
    <x v="0"/>
    <x v="52"/>
    <n v="0"/>
    <n v="0"/>
    <x v="29"/>
    <n v="1"/>
    <n v="2.6"/>
    <n v="1"/>
    <n v="2"/>
    <n v="3"/>
    <n v="0"/>
    <x v="0"/>
    <x v="0"/>
    <n v="0"/>
    <n v="0"/>
    <n v="0"/>
    <n v="0"/>
    <n v="0"/>
    <n v="165"/>
  </r>
  <r>
    <x v="23"/>
    <n v="0"/>
    <n v="2"/>
    <x v="10"/>
    <x v="33"/>
    <n v="1"/>
    <n v="0"/>
    <x v="30"/>
    <n v="0"/>
    <n v="0"/>
    <n v="2"/>
    <n v="1"/>
    <n v="2"/>
    <n v="1"/>
    <x v="1"/>
    <x v="1"/>
    <n v="0"/>
    <n v="1"/>
    <n v="0"/>
    <n v="0"/>
    <n v="0"/>
    <n v="165"/>
  </r>
  <r>
    <x v="27"/>
    <n v="1"/>
    <n v="0"/>
    <x v="0"/>
    <x v="53"/>
    <n v="0"/>
    <n v="1"/>
    <x v="30"/>
    <n v="1"/>
    <n v="1.6"/>
    <n v="1"/>
    <n v="0"/>
    <n v="3"/>
    <n v="0"/>
    <x v="0"/>
    <x v="0"/>
    <n v="0"/>
    <n v="0"/>
    <n v="0"/>
    <n v="0"/>
    <n v="0"/>
    <n v="165"/>
  </r>
  <r>
    <x v="8"/>
    <n v="1"/>
    <n v="0"/>
    <x v="5"/>
    <x v="54"/>
    <n v="0"/>
    <n v="0"/>
    <x v="30"/>
    <n v="1"/>
    <n v="3"/>
    <n v="1"/>
    <n v="2"/>
    <n v="3"/>
    <n v="0"/>
    <x v="0"/>
    <x v="0"/>
    <n v="0"/>
    <n v="0"/>
    <n v="0"/>
    <n v="0"/>
    <n v="0"/>
    <n v="165"/>
  </r>
  <r>
    <x v="11"/>
    <n v="0"/>
    <n v="0"/>
    <x v="5"/>
    <x v="55"/>
    <n v="0"/>
    <n v="2"/>
    <x v="30"/>
    <n v="1"/>
    <n v="2"/>
    <n v="1"/>
    <n v="1"/>
    <n v="3"/>
    <n v="0"/>
    <x v="1"/>
    <x v="0"/>
    <n v="0"/>
    <n v="0"/>
    <n v="0"/>
    <n v="0"/>
    <n v="0"/>
    <n v="165"/>
  </r>
  <r>
    <x v="28"/>
    <n v="1"/>
    <n v="3"/>
    <x v="9"/>
    <x v="56"/>
    <n v="1"/>
    <n v="0"/>
    <x v="31"/>
    <n v="0"/>
    <n v="0.1"/>
    <n v="1"/>
    <n v="1"/>
    <n v="2"/>
    <n v="1"/>
    <x v="0"/>
    <x v="3"/>
    <n v="1"/>
    <n v="1"/>
    <n v="1"/>
    <n v="1"/>
    <n v="0"/>
    <n v="165"/>
  </r>
  <r>
    <x v="8"/>
    <n v="0"/>
    <n v="0"/>
    <x v="4"/>
    <x v="28"/>
    <n v="0"/>
    <n v="1"/>
    <x v="31"/>
    <n v="0"/>
    <n v="0.6"/>
    <n v="1"/>
    <n v="0"/>
    <n v="2"/>
    <n v="1"/>
    <x v="1"/>
    <x v="0"/>
    <n v="1"/>
    <n v="1"/>
    <n v="1"/>
    <n v="0"/>
    <n v="0"/>
    <n v="165"/>
  </r>
  <r>
    <x v="8"/>
    <n v="1"/>
    <n v="0"/>
    <x v="5"/>
    <x v="25"/>
    <n v="0"/>
    <n v="0"/>
    <x v="31"/>
    <n v="1"/>
    <n v="2.2000000000000002"/>
    <n v="1"/>
    <n v="3"/>
    <n v="3"/>
    <n v="0"/>
    <x v="0"/>
    <x v="0"/>
    <n v="0"/>
    <n v="0"/>
    <n v="0"/>
    <n v="0"/>
    <n v="0"/>
    <n v="165"/>
  </r>
  <r>
    <x v="5"/>
    <n v="1"/>
    <n v="2"/>
    <x v="20"/>
    <x v="57"/>
    <n v="0"/>
    <n v="1"/>
    <x v="31"/>
    <n v="1"/>
    <n v="1.8"/>
    <n v="1"/>
    <n v="0"/>
    <n v="3"/>
    <n v="0"/>
    <x v="0"/>
    <x v="1"/>
    <n v="0"/>
    <n v="0"/>
    <n v="0"/>
    <n v="0"/>
    <n v="0"/>
    <n v="165"/>
  </r>
  <r>
    <x v="29"/>
    <n v="1"/>
    <n v="1"/>
    <x v="26"/>
    <x v="58"/>
    <n v="0"/>
    <n v="1"/>
    <x v="32"/>
    <n v="0"/>
    <n v="0"/>
    <n v="1"/>
    <n v="0"/>
    <n v="1"/>
    <n v="1"/>
    <x v="0"/>
    <x v="2"/>
    <n v="1"/>
    <n v="1"/>
    <n v="1"/>
    <n v="1"/>
    <n v="0"/>
    <n v="165"/>
  </r>
  <r>
    <x v="4"/>
    <n v="1"/>
    <n v="0"/>
    <x v="4"/>
    <x v="14"/>
    <n v="0"/>
    <n v="0"/>
    <x v="32"/>
    <n v="1"/>
    <n v="2.4"/>
    <n v="1"/>
    <n v="2"/>
    <n v="3"/>
    <n v="0"/>
    <x v="0"/>
    <x v="0"/>
    <n v="1"/>
    <n v="0"/>
    <n v="0"/>
    <n v="0"/>
    <n v="0"/>
    <n v="165"/>
  </r>
  <r>
    <x v="11"/>
    <n v="1"/>
    <n v="0"/>
    <x v="6"/>
    <x v="59"/>
    <n v="0"/>
    <n v="1"/>
    <x v="32"/>
    <n v="1"/>
    <n v="1.2"/>
    <n v="1"/>
    <n v="1"/>
    <n v="3"/>
    <n v="0"/>
    <x v="0"/>
    <x v="0"/>
    <n v="1"/>
    <n v="0"/>
    <n v="0"/>
    <n v="0"/>
    <n v="0"/>
    <n v="165"/>
  </r>
  <r>
    <x v="30"/>
    <n v="1"/>
    <n v="0"/>
    <x v="4"/>
    <x v="60"/>
    <n v="1"/>
    <n v="0"/>
    <x v="32"/>
    <n v="1"/>
    <n v="1.8"/>
    <n v="2"/>
    <n v="3"/>
    <n v="3"/>
    <n v="0"/>
    <x v="0"/>
    <x v="0"/>
    <n v="1"/>
    <n v="0"/>
    <n v="0"/>
    <n v="0"/>
    <n v="0"/>
    <n v="165"/>
  </r>
  <r>
    <x v="5"/>
    <n v="1"/>
    <n v="0"/>
    <x v="22"/>
    <x v="61"/>
    <n v="0"/>
    <n v="0"/>
    <x v="32"/>
    <n v="0"/>
    <n v="2"/>
    <n v="1"/>
    <n v="2"/>
    <n v="1"/>
    <n v="0"/>
    <x v="0"/>
    <x v="0"/>
    <n v="1"/>
    <n v="0"/>
    <n v="0"/>
    <n v="0"/>
    <n v="0"/>
    <n v="165"/>
  </r>
  <r>
    <x v="12"/>
    <n v="1"/>
    <n v="0"/>
    <x v="21"/>
    <x v="61"/>
    <n v="0"/>
    <n v="0"/>
    <x v="32"/>
    <n v="1"/>
    <n v="0.1"/>
    <n v="2"/>
    <n v="1"/>
    <n v="2"/>
    <n v="0"/>
    <x v="0"/>
    <x v="0"/>
    <n v="0"/>
    <n v="0"/>
    <n v="0"/>
    <n v="0"/>
    <n v="0"/>
    <n v="165"/>
  </r>
  <r>
    <x v="31"/>
    <n v="1"/>
    <n v="3"/>
    <x v="10"/>
    <x v="62"/>
    <n v="0"/>
    <n v="1"/>
    <x v="32"/>
    <n v="0"/>
    <n v="1.2"/>
    <n v="1"/>
    <n v="0"/>
    <n v="3"/>
    <n v="0"/>
    <x v="0"/>
    <x v="3"/>
    <n v="0"/>
    <n v="0"/>
    <n v="0"/>
    <n v="0"/>
    <n v="0"/>
    <n v="165"/>
  </r>
  <r>
    <x v="5"/>
    <n v="0"/>
    <n v="2"/>
    <x v="14"/>
    <x v="63"/>
    <n v="0"/>
    <n v="1"/>
    <x v="33"/>
    <n v="0"/>
    <n v="0.2"/>
    <n v="2"/>
    <n v="0"/>
    <n v="3"/>
    <n v="1"/>
    <x v="1"/>
    <x v="1"/>
    <n v="1"/>
    <n v="1"/>
    <n v="1"/>
    <n v="1"/>
    <n v="1"/>
    <n v="165"/>
  </r>
  <r>
    <x v="7"/>
    <n v="0"/>
    <n v="0"/>
    <x v="27"/>
    <x v="64"/>
    <n v="1"/>
    <n v="0"/>
    <x v="33"/>
    <n v="1"/>
    <n v="4"/>
    <n v="0"/>
    <n v="2"/>
    <n v="3"/>
    <n v="0"/>
    <x v="1"/>
    <x v="0"/>
    <n v="1"/>
    <n v="0"/>
    <n v="0"/>
    <n v="0"/>
    <n v="0"/>
    <n v="165"/>
  </r>
  <r>
    <x v="2"/>
    <n v="1"/>
    <n v="2"/>
    <x v="28"/>
    <x v="11"/>
    <n v="1"/>
    <n v="1"/>
    <x v="34"/>
    <n v="0"/>
    <n v="2.2000000000000002"/>
    <n v="1"/>
    <n v="1"/>
    <n v="1"/>
    <n v="0"/>
    <x v="0"/>
    <x v="1"/>
    <n v="0"/>
    <n v="0"/>
    <n v="0"/>
    <n v="0"/>
    <n v="0"/>
    <n v="165"/>
  </r>
  <r>
    <x v="18"/>
    <n v="0"/>
    <n v="0"/>
    <x v="6"/>
    <x v="65"/>
    <n v="1"/>
    <n v="0"/>
    <x v="35"/>
    <n v="1"/>
    <n v="3"/>
    <n v="1"/>
    <n v="0"/>
    <n v="3"/>
    <n v="0"/>
    <x v="1"/>
    <x v="0"/>
    <n v="1"/>
    <n v="0"/>
    <n v="0"/>
    <n v="0"/>
    <n v="0"/>
    <n v="165"/>
  </r>
  <r>
    <x v="30"/>
    <n v="0"/>
    <n v="0"/>
    <x v="11"/>
    <x v="28"/>
    <n v="0"/>
    <n v="1"/>
    <x v="35"/>
    <n v="1"/>
    <n v="0"/>
    <n v="1"/>
    <n v="0"/>
    <n v="2"/>
    <n v="0"/>
    <x v="1"/>
    <x v="0"/>
    <n v="0"/>
    <n v="0"/>
    <n v="0"/>
    <n v="0"/>
    <n v="0"/>
    <n v="165"/>
  </r>
  <r>
    <x v="24"/>
    <n v="1"/>
    <n v="2"/>
    <x v="13"/>
    <x v="51"/>
    <n v="1"/>
    <n v="1"/>
    <x v="36"/>
    <n v="1"/>
    <n v="1"/>
    <n v="1"/>
    <n v="0"/>
    <n v="2"/>
    <n v="1"/>
    <x v="0"/>
    <x v="1"/>
    <n v="1"/>
    <n v="1"/>
    <n v="1"/>
    <n v="1"/>
    <n v="0"/>
    <n v="165"/>
  </r>
  <r>
    <x v="31"/>
    <n v="0"/>
    <n v="1"/>
    <x v="21"/>
    <x v="66"/>
    <n v="0"/>
    <n v="1"/>
    <x v="37"/>
    <n v="0"/>
    <n v="0"/>
    <n v="1"/>
    <n v="0"/>
    <n v="2"/>
    <n v="1"/>
    <x v="1"/>
    <x v="2"/>
    <n v="0"/>
    <n v="1"/>
    <n v="0"/>
    <n v="0"/>
    <n v="0"/>
    <n v="165"/>
  </r>
  <r>
    <x v="12"/>
    <n v="1"/>
    <n v="0"/>
    <x v="9"/>
    <x v="67"/>
    <n v="0"/>
    <n v="0"/>
    <x v="37"/>
    <n v="0"/>
    <n v="2.2999999999999998"/>
    <n v="2"/>
    <n v="0"/>
    <n v="1"/>
    <n v="1"/>
    <x v="0"/>
    <x v="0"/>
    <n v="1"/>
    <n v="1"/>
    <n v="1"/>
    <n v="1"/>
    <n v="1"/>
    <n v="165"/>
  </r>
  <r>
    <x v="24"/>
    <n v="1"/>
    <n v="0"/>
    <x v="14"/>
    <x v="68"/>
    <n v="0"/>
    <n v="0"/>
    <x v="37"/>
    <n v="1"/>
    <n v="1.9"/>
    <n v="2"/>
    <n v="1"/>
    <n v="3"/>
    <n v="0"/>
    <x v="0"/>
    <x v="0"/>
    <n v="1"/>
    <n v="0"/>
    <n v="0"/>
    <n v="0"/>
    <n v="0"/>
    <n v="165"/>
  </r>
  <r>
    <x v="32"/>
    <n v="0"/>
    <n v="2"/>
    <x v="4"/>
    <x v="30"/>
    <n v="0"/>
    <n v="1"/>
    <x v="38"/>
    <n v="0"/>
    <n v="0.2"/>
    <n v="2"/>
    <n v="0"/>
    <n v="2"/>
    <n v="1"/>
    <x v="1"/>
    <x v="1"/>
    <n v="1"/>
    <n v="1"/>
    <n v="1"/>
    <n v="1"/>
    <n v="1"/>
    <n v="165"/>
  </r>
  <r>
    <x v="26"/>
    <n v="1"/>
    <n v="2"/>
    <x v="0"/>
    <x v="22"/>
    <n v="0"/>
    <n v="1"/>
    <x v="38"/>
    <n v="0"/>
    <n v="2"/>
    <n v="1"/>
    <n v="3"/>
    <n v="3"/>
    <n v="0"/>
    <x v="0"/>
    <x v="1"/>
    <n v="0"/>
    <n v="0"/>
    <n v="0"/>
    <n v="0"/>
    <n v="0"/>
    <n v="165"/>
  </r>
  <r>
    <x v="14"/>
    <n v="1"/>
    <n v="0"/>
    <x v="0"/>
    <x v="31"/>
    <n v="0"/>
    <n v="1"/>
    <x v="39"/>
    <n v="0"/>
    <n v="0.4"/>
    <n v="2"/>
    <n v="0"/>
    <n v="3"/>
    <n v="1"/>
    <x v="0"/>
    <x v="0"/>
    <n v="0"/>
    <n v="1"/>
    <n v="0"/>
    <n v="0"/>
    <n v="0"/>
    <n v="165"/>
  </r>
  <r>
    <x v="6"/>
    <n v="1"/>
    <n v="1"/>
    <x v="5"/>
    <x v="69"/>
    <n v="1"/>
    <n v="0"/>
    <x v="39"/>
    <n v="0"/>
    <n v="0"/>
    <n v="2"/>
    <n v="0"/>
    <n v="2"/>
    <n v="1"/>
    <x v="0"/>
    <x v="2"/>
    <n v="0"/>
    <n v="1"/>
    <n v="0"/>
    <n v="0"/>
    <n v="0"/>
    <n v="165"/>
  </r>
  <r>
    <x v="2"/>
    <n v="1"/>
    <n v="0"/>
    <x v="29"/>
    <x v="70"/>
    <n v="0"/>
    <n v="0"/>
    <x v="39"/>
    <n v="1"/>
    <n v="3.4"/>
    <n v="0"/>
    <n v="0"/>
    <n v="3"/>
    <n v="0"/>
    <x v="0"/>
    <x v="0"/>
    <n v="1"/>
    <n v="0"/>
    <n v="0"/>
    <n v="0"/>
    <n v="0"/>
    <n v="165"/>
  </r>
  <r>
    <x v="24"/>
    <n v="1"/>
    <n v="0"/>
    <x v="0"/>
    <x v="71"/>
    <n v="0"/>
    <n v="1"/>
    <x v="39"/>
    <n v="1"/>
    <n v="3.6"/>
    <n v="1"/>
    <n v="1"/>
    <n v="3"/>
    <n v="0"/>
    <x v="0"/>
    <x v="0"/>
    <n v="0"/>
    <n v="0"/>
    <n v="0"/>
    <n v="0"/>
    <n v="0"/>
    <n v="165"/>
  </r>
  <r>
    <x v="33"/>
    <n v="1"/>
    <n v="0"/>
    <x v="25"/>
    <x v="72"/>
    <n v="0"/>
    <n v="1"/>
    <x v="39"/>
    <n v="0"/>
    <n v="1.2"/>
    <n v="1"/>
    <n v="0"/>
    <n v="3"/>
    <n v="0"/>
    <x v="0"/>
    <x v="0"/>
    <n v="0"/>
    <n v="0"/>
    <n v="0"/>
    <n v="0"/>
    <n v="0"/>
    <n v="165"/>
  </r>
  <r>
    <x v="8"/>
    <n v="1"/>
    <n v="0"/>
    <x v="30"/>
    <x v="73"/>
    <n v="0"/>
    <n v="2"/>
    <x v="39"/>
    <n v="0"/>
    <n v="4.4000000000000004"/>
    <n v="0"/>
    <n v="3"/>
    <n v="1"/>
    <n v="0"/>
    <x v="0"/>
    <x v="0"/>
    <n v="0"/>
    <n v="0"/>
    <n v="0"/>
    <n v="0"/>
    <n v="0"/>
    <n v="165"/>
  </r>
  <r>
    <x v="4"/>
    <n v="1"/>
    <n v="0"/>
    <x v="20"/>
    <x v="74"/>
    <n v="0"/>
    <n v="0"/>
    <x v="40"/>
    <n v="1"/>
    <n v="2.8"/>
    <n v="1"/>
    <n v="1"/>
    <n v="3"/>
    <n v="0"/>
    <x v="0"/>
    <x v="0"/>
    <n v="0"/>
    <n v="0"/>
    <n v="0"/>
    <n v="0"/>
    <n v="0"/>
    <n v="165"/>
  </r>
  <r>
    <x v="1"/>
    <n v="1"/>
    <n v="1"/>
    <x v="11"/>
    <x v="75"/>
    <n v="0"/>
    <n v="1"/>
    <x v="40"/>
    <n v="0"/>
    <n v="0.3"/>
    <n v="2"/>
    <n v="0"/>
    <n v="3"/>
    <n v="0"/>
    <x v="0"/>
    <x v="2"/>
    <n v="0"/>
    <n v="0"/>
    <n v="0"/>
    <n v="0"/>
    <n v="0"/>
    <n v="165"/>
  </r>
  <r>
    <x v="15"/>
    <n v="1"/>
    <n v="0"/>
    <x v="24"/>
    <x v="76"/>
    <n v="1"/>
    <n v="1"/>
    <x v="40"/>
    <n v="0"/>
    <n v="3.4"/>
    <n v="1"/>
    <n v="2"/>
    <n v="3"/>
    <n v="0"/>
    <x v="0"/>
    <x v="0"/>
    <n v="1"/>
    <n v="0"/>
    <n v="0"/>
    <n v="0"/>
    <n v="0"/>
    <n v="165"/>
  </r>
  <r>
    <x v="22"/>
    <n v="0"/>
    <n v="2"/>
    <x v="14"/>
    <x v="77"/>
    <n v="0"/>
    <n v="0"/>
    <x v="41"/>
    <n v="0"/>
    <n v="1.5"/>
    <n v="2"/>
    <n v="1"/>
    <n v="2"/>
    <n v="1"/>
    <x v="1"/>
    <x v="1"/>
    <n v="1"/>
    <n v="1"/>
    <n v="1"/>
    <n v="1"/>
    <n v="1"/>
    <n v="165"/>
  </r>
  <r>
    <x v="0"/>
    <n v="0"/>
    <n v="0"/>
    <x v="31"/>
    <x v="78"/>
    <n v="0"/>
    <n v="1"/>
    <x v="41"/>
    <n v="0"/>
    <n v="0.3"/>
    <n v="2"/>
    <n v="2"/>
    <n v="2"/>
    <n v="1"/>
    <x v="1"/>
    <x v="0"/>
    <n v="0"/>
    <n v="1"/>
    <n v="0"/>
    <n v="0"/>
    <n v="0"/>
    <n v="165"/>
  </r>
  <r>
    <x v="7"/>
    <n v="1"/>
    <n v="2"/>
    <x v="4"/>
    <x v="79"/>
    <n v="1"/>
    <n v="0"/>
    <x v="41"/>
    <n v="1"/>
    <n v="0.6"/>
    <n v="1"/>
    <n v="1"/>
    <n v="1"/>
    <n v="0"/>
    <x v="0"/>
    <x v="1"/>
    <n v="1"/>
    <n v="0"/>
    <n v="0"/>
    <n v="0"/>
    <n v="0"/>
    <n v="165"/>
  </r>
  <r>
    <x v="22"/>
    <n v="0"/>
    <n v="0"/>
    <x v="4"/>
    <x v="80"/>
    <n v="0"/>
    <n v="1"/>
    <x v="41"/>
    <n v="1"/>
    <n v="1.2"/>
    <n v="1"/>
    <n v="0"/>
    <n v="3"/>
    <n v="0"/>
    <x v="1"/>
    <x v="0"/>
    <n v="1"/>
    <n v="0"/>
    <n v="0"/>
    <n v="0"/>
    <n v="0"/>
    <n v="165"/>
  </r>
  <r>
    <x v="4"/>
    <n v="1"/>
    <n v="0"/>
    <x v="22"/>
    <x v="3"/>
    <n v="0"/>
    <n v="0"/>
    <x v="41"/>
    <n v="1"/>
    <n v="2.8"/>
    <n v="1"/>
    <n v="2"/>
    <n v="3"/>
    <n v="0"/>
    <x v="0"/>
    <x v="0"/>
    <n v="1"/>
    <n v="0"/>
    <n v="0"/>
    <n v="0"/>
    <n v="0"/>
    <n v="165"/>
  </r>
  <r>
    <x v="2"/>
    <n v="1"/>
    <n v="0"/>
    <x v="10"/>
    <x v="48"/>
    <n v="0"/>
    <n v="0"/>
    <x v="41"/>
    <n v="1"/>
    <n v="1.2"/>
    <n v="1"/>
    <n v="1"/>
    <n v="3"/>
    <n v="0"/>
    <x v="0"/>
    <x v="0"/>
    <n v="0"/>
    <n v="0"/>
    <n v="0"/>
    <n v="0"/>
    <n v="0"/>
    <n v="165"/>
  </r>
  <r>
    <x v="3"/>
    <n v="0"/>
    <n v="0"/>
    <x v="4"/>
    <x v="62"/>
    <n v="0"/>
    <n v="0"/>
    <x v="42"/>
    <n v="0"/>
    <n v="0.4"/>
    <n v="1"/>
    <n v="0"/>
    <n v="2"/>
    <n v="1"/>
    <x v="1"/>
    <x v="0"/>
    <n v="1"/>
    <n v="1"/>
    <n v="1"/>
    <n v="1"/>
    <n v="0"/>
    <n v="165"/>
  </r>
  <r>
    <x v="22"/>
    <n v="1"/>
    <n v="2"/>
    <x v="18"/>
    <x v="81"/>
    <n v="0"/>
    <n v="1"/>
    <x v="42"/>
    <n v="1"/>
    <n v="1.2"/>
    <n v="1"/>
    <n v="0"/>
    <n v="2"/>
    <n v="1"/>
    <x v="0"/>
    <x v="1"/>
    <n v="0"/>
    <n v="1"/>
    <n v="0"/>
    <n v="0"/>
    <n v="0"/>
    <n v="165"/>
  </r>
  <r>
    <x v="17"/>
    <n v="1"/>
    <n v="0"/>
    <x v="21"/>
    <x v="82"/>
    <n v="0"/>
    <n v="1"/>
    <x v="42"/>
    <n v="0"/>
    <n v="0.1"/>
    <n v="2"/>
    <n v="0"/>
    <n v="2"/>
    <n v="1"/>
    <x v="0"/>
    <x v="0"/>
    <n v="0"/>
    <n v="1"/>
    <n v="0"/>
    <n v="0"/>
    <n v="0"/>
    <n v="165"/>
  </r>
  <r>
    <x v="10"/>
    <n v="1"/>
    <n v="1"/>
    <x v="32"/>
    <x v="83"/>
    <n v="0"/>
    <n v="0"/>
    <x v="42"/>
    <n v="0"/>
    <n v="0"/>
    <n v="2"/>
    <n v="0"/>
    <n v="2"/>
    <n v="1"/>
    <x v="0"/>
    <x v="2"/>
    <n v="1"/>
    <n v="1"/>
    <n v="1"/>
    <n v="1"/>
    <n v="1"/>
    <n v="165"/>
  </r>
  <r>
    <x v="2"/>
    <n v="0"/>
    <n v="0"/>
    <x v="33"/>
    <x v="84"/>
    <n v="0"/>
    <n v="1"/>
    <x v="42"/>
    <n v="1"/>
    <n v="0"/>
    <n v="1"/>
    <n v="0"/>
    <n v="2"/>
    <n v="0"/>
    <x v="1"/>
    <x v="0"/>
    <n v="1"/>
    <n v="0"/>
    <n v="0"/>
    <n v="0"/>
    <n v="0"/>
    <n v="165"/>
  </r>
  <r>
    <x v="18"/>
    <n v="1"/>
    <n v="0"/>
    <x v="6"/>
    <x v="85"/>
    <n v="1"/>
    <n v="0"/>
    <x v="42"/>
    <n v="1"/>
    <n v="0.1"/>
    <n v="1"/>
    <n v="4"/>
    <n v="3"/>
    <n v="0"/>
    <x v="0"/>
    <x v="0"/>
    <n v="1"/>
    <n v="0"/>
    <n v="0"/>
    <n v="0"/>
    <n v="0"/>
    <n v="165"/>
  </r>
  <r>
    <x v="1"/>
    <n v="1"/>
    <n v="0"/>
    <x v="10"/>
    <x v="86"/>
    <n v="0"/>
    <n v="1"/>
    <x v="42"/>
    <n v="1"/>
    <n v="3"/>
    <n v="1"/>
    <n v="1"/>
    <n v="3"/>
    <n v="0"/>
    <x v="0"/>
    <x v="0"/>
    <n v="0"/>
    <n v="0"/>
    <n v="0"/>
    <n v="0"/>
    <n v="0"/>
    <n v="165"/>
  </r>
  <r>
    <x v="5"/>
    <n v="1"/>
    <n v="3"/>
    <x v="10"/>
    <x v="26"/>
    <n v="0"/>
    <n v="0"/>
    <x v="43"/>
    <n v="1"/>
    <n v="1.8"/>
    <n v="1"/>
    <n v="0"/>
    <n v="2"/>
    <n v="1"/>
    <x v="0"/>
    <x v="3"/>
    <n v="0"/>
    <n v="1"/>
    <n v="0"/>
    <n v="0"/>
    <n v="0"/>
    <n v="165"/>
  </r>
  <r>
    <x v="8"/>
    <n v="1"/>
    <n v="1"/>
    <x v="20"/>
    <x v="87"/>
    <n v="0"/>
    <n v="1"/>
    <x v="43"/>
    <n v="0"/>
    <n v="0.4"/>
    <n v="1"/>
    <n v="4"/>
    <n v="3"/>
    <n v="1"/>
    <x v="0"/>
    <x v="2"/>
    <n v="0"/>
    <n v="1"/>
    <n v="0"/>
    <n v="0"/>
    <n v="0"/>
    <n v="165"/>
  </r>
  <r>
    <x v="4"/>
    <n v="1"/>
    <n v="0"/>
    <x v="4"/>
    <x v="88"/>
    <n v="0"/>
    <n v="1"/>
    <x v="43"/>
    <n v="1"/>
    <n v="1.4"/>
    <n v="2"/>
    <n v="1"/>
    <n v="3"/>
    <n v="0"/>
    <x v="0"/>
    <x v="0"/>
    <n v="1"/>
    <n v="0"/>
    <n v="0"/>
    <n v="0"/>
    <n v="0"/>
    <n v="165"/>
  </r>
  <r>
    <x v="7"/>
    <n v="1"/>
    <n v="0"/>
    <x v="20"/>
    <x v="84"/>
    <n v="1"/>
    <n v="0"/>
    <x v="43"/>
    <n v="1"/>
    <n v="1.2"/>
    <n v="1"/>
    <n v="1"/>
    <n v="2"/>
    <n v="0"/>
    <x v="0"/>
    <x v="0"/>
    <n v="0"/>
    <n v="0"/>
    <n v="0"/>
    <n v="0"/>
    <n v="0"/>
    <n v="165"/>
  </r>
  <r>
    <x v="19"/>
    <n v="1"/>
    <n v="0"/>
    <x v="0"/>
    <x v="84"/>
    <n v="0"/>
    <n v="0"/>
    <x v="43"/>
    <n v="0"/>
    <n v="0.8"/>
    <n v="2"/>
    <n v="0"/>
    <n v="3"/>
    <n v="0"/>
    <x v="0"/>
    <x v="0"/>
    <n v="0"/>
    <n v="0"/>
    <n v="0"/>
    <n v="0"/>
    <n v="0"/>
    <n v="165"/>
  </r>
  <r>
    <x v="34"/>
    <n v="1"/>
    <n v="0"/>
    <x v="0"/>
    <x v="89"/>
    <n v="0"/>
    <n v="1"/>
    <x v="43"/>
    <n v="1"/>
    <n v="2.8"/>
    <n v="0"/>
    <n v="0"/>
    <n v="1"/>
    <n v="0"/>
    <x v="0"/>
    <x v="0"/>
    <n v="0"/>
    <n v="0"/>
    <n v="0"/>
    <n v="0"/>
    <n v="0"/>
    <n v="165"/>
  </r>
  <r>
    <x v="30"/>
    <n v="1"/>
    <n v="0"/>
    <x v="14"/>
    <x v="90"/>
    <n v="0"/>
    <n v="0"/>
    <x v="43"/>
    <n v="1"/>
    <n v="4"/>
    <n v="2"/>
    <n v="2"/>
    <n v="3"/>
    <n v="0"/>
    <x v="0"/>
    <x v="0"/>
    <n v="1"/>
    <n v="0"/>
    <n v="0"/>
    <n v="0"/>
    <n v="0"/>
    <n v="165"/>
  </r>
  <r>
    <x v="2"/>
    <n v="1"/>
    <n v="3"/>
    <x v="34"/>
    <x v="18"/>
    <n v="0"/>
    <n v="0"/>
    <x v="44"/>
    <n v="0"/>
    <n v="4.2"/>
    <n v="0"/>
    <n v="0"/>
    <n v="3"/>
    <n v="1"/>
    <x v="0"/>
    <x v="3"/>
    <n v="1"/>
    <n v="1"/>
    <n v="1"/>
    <n v="1"/>
    <n v="0"/>
    <n v="165"/>
  </r>
  <r>
    <x v="6"/>
    <n v="0"/>
    <n v="0"/>
    <x v="9"/>
    <x v="91"/>
    <n v="0"/>
    <n v="0"/>
    <x v="44"/>
    <n v="0"/>
    <n v="6.2"/>
    <n v="0"/>
    <n v="3"/>
    <n v="3"/>
    <n v="0"/>
    <x v="1"/>
    <x v="0"/>
    <n v="1"/>
    <n v="0"/>
    <n v="0"/>
    <n v="0"/>
    <n v="0"/>
    <n v="165"/>
  </r>
  <r>
    <x v="11"/>
    <n v="1"/>
    <n v="0"/>
    <x v="9"/>
    <x v="39"/>
    <n v="0"/>
    <n v="0"/>
    <x v="44"/>
    <n v="1"/>
    <n v="0.8"/>
    <n v="1"/>
    <n v="1"/>
    <n v="3"/>
    <n v="0"/>
    <x v="0"/>
    <x v="0"/>
    <n v="1"/>
    <n v="0"/>
    <n v="0"/>
    <n v="0"/>
    <n v="0"/>
    <n v="165"/>
  </r>
  <r>
    <x v="24"/>
    <n v="1"/>
    <n v="3"/>
    <x v="35"/>
    <x v="56"/>
    <n v="0"/>
    <n v="1"/>
    <x v="44"/>
    <n v="0"/>
    <n v="2.6"/>
    <n v="1"/>
    <n v="2"/>
    <n v="2"/>
    <n v="0"/>
    <x v="0"/>
    <x v="3"/>
    <n v="1"/>
    <n v="0"/>
    <n v="0"/>
    <n v="0"/>
    <n v="0"/>
    <n v="165"/>
  </r>
  <r>
    <x v="6"/>
    <n v="1"/>
    <n v="2"/>
    <x v="4"/>
    <x v="92"/>
    <n v="0"/>
    <n v="1"/>
    <x v="45"/>
    <n v="0"/>
    <n v="1.8"/>
    <n v="1"/>
    <n v="3"/>
    <n v="3"/>
    <n v="1"/>
    <x v="0"/>
    <x v="1"/>
    <n v="1"/>
    <n v="1"/>
    <n v="1"/>
    <n v="1"/>
    <n v="0"/>
    <n v="165"/>
  </r>
  <r>
    <x v="24"/>
    <n v="0"/>
    <n v="0"/>
    <x v="22"/>
    <x v="93"/>
    <n v="0"/>
    <n v="0"/>
    <x v="45"/>
    <n v="1"/>
    <n v="1"/>
    <n v="1"/>
    <n v="0"/>
    <n v="3"/>
    <n v="0"/>
    <x v="1"/>
    <x v="0"/>
    <n v="1"/>
    <n v="0"/>
    <n v="0"/>
    <n v="0"/>
    <n v="0"/>
    <n v="165"/>
  </r>
  <r>
    <x v="28"/>
    <n v="1"/>
    <n v="2"/>
    <x v="14"/>
    <x v="50"/>
    <n v="0"/>
    <n v="0"/>
    <x v="45"/>
    <n v="0"/>
    <n v="2"/>
    <n v="1"/>
    <n v="3"/>
    <n v="3"/>
    <n v="0"/>
    <x v="0"/>
    <x v="1"/>
    <n v="1"/>
    <n v="0"/>
    <n v="0"/>
    <n v="0"/>
    <n v="0"/>
    <n v="165"/>
  </r>
  <r>
    <x v="8"/>
    <n v="0"/>
    <n v="0"/>
    <x v="29"/>
    <x v="24"/>
    <n v="1"/>
    <n v="0"/>
    <x v="45"/>
    <n v="1"/>
    <n v="2.8"/>
    <n v="1"/>
    <n v="2"/>
    <n v="1"/>
    <n v="0"/>
    <x v="1"/>
    <x v="0"/>
    <n v="1"/>
    <n v="0"/>
    <n v="0"/>
    <n v="0"/>
    <n v="0"/>
    <n v="165"/>
  </r>
  <r>
    <x v="9"/>
    <n v="1"/>
    <n v="2"/>
    <x v="0"/>
    <x v="74"/>
    <n v="0"/>
    <n v="0"/>
    <x v="46"/>
    <n v="0"/>
    <n v="0.4"/>
    <n v="1"/>
    <n v="0"/>
    <n v="3"/>
    <n v="1"/>
    <x v="0"/>
    <x v="1"/>
    <n v="0"/>
    <n v="1"/>
    <n v="0"/>
    <n v="0"/>
    <n v="0"/>
    <n v="165"/>
  </r>
  <r>
    <x v="35"/>
    <n v="1"/>
    <n v="0"/>
    <x v="36"/>
    <x v="94"/>
    <n v="1"/>
    <n v="1"/>
    <x v="46"/>
    <n v="0"/>
    <n v="0.1"/>
    <n v="2"/>
    <n v="3"/>
    <n v="3"/>
    <n v="1"/>
    <x v="0"/>
    <x v="0"/>
    <n v="0"/>
    <n v="1"/>
    <n v="0"/>
    <n v="0"/>
    <n v="0"/>
    <n v="165"/>
  </r>
  <r>
    <x v="30"/>
    <n v="1"/>
    <n v="0"/>
    <x v="4"/>
    <x v="50"/>
    <n v="0"/>
    <n v="0"/>
    <x v="46"/>
    <n v="0"/>
    <n v="1.4"/>
    <n v="1"/>
    <n v="1"/>
    <n v="3"/>
    <n v="0"/>
    <x v="0"/>
    <x v="0"/>
    <n v="1"/>
    <n v="0"/>
    <n v="0"/>
    <n v="0"/>
    <n v="0"/>
    <n v="165"/>
  </r>
  <r>
    <x v="19"/>
    <n v="1"/>
    <n v="2"/>
    <x v="13"/>
    <x v="92"/>
    <n v="0"/>
    <n v="1"/>
    <x v="46"/>
    <n v="0"/>
    <n v="3.6"/>
    <n v="1"/>
    <n v="0"/>
    <n v="2"/>
    <n v="0"/>
    <x v="0"/>
    <x v="1"/>
    <n v="1"/>
    <n v="0"/>
    <n v="0"/>
    <n v="0"/>
    <n v="0"/>
    <n v="165"/>
  </r>
  <r>
    <x v="31"/>
    <n v="1"/>
    <n v="0"/>
    <x v="12"/>
    <x v="57"/>
    <n v="0"/>
    <n v="0"/>
    <x v="46"/>
    <n v="1"/>
    <n v="0"/>
    <n v="1"/>
    <n v="3"/>
    <n v="3"/>
    <n v="0"/>
    <x v="0"/>
    <x v="0"/>
    <n v="1"/>
    <n v="0"/>
    <n v="0"/>
    <n v="0"/>
    <n v="0"/>
    <n v="165"/>
  </r>
  <r>
    <x v="1"/>
    <n v="1"/>
    <n v="0"/>
    <x v="14"/>
    <x v="95"/>
    <n v="0"/>
    <n v="1"/>
    <x v="47"/>
    <n v="0"/>
    <n v="0.4"/>
    <n v="1"/>
    <n v="0"/>
    <n v="1"/>
    <n v="1"/>
    <x v="0"/>
    <x v="0"/>
    <n v="1"/>
    <n v="1"/>
    <n v="1"/>
    <n v="0"/>
    <n v="0"/>
    <n v="165"/>
  </r>
  <r>
    <x v="14"/>
    <n v="0"/>
    <n v="2"/>
    <x v="37"/>
    <x v="21"/>
    <n v="0"/>
    <n v="1"/>
    <x v="47"/>
    <n v="0"/>
    <n v="0.8"/>
    <n v="2"/>
    <n v="0"/>
    <n v="2"/>
    <n v="1"/>
    <x v="1"/>
    <x v="1"/>
    <n v="1"/>
    <n v="1"/>
    <n v="1"/>
    <n v="1"/>
    <n v="1"/>
    <n v="165"/>
  </r>
  <r>
    <x v="31"/>
    <n v="1"/>
    <n v="0"/>
    <x v="38"/>
    <x v="69"/>
    <n v="0"/>
    <n v="0"/>
    <x v="47"/>
    <n v="1"/>
    <n v="3"/>
    <n v="1"/>
    <n v="0"/>
    <n v="2"/>
    <n v="1"/>
    <x v="0"/>
    <x v="0"/>
    <n v="0"/>
    <n v="1"/>
    <n v="0"/>
    <n v="0"/>
    <n v="0"/>
    <n v="165"/>
  </r>
  <r>
    <x v="22"/>
    <n v="0"/>
    <n v="2"/>
    <x v="4"/>
    <x v="79"/>
    <n v="0"/>
    <n v="0"/>
    <x v="48"/>
    <n v="0"/>
    <n v="0.5"/>
    <n v="2"/>
    <n v="0"/>
    <n v="2"/>
    <n v="1"/>
    <x v="1"/>
    <x v="1"/>
    <n v="1"/>
    <n v="1"/>
    <n v="1"/>
    <n v="1"/>
    <n v="1"/>
    <n v="165"/>
  </r>
  <r>
    <x v="34"/>
    <n v="0"/>
    <n v="2"/>
    <x v="25"/>
    <x v="96"/>
    <n v="0"/>
    <n v="1"/>
    <x v="48"/>
    <n v="0"/>
    <n v="0.3"/>
    <n v="1"/>
    <n v="1"/>
    <n v="2"/>
    <n v="1"/>
    <x v="1"/>
    <x v="1"/>
    <n v="0"/>
    <n v="1"/>
    <n v="0"/>
    <n v="0"/>
    <n v="0"/>
    <n v="165"/>
  </r>
  <r>
    <x v="30"/>
    <n v="1"/>
    <n v="3"/>
    <x v="22"/>
    <x v="94"/>
    <n v="1"/>
    <n v="0"/>
    <x v="49"/>
    <n v="0"/>
    <n v="2.2999999999999998"/>
    <n v="0"/>
    <n v="0"/>
    <n v="1"/>
    <n v="1"/>
    <x v="0"/>
    <x v="3"/>
    <n v="1"/>
    <n v="1"/>
    <n v="1"/>
    <n v="1"/>
    <n v="0"/>
    <n v="165"/>
  </r>
  <r>
    <x v="21"/>
    <n v="1"/>
    <n v="2"/>
    <x v="4"/>
    <x v="97"/>
    <n v="0"/>
    <n v="1"/>
    <x v="49"/>
    <n v="0"/>
    <n v="0"/>
    <n v="2"/>
    <n v="0"/>
    <n v="2"/>
    <n v="1"/>
    <x v="0"/>
    <x v="1"/>
    <n v="1"/>
    <n v="1"/>
    <n v="1"/>
    <n v="0"/>
    <n v="0"/>
    <n v="165"/>
  </r>
  <r>
    <x v="15"/>
    <n v="1"/>
    <n v="2"/>
    <x v="16"/>
    <x v="1"/>
    <n v="1"/>
    <n v="0"/>
    <x v="49"/>
    <n v="1"/>
    <n v="1.6"/>
    <n v="1"/>
    <n v="0"/>
    <n v="3"/>
    <n v="0"/>
    <x v="0"/>
    <x v="1"/>
    <n v="1"/>
    <n v="0"/>
    <n v="0"/>
    <n v="0"/>
    <n v="0"/>
    <n v="165"/>
  </r>
  <r>
    <x v="1"/>
    <n v="1"/>
    <n v="2"/>
    <x v="5"/>
    <x v="52"/>
    <n v="0"/>
    <n v="0"/>
    <x v="49"/>
    <n v="0"/>
    <n v="0.4"/>
    <n v="1"/>
    <n v="1"/>
    <n v="3"/>
    <n v="0"/>
    <x v="0"/>
    <x v="1"/>
    <n v="0"/>
    <n v="0"/>
    <n v="0"/>
    <n v="0"/>
    <n v="0"/>
    <n v="165"/>
  </r>
  <r>
    <x v="32"/>
    <n v="1"/>
    <n v="0"/>
    <x v="4"/>
    <x v="79"/>
    <n v="1"/>
    <n v="0"/>
    <x v="49"/>
    <n v="1"/>
    <n v="0"/>
    <n v="2"/>
    <n v="2"/>
    <n v="3"/>
    <n v="0"/>
    <x v="0"/>
    <x v="0"/>
    <n v="1"/>
    <n v="0"/>
    <n v="0"/>
    <n v="0"/>
    <n v="0"/>
    <n v="165"/>
  </r>
  <r>
    <x v="7"/>
    <n v="0"/>
    <n v="0"/>
    <x v="35"/>
    <x v="98"/>
    <n v="0"/>
    <n v="0"/>
    <x v="49"/>
    <n v="1"/>
    <n v="1.9"/>
    <n v="1"/>
    <n v="2"/>
    <n v="3"/>
    <n v="0"/>
    <x v="1"/>
    <x v="0"/>
    <n v="1"/>
    <n v="0"/>
    <n v="0"/>
    <n v="0"/>
    <n v="0"/>
    <n v="165"/>
  </r>
  <r>
    <x v="0"/>
    <n v="1"/>
    <n v="2"/>
    <x v="1"/>
    <x v="61"/>
    <n v="0"/>
    <n v="0"/>
    <x v="49"/>
    <n v="0"/>
    <n v="0.8"/>
    <n v="1"/>
    <n v="0"/>
    <n v="3"/>
    <n v="0"/>
    <x v="0"/>
    <x v="1"/>
    <n v="1"/>
    <n v="0"/>
    <n v="0"/>
    <n v="0"/>
    <n v="0"/>
    <n v="165"/>
  </r>
  <r>
    <x v="28"/>
    <n v="0"/>
    <n v="3"/>
    <x v="14"/>
    <x v="48"/>
    <n v="0"/>
    <n v="1"/>
    <x v="50"/>
    <n v="0"/>
    <n v="1.8"/>
    <n v="2"/>
    <n v="2"/>
    <n v="2"/>
    <n v="1"/>
    <x v="1"/>
    <x v="3"/>
    <n v="1"/>
    <n v="1"/>
    <n v="1"/>
    <n v="1"/>
    <n v="1"/>
    <n v="165"/>
  </r>
  <r>
    <x v="14"/>
    <n v="0"/>
    <n v="2"/>
    <x v="9"/>
    <x v="99"/>
    <n v="0"/>
    <n v="0"/>
    <x v="50"/>
    <n v="0"/>
    <n v="0.8"/>
    <n v="2"/>
    <n v="0"/>
    <n v="2"/>
    <n v="1"/>
    <x v="1"/>
    <x v="1"/>
    <n v="1"/>
    <n v="1"/>
    <n v="1"/>
    <n v="1"/>
    <n v="1"/>
    <n v="165"/>
  </r>
  <r>
    <x v="12"/>
    <n v="1"/>
    <n v="0"/>
    <x v="0"/>
    <x v="100"/>
    <n v="0"/>
    <n v="0"/>
    <x v="50"/>
    <n v="0"/>
    <n v="0.4"/>
    <n v="1"/>
    <n v="0"/>
    <n v="2"/>
    <n v="1"/>
    <x v="0"/>
    <x v="0"/>
    <n v="0"/>
    <n v="1"/>
    <n v="0"/>
    <n v="0"/>
    <n v="0"/>
    <n v="165"/>
  </r>
  <r>
    <x v="15"/>
    <n v="1"/>
    <n v="2"/>
    <x v="25"/>
    <x v="101"/>
    <n v="0"/>
    <n v="1"/>
    <x v="50"/>
    <n v="0"/>
    <n v="1"/>
    <n v="2"/>
    <n v="1"/>
    <n v="3"/>
    <n v="1"/>
    <x v="0"/>
    <x v="1"/>
    <n v="0"/>
    <n v="1"/>
    <n v="0"/>
    <n v="0"/>
    <n v="0"/>
    <n v="165"/>
  </r>
  <r>
    <x v="3"/>
    <n v="1"/>
    <n v="2"/>
    <x v="4"/>
    <x v="28"/>
    <n v="1"/>
    <n v="0"/>
    <x v="51"/>
    <n v="0"/>
    <n v="1.2"/>
    <n v="0"/>
    <n v="0"/>
    <n v="2"/>
    <n v="1"/>
    <x v="0"/>
    <x v="1"/>
    <n v="1"/>
    <n v="1"/>
    <n v="1"/>
    <n v="0"/>
    <n v="0"/>
    <n v="165"/>
  </r>
  <r>
    <x v="9"/>
    <n v="1"/>
    <n v="2"/>
    <x v="20"/>
    <x v="44"/>
    <n v="0"/>
    <n v="0"/>
    <x v="51"/>
    <n v="0"/>
    <n v="0.5"/>
    <n v="0"/>
    <n v="1"/>
    <n v="2"/>
    <n v="1"/>
    <x v="0"/>
    <x v="1"/>
    <n v="0"/>
    <n v="1"/>
    <n v="0"/>
    <n v="0"/>
    <n v="0"/>
    <n v="165"/>
  </r>
  <r>
    <x v="31"/>
    <n v="0"/>
    <n v="0"/>
    <x v="8"/>
    <x v="102"/>
    <n v="0"/>
    <n v="0"/>
    <x v="51"/>
    <n v="1"/>
    <n v="0.2"/>
    <n v="1"/>
    <n v="0"/>
    <n v="2"/>
    <n v="1"/>
    <x v="1"/>
    <x v="0"/>
    <n v="1"/>
    <n v="1"/>
    <n v="1"/>
    <n v="1"/>
    <n v="0"/>
    <n v="165"/>
  </r>
  <r>
    <x v="19"/>
    <n v="0"/>
    <n v="0"/>
    <x v="8"/>
    <x v="51"/>
    <n v="0"/>
    <n v="0"/>
    <x v="51"/>
    <n v="1"/>
    <n v="0"/>
    <n v="1"/>
    <n v="0"/>
    <n v="2"/>
    <n v="1"/>
    <x v="1"/>
    <x v="0"/>
    <n v="1"/>
    <n v="1"/>
    <n v="1"/>
    <n v="1"/>
    <n v="0"/>
    <n v="165"/>
  </r>
  <r>
    <x v="12"/>
    <n v="0"/>
    <n v="2"/>
    <x v="7"/>
    <x v="103"/>
    <n v="0"/>
    <n v="0"/>
    <x v="51"/>
    <n v="0"/>
    <n v="0"/>
    <n v="1"/>
    <n v="1"/>
    <n v="2"/>
    <n v="1"/>
    <x v="1"/>
    <x v="1"/>
    <n v="1"/>
    <n v="1"/>
    <n v="1"/>
    <n v="1"/>
    <n v="0"/>
    <n v="165"/>
  </r>
  <r>
    <x v="33"/>
    <n v="0"/>
    <n v="2"/>
    <x v="8"/>
    <x v="87"/>
    <n v="0"/>
    <n v="1"/>
    <x v="51"/>
    <n v="0"/>
    <n v="0"/>
    <n v="1"/>
    <n v="0"/>
    <n v="2"/>
    <n v="1"/>
    <x v="1"/>
    <x v="1"/>
    <n v="1"/>
    <n v="1"/>
    <n v="1"/>
    <n v="1"/>
    <n v="0"/>
    <n v="165"/>
  </r>
  <r>
    <x v="17"/>
    <n v="1"/>
    <n v="2"/>
    <x v="36"/>
    <x v="51"/>
    <n v="0"/>
    <n v="1"/>
    <x v="51"/>
    <n v="0"/>
    <n v="0"/>
    <n v="2"/>
    <n v="0"/>
    <n v="2"/>
    <n v="0"/>
    <x v="0"/>
    <x v="1"/>
    <n v="0"/>
    <n v="0"/>
    <n v="0"/>
    <n v="0"/>
    <n v="0"/>
    <n v="165"/>
  </r>
  <r>
    <x v="8"/>
    <n v="0"/>
    <n v="1"/>
    <x v="23"/>
    <x v="104"/>
    <n v="1"/>
    <n v="0"/>
    <x v="51"/>
    <n v="0"/>
    <n v="0"/>
    <n v="2"/>
    <n v="2"/>
    <n v="2"/>
    <n v="0"/>
    <x v="1"/>
    <x v="2"/>
    <n v="1"/>
    <n v="0"/>
    <n v="0"/>
    <n v="0"/>
    <n v="0"/>
    <n v="165"/>
  </r>
  <r>
    <x v="7"/>
    <n v="0"/>
    <n v="1"/>
    <x v="14"/>
    <x v="12"/>
    <n v="0"/>
    <n v="0"/>
    <x v="52"/>
    <n v="0"/>
    <n v="1.3"/>
    <n v="1"/>
    <n v="0"/>
    <n v="2"/>
    <n v="1"/>
    <x v="1"/>
    <x v="2"/>
    <n v="1"/>
    <n v="1"/>
    <n v="1"/>
    <n v="1"/>
    <n v="0"/>
    <n v="165"/>
  </r>
  <r>
    <x v="29"/>
    <n v="1"/>
    <n v="1"/>
    <x v="10"/>
    <x v="105"/>
    <n v="0"/>
    <n v="1"/>
    <x v="52"/>
    <n v="0"/>
    <n v="0"/>
    <n v="2"/>
    <n v="0"/>
    <n v="2"/>
    <n v="1"/>
    <x v="0"/>
    <x v="2"/>
    <n v="0"/>
    <n v="1"/>
    <n v="0"/>
    <n v="0"/>
    <n v="0"/>
    <n v="165"/>
  </r>
  <r>
    <x v="34"/>
    <n v="1"/>
    <n v="0"/>
    <x v="21"/>
    <x v="106"/>
    <n v="0"/>
    <n v="0"/>
    <x v="52"/>
    <n v="0"/>
    <n v="0"/>
    <n v="2"/>
    <n v="1"/>
    <n v="2"/>
    <n v="0"/>
    <x v="0"/>
    <x v="0"/>
    <n v="0"/>
    <n v="0"/>
    <n v="0"/>
    <n v="0"/>
    <n v="0"/>
    <n v="165"/>
  </r>
  <r>
    <x v="22"/>
    <n v="1"/>
    <n v="2"/>
    <x v="39"/>
    <x v="107"/>
    <n v="0"/>
    <n v="1"/>
    <x v="53"/>
    <n v="1"/>
    <n v="0"/>
    <n v="2"/>
    <n v="1"/>
    <n v="3"/>
    <n v="1"/>
    <x v="0"/>
    <x v="1"/>
    <n v="0"/>
    <n v="1"/>
    <n v="0"/>
    <n v="0"/>
    <n v="0"/>
    <n v="165"/>
  </r>
  <r>
    <x v="8"/>
    <n v="1"/>
    <n v="2"/>
    <x v="40"/>
    <x v="108"/>
    <n v="0"/>
    <n v="0"/>
    <x v="53"/>
    <n v="1"/>
    <n v="0.6"/>
    <n v="1"/>
    <n v="0"/>
    <n v="3"/>
    <n v="1"/>
    <x v="0"/>
    <x v="1"/>
    <n v="0"/>
    <n v="1"/>
    <n v="0"/>
    <n v="0"/>
    <n v="0"/>
    <n v="165"/>
  </r>
  <r>
    <x v="5"/>
    <n v="0"/>
    <n v="0"/>
    <x v="16"/>
    <x v="109"/>
    <n v="0"/>
    <n v="1"/>
    <x v="53"/>
    <n v="1"/>
    <n v="0"/>
    <n v="2"/>
    <n v="0"/>
    <n v="2"/>
    <n v="1"/>
    <x v="1"/>
    <x v="0"/>
    <n v="1"/>
    <n v="1"/>
    <n v="1"/>
    <n v="1"/>
    <n v="1"/>
    <n v="165"/>
  </r>
  <r>
    <x v="30"/>
    <n v="0"/>
    <n v="0"/>
    <x v="13"/>
    <x v="110"/>
    <n v="0"/>
    <n v="0"/>
    <x v="53"/>
    <n v="0"/>
    <n v="4"/>
    <n v="1"/>
    <n v="3"/>
    <n v="3"/>
    <n v="0"/>
    <x v="1"/>
    <x v="0"/>
    <n v="1"/>
    <n v="0"/>
    <n v="0"/>
    <n v="0"/>
    <n v="0"/>
    <n v="165"/>
  </r>
  <r>
    <x v="6"/>
    <n v="0"/>
    <n v="0"/>
    <x v="13"/>
    <x v="111"/>
    <n v="0"/>
    <n v="1"/>
    <x v="53"/>
    <n v="1"/>
    <n v="1.4"/>
    <n v="1"/>
    <n v="0"/>
    <n v="2"/>
    <n v="0"/>
    <x v="1"/>
    <x v="0"/>
    <n v="1"/>
    <n v="0"/>
    <n v="0"/>
    <n v="0"/>
    <n v="0"/>
    <n v="165"/>
  </r>
  <r>
    <x v="11"/>
    <n v="1"/>
    <n v="1"/>
    <x v="4"/>
    <x v="112"/>
    <n v="0"/>
    <n v="1"/>
    <x v="54"/>
    <n v="0"/>
    <n v="0"/>
    <n v="2"/>
    <n v="0"/>
    <n v="2"/>
    <n v="1"/>
    <x v="0"/>
    <x v="2"/>
    <n v="1"/>
    <n v="1"/>
    <n v="1"/>
    <n v="1"/>
    <n v="1"/>
    <n v="165"/>
  </r>
  <r>
    <x v="5"/>
    <n v="1"/>
    <n v="3"/>
    <x v="29"/>
    <x v="107"/>
    <n v="0"/>
    <n v="0"/>
    <x v="54"/>
    <n v="0"/>
    <n v="0.6"/>
    <n v="1"/>
    <n v="0"/>
    <n v="3"/>
    <n v="1"/>
    <x v="0"/>
    <x v="3"/>
    <n v="1"/>
    <n v="1"/>
    <n v="1"/>
    <n v="1"/>
    <n v="0"/>
    <n v="165"/>
  </r>
  <r>
    <x v="3"/>
    <n v="1"/>
    <n v="0"/>
    <x v="14"/>
    <x v="58"/>
    <n v="1"/>
    <n v="0"/>
    <x v="54"/>
    <n v="1"/>
    <n v="3.1"/>
    <n v="0"/>
    <n v="0"/>
    <n v="3"/>
    <n v="0"/>
    <x v="0"/>
    <x v="0"/>
    <n v="1"/>
    <n v="0"/>
    <n v="0"/>
    <n v="0"/>
    <n v="0"/>
    <n v="165"/>
  </r>
  <r>
    <x v="4"/>
    <n v="1"/>
    <n v="2"/>
    <x v="14"/>
    <x v="113"/>
    <n v="0"/>
    <n v="0"/>
    <x v="54"/>
    <n v="0"/>
    <n v="3"/>
    <n v="1"/>
    <n v="0"/>
    <n v="2"/>
    <n v="0"/>
    <x v="0"/>
    <x v="1"/>
    <n v="1"/>
    <n v="0"/>
    <n v="0"/>
    <n v="0"/>
    <n v="0"/>
    <n v="165"/>
  </r>
  <r>
    <x v="17"/>
    <n v="1"/>
    <n v="2"/>
    <x v="8"/>
    <x v="114"/>
    <n v="0"/>
    <n v="0"/>
    <x v="55"/>
    <n v="0"/>
    <n v="0"/>
    <n v="2"/>
    <n v="0"/>
    <n v="2"/>
    <n v="1"/>
    <x v="0"/>
    <x v="1"/>
    <n v="1"/>
    <n v="1"/>
    <n v="1"/>
    <n v="1"/>
    <n v="1"/>
    <n v="165"/>
  </r>
  <r>
    <x v="9"/>
    <n v="1"/>
    <n v="1"/>
    <x v="36"/>
    <x v="57"/>
    <n v="0"/>
    <n v="1"/>
    <x v="55"/>
    <n v="0"/>
    <n v="0"/>
    <n v="2"/>
    <n v="0"/>
    <n v="3"/>
    <n v="1"/>
    <x v="0"/>
    <x v="2"/>
    <n v="0"/>
    <n v="1"/>
    <n v="0"/>
    <n v="0"/>
    <n v="0"/>
    <n v="165"/>
  </r>
  <r>
    <x v="19"/>
    <n v="1"/>
    <n v="1"/>
    <x v="41"/>
    <x v="28"/>
    <n v="1"/>
    <n v="1"/>
    <x v="55"/>
    <n v="0"/>
    <n v="0"/>
    <n v="2"/>
    <n v="0"/>
    <n v="3"/>
    <n v="1"/>
    <x v="0"/>
    <x v="2"/>
    <n v="0"/>
    <n v="1"/>
    <n v="0"/>
    <n v="0"/>
    <n v="0"/>
    <n v="165"/>
  </r>
  <r>
    <x v="27"/>
    <n v="1"/>
    <n v="0"/>
    <x v="28"/>
    <x v="3"/>
    <n v="0"/>
    <n v="0"/>
    <x v="55"/>
    <n v="1"/>
    <n v="0"/>
    <n v="2"/>
    <n v="0"/>
    <n v="3"/>
    <n v="0"/>
    <x v="0"/>
    <x v="0"/>
    <n v="0"/>
    <n v="0"/>
    <n v="0"/>
    <n v="0"/>
    <n v="0"/>
    <n v="165"/>
  </r>
  <r>
    <x v="8"/>
    <n v="1"/>
    <n v="0"/>
    <x v="18"/>
    <x v="56"/>
    <n v="0"/>
    <n v="1"/>
    <x v="55"/>
    <n v="0"/>
    <n v="0.1"/>
    <n v="2"/>
    <n v="1"/>
    <n v="3"/>
    <n v="0"/>
    <x v="0"/>
    <x v="0"/>
    <n v="0"/>
    <n v="0"/>
    <n v="0"/>
    <n v="0"/>
    <n v="0"/>
    <n v="165"/>
  </r>
  <r>
    <x v="35"/>
    <n v="1"/>
    <n v="0"/>
    <x v="5"/>
    <x v="82"/>
    <n v="1"/>
    <n v="1"/>
    <x v="55"/>
    <n v="1"/>
    <n v="1"/>
    <n v="1"/>
    <n v="0"/>
    <n v="0"/>
    <n v="0"/>
    <x v="0"/>
    <x v="0"/>
    <n v="0"/>
    <n v="0"/>
    <n v="0"/>
    <n v="0"/>
    <n v="0"/>
    <n v="165"/>
  </r>
  <r>
    <x v="2"/>
    <n v="1"/>
    <n v="2"/>
    <x v="13"/>
    <x v="61"/>
    <n v="1"/>
    <n v="1"/>
    <x v="56"/>
    <n v="0"/>
    <n v="1.6"/>
    <n v="2"/>
    <n v="0"/>
    <n v="2"/>
    <n v="1"/>
    <x v="0"/>
    <x v="1"/>
    <n v="1"/>
    <n v="1"/>
    <n v="1"/>
    <n v="1"/>
    <n v="1"/>
    <n v="165"/>
  </r>
  <r>
    <x v="14"/>
    <n v="0"/>
    <n v="2"/>
    <x v="14"/>
    <x v="115"/>
    <n v="1"/>
    <n v="0"/>
    <x v="56"/>
    <n v="0"/>
    <n v="0.8"/>
    <n v="2"/>
    <n v="1"/>
    <n v="2"/>
    <n v="1"/>
    <x v="1"/>
    <x v="1"/>
    <n v="1"/>
    <n v="1"/>
    <n v="1"/>
    <n v="1"/>
    <n v="1"/>
    <n v="165"/>
  </r>
  <r>
    <x v="6"/>
    <n v="0"/>
    <n v="0"/>
    <x v="14"/>
    <x v="116"/>
    <n v="0"/>
    <n v="0"/>
    <x v="56"/>
    <n v="0"/>
    <n v="1.2"/>
    <n v="1"/>
    <n v="0"/>
    <n v="2"/>
    <n v="1"/>
    <x v="1"/>
    <x v="0"/>
    <n v="1"/>
    <n v="1"/>
    <n v="1"/>
    <n v="1"/>
    <n v="0"/>
    <n v="165"/>
  </r>
  <r>
    <x v="22"/>
    <n v="0"/>
    <n v="2"/>
    <x v="0"/>
    <x v="117"/>
    <n v="0"/>
    <n v="0"/>
    <x v="56"/>
    <n v="0"/>
    <n v="0.6"/>
    <n v="2"/>
    <n v="0"/>
    <n v="2"/>
    <n v="1"/>
    <x v="1"/>
    <x v="1"/>
    <n v="0"/>
    <n v="1"/>
    <n v="0"/>
    <n v="0"/>
    <n v="0"/>
    <n v="165"/>
  </r>
  <r>
    <x v="4"/>
    <n v="0"/>
    <n v="0"/>
    <x v="13"/>
    <x v="74"/>
    <n v="0"/>
    <n v="0"/>
    <x v="56"/>
    <n v="0"/>
    <n v="2.6"/>
    <n v="1"/>
    <n v="2"/>
    <n v="3"/>
    <n v="0"/>
    <x v="1"/>
    <x v="0"/>
    <n v="1"/>
    <n v="0"/>
    <n v="0"/>
    <n v="0"/>
    <n v="0"/>
    <n v="165"/>
  </r>
  <r>
    <x v="25"/>
    <n v="0"/>
    <n v="2"/>
    <x v="0"/>
    <x v="72"/>
    <n v="0"/>
    <n v="1"/>
    <x v="57"/>
    <n v="0"/>
    <n v="1.6"/>
    <n v="1"/>
    <n v="0"/>
    <n v="2"/>
    <n v="1"/>
    <x v="1"/>
    <x v="1"/>
    <n v="0"/>
    <n v="1"/>
    <n v="0"/>
    <n v="0"/>
    <n v="0"/>
    <n v="165"/>
  </r>
  <r>
    <x v="35"/>
    <n v="1"/>
    <n v="1"/>
    <x v="35"/>
    <x v="47"/>
    <n v="0"/>
    <n v="1"/>
    <x v="57"/>
    <n v="0"/>
    <n v="0.8"/>
    <n v="2"/>
    <n v="1"/>
    <n v="2"/>
    <n v="1"/>
    <x v="0"/>
    <x v="2"/>
    <n v="1"/>
    <n v="1"/>
    <n v="1"/>
    <n v="1"/>
    <n v="1"/>
    <n v="165"/>
  </r>
  <r>
    <x v="9"/>
    <n v="0"/>
    <n v="2"/>
    <x v="10"/>
    <x v="118"/>
    <n v="0"/>
    <n v="1"/>
    <x v="57"/>
    <n v="0"/>
    <n v="1.6"/>
    <n v="1"/>
    <n v="0"/>
    <n v="2"/>
    <n v="1"/>
    <x v="1"/>
    <x v="1"/>
    <n v="0"/>
    <n v="1"/>
    <n v="0"/>
    <n v="0"/>
    <n v="0"/>
    <n v="165"/>
  </r>
  <r>
    <x v="5"/>
    <n v="1"/>
    <n v="2"/>
    <x v="14"/>
    <x v="86"/>
    <n v="0"/>
    <n v="1"/>
    <x v="57"/>
    <n v="0"/>
    <n v="0"/>
    <n v="2"/>
    <n v="0"/>
    <n v="2"/>
    <n v="0"/>
    <x v="0"/>
    <x v="1"/>
    <n v="1"/>
    <n v="0"/>
    <n v="0"/>
    <n v="0"/>
    <n v="0"/>
    <n v="165"/>
  </r>
  <r>
    <x v="29"/>
    <n v="1"/>
    <n v="0"/>
    <x v="10"/>
    <x v="119"/>
    <n v="0"/>
    <n v="0"/>
    <x v="57"/>
    <n v="0"/>
    <n v="0"/>
    <n v="2"/>
    <n v="0"/>
    <n v="3"/>
    <n v="0"/>
    <x v="0"/>
    <x v="0"/>
    <n v="0"/>
    <n v="0"/>
    <n v="0"/>
    <n v="0"/>
    <n v="0"/>
    <n v="165"/>
  </r>
  <r>
    <x v="14"/>
    <n v="1"/>
    <n v="0"/>
    <x v="10"/>
    <x v="34"/>
    <n v="0"/>
    <n v="0"/>
    <x v="57"/>
    <n v="0"/>
    <n v="0.6"/>
    <n v="2"/>
    <n v="2"/>
    <n v="1"/>
    <n v="0"/>
    <x v="0"/>
    <x v="0"/>
    <n v="0"/>
    <n v="0"/>
    <n v="0"/>
    <n v="0"/>
    <n v="0"/>
    <n v="165"/>
  </r>
  <r>
    <x v="1"/>
    <n v="0"/>
    <n v="0"/>
    <x v="5"/>
    <x v="35"/>
    <n v="0"/>
    <n v="0"/>
    <x v="58"/>
    <n v="0"/>
    <n v="0"/>
    <n v="2"/>
    <n v="1"/>
    <n v="2"/>
    <n v="1"/>
    <x v="1"/>
    <x v="0"/>
    <n v="0"/>
    <n v="1"/>
    <n v="0"/>
    <n v="0"/>
    <n v="0"/>
    <n v="165"/>
  </r>
  <r>
    <x v="9"/>
    <n v="0"/>
    <n v="1"/>
    <x v="6"/>
    <x v="64"/>
    <n v="1"/>
    <n v="0"/>
    <x v="58"/>
    <n v="1"/>
    <n v="0"/>
    <n v="2"/>
    <n v="1"/>
    <n v="2"/>
    <n v="1"/>
    <x v="1"/>
    <x v="2"/>
    <n v="1"/>
    <n v="1"/>
    <n v="1"/>
    <n v="1"/>
    <n v="1"/>
    <n v="165"/>
  </r>
  <r>
    <x v="25"/>
    <n v="0"/>
    <n v="0"/>
    <x v="10"/>
    <x v="50"/>
    <n v="0"/>
    <n v="0"/>
    <x v="58"/>
    <n v="0"/>
    <n v="0"/>
    <n v="2"/>
    <n v="0"/>
    <n v="2"/>
    <n v="1"/>
    <x v="1"/>
    <x v="0"/>
    <n v="0"/>
    <n v="1"/>
    <n v="0"/>
    <n v="0"/>
    <n v="0"/>
    <n v="165"/>
  </r>
  <r>
    <x v="2"/>
    <n v="1"/>
    <n v="3"/>
    <x v="29"/>
    <x v="64"/>
    <n v="0"/>
    <n v="0"/>
    <x v="58"/>
    <n v="0"/>
    <n v="0.2"/>
    <n v="1"/>
    <n v="0"/>
    <n v="3"/>
    <n v="0"/>
    <x v="0"/>
    <x v="3"/>
    <n v="1"/>
    <n v="0"/>
    <n v="0"/>
    <n v="0"/>
    <n v="0"/>
    <n v="165"/>
  </r>
  <r>
    <x v="9"/>
    <n v="1"/>
    <n v="0"/>
    <x v="14"/>
    <x v="48"/>
    <n v="0"/>
    <n v="1"/>
    <x v="59"/>
    <n v="0"/>
    <n v="1.2"/>
    <n v="2"/>
    <n v="0"/>
    <n v="2"/>
    <n v="1"/>
    <x v="0"/>
    <x v="0"/>
    <n v="1"/>
    <n v="1"/>
    <n v="1"/>
    <n v="1"/>
    <n v="1"/>
    <n v="165"/>
  </r>
  <r>
    <x v="19"/>
    <n v="0"/>
    <n v="2"/>
    <x v="12"/>
    <x v="31"/>
    <n v="0"/>
    <n v="0"/>
    <x v="59"/>
    <n v="1"/>
    <n v="1.4"/>
    <n v="0"/>
    <n v="0"/>
    <n v="2"/>
    <n v="1"/>
    <x v="1"/>
    <x v="1"/>
    <n v="1"/>
    <n v="1"/>
    <n v="1"/>
    <n v="0"/>
    <n v="0"/>
    <n v="165"/>
  </r>
  <r>
    <x v="3"/>
    <n v="0"/>
    <n v="0"/>
    <x v="8"/>
    <x v="56"/>
    <n v="0"/>
    <n v="0"/>
    <x v="59"/>
    <n v="0"/>
    <n v="0"/>
    <n v="2"/>
    <n v="0"/>
    <n v="2"/>
    <n v="1"/>
    <x v="1"/>
    <x v="0"/>
    <n v="1"/>
    <n v="1"/>
    <n v="1"/>
    <n v="1"/>
    <n v="1"/>
    <n v="165"/>
  </r>
  <r>
    <x v="4"/>
    <n v="0"/>
    <n v="2"/>
    <x v="17"/>
    <x v="73"/>
    <n v="0"/>
    <n v="1"/>
    <x v="59"/>
    <n v="0"/>
    <n v="0"/>
    <n v="2"/>
    <n v="1"/>
    <n v="2"/>
    <n v="1"/>
    <x v="1"/>
    <x v="1"/>
    <n v="0"/>
    <n v="1"/>
    <n v="0"/>
    <n v="0"/>
    <n v="0"/>
    <n v="165"/>
  </r>
  <r>
    <x v="0"/>
    <n v="0"/>
    <n v="2"/>
    <x v="42"/>
    <x v="120"/>
    <n v="0"/>
    <n v="0"/>
    <x v="59"/>
    <n v="0"/>
    <n v="1.6"/>
    <n v="1"/>
    <n v="0"/>
    <n v="3"/>
    <n v="1"/>
    <x v="1"/>
    <x v="1"/>
    <n v="0"/>
    <n v="1"/>
    <n v="0"/>
    <n v="0"/>
    <n v="0"/>
    <n v="165"/>
  </r>
  <r>
    <x v="6"/>
    <n v="0"/>
    <n v="0"/>
    <x v="14"/>
    <x v="121"/>
    <n v="0"/>
    <n v="0"/>
    <x v="59"/>
    <n v="0"/>
    <n v="3.6"/>
    <n v="0"/>
    <n v="2"/>
    <n v="2"/>
    <n v="0"/>
    <x v="1"/>
    <x v="0"/>
    <n v="1"/>
    <n v="0"/>
    <n v="0"/>
    <n v="0"/>
    <n v="0"/>
    <n v="165"/>
  </r>
  <r>
    <x v="8"/>
    <n v="1"/>
    <n v="1"/>
    <x v="0"/>
    <x v="122"/>
    <n v="0"/>
    <n v="0"/>
    <x v="59"/>
    <n v="0"/>
    <n v="1.8"/>
    <n v="1"/>
    <n v="0"/>
    <n v="2"/>
    <n v="0"/>
    <x v="0"/>
    <x v="2"/>
    <n v="0"/>
    <n v="0"/>
    <n v="0"/>
    <n v="0"/>
    <n v="0"/>
    <n v="165"/>
  </r>
  <r>
    <x v="4"/>
    <n v="1"/>
    <n v="0"/>
    <x v="43"/>
    <x v="123"/>
    <n v="1"/>
    <n v="1"/>
    <x v="59"/>
    <n v="1"/>
    <n v="1.4"/>
    <n v="2"/>
    <n v="2"/>
    <n v="3"/>
    <n v="0"/>
    <x v="0"/>
    <x v="0"/>
    <n v="0"/>
    <n v="0"/>
    <n v="0"/>
    <n v="0"/>
    <n v="0"/>
    <n v="165"/>
  </r>
  <r>
    <x v="35"/>
    <n v="1"/>
    <n v="0"/>
    <x v="21"/>
    <x v="123"/>
    <n v="0"/>
    <n v="1"/>
    <x v="59"/>
    <n v="0"/>
    <n v="0"/>
    <n v="2"/>
    <n v="1"/>
    <n v="2"/>
    <n v="0"/>
    <x v="0"/>
    <x v="0"/>
    <n v="0"/>
    <n v="0"/>
    <n v="0"/>
    <n v="0"/>
    <n v="0"/>
    <n v="165"/>
  </r>
  <r>
    <x v="2"/>
    <n v="1"/>
    <n v="0"/>
    <x v="26"/>
    <x v="56"/>
    <n v="0"/>
    <n v="1"/>
    <x v="60"/>
    <n v="0"/>
    <n v="0.5"/>
    <n v="1"/>
    <n v="0"/>
    <n v="3"/>
    <n v="1"/>
    <x v="0"/>
    <x v="0"/>
    <n v="1"/>
    <n v="1"/>
    <n v="1"/>
    <n v="1"/>
    <n v="0"/>
    <n v="165"/>
  </r>
  <r>
    <x v="11"/>
    <n v="0"/>
    <n v="1"/>
    <x v="26"/>
    <x v="124"/>
    <n v="0"/>
    <n v="0"/>
    <x v="60"/>
    <n v="0"/>
    <n v="1.4"/>
    <n v="1"/>
    <n v="0"/>
    <n v="2"/>
    <n v="1"/>
    <x v="1"/>
    <x v="2"/>
    <n v="1"/>
    <n v="1"/>
    <n v="1"/>
    <n v="1"/>
    <n v="0"/>
    <n v="165"/>
  </r>
  <r>
    <x v="18"/>
    <n v="1"/>
    <n v="0"/>
    <x v="10"/>
    <x v="26"/>
    <n v="0"/>
    <n v="1"/>
    <x v="60"/>
    <n v="0"/>
    <n v="0"/>
    <n v="2"/>
    <n v="0"/>
    <n v="3"/>
    <n v="1"/>
    <x v="0"/>
    <x v="0"/>
    <n v="0"/>
    <n v="1"/>
    <n v="0"/>
    <n v="0"/>
    <n v="0"/>
    <n v="165"/>
  </r>
  <r>
    <x v="35"/>
    <n v="1"/>
    <n v="0"/>
    <x v="5"/>
    <x v="125"/>
    <n v="0"/>
    <n v="1"/>
    <x v="60"/>
    <n v="1"/>
    <n v="0"/>
    <n v="2"/>
    <n v="1"/>
    <n v="3"/>
    <n v="0"/>
    <x v="0"/>
    <x v="0"/>
    <n v="0"/>
    <n v="0"/>
    <n v="0"/>
    <n v="0"/>
    <n v="0"/>
    <n v="165"/>
  </r>
  <r>
    <x v="24"/>
    <n v="1"/>
    <n v="0"/>
    <x v="44"/>
    <x v="58"/>
    <n v="0"/>
    <n v="1"/>
    <x v="60"/>
    <n v="0"/>
    <n v="0"/>
    <n v="2"/>
    <n v="1"/>
    <n v="3"/>
    <n v="0"/>
    <x v="0"/>
    <x v="0"/>
    <n v="1"/>
    <n v="0"/>
    <n v="0"/>
    <n v="0"/>
    <n v="0"/>
    <n v="165"/>
  </r>
  <r>
    <x v="35"/>
    <n v="1"/>
    <n v="2"/>
    <x v="45"/>
    <x v="126"/>
    <n v="1"/>
    <n v="1"/>
    <x v="61"/>
    <n v="0"/>
    <n v="0.5"/>
    <n v="2"/>
    <n v="0"/>
    <n v="3"/>
    <n v="1"/>
    <x v="0"/>
    <x v="1"/>
    <n v="1"/>
    <n v="1"/>
    <n v="1"/>
    <n v="0"/>
    <n v="0"/>
    <n v="165"/>
  </r>
  <r>
    <x v="8"/>
    <n v="0"/>
    <n v="3"/>
    <x v="13"/>
    <x v="9"/>
    <n v="1"/>
    <n v="0"/>
    <x v="61"/>
    <n v="0"/>
    <n v="1"/>
    <n v="2"/>
    <n v="0"/>
    <n v="2"/>
    <n v="1"/>
    <x v="1"/>
    <x v="3"/>
    <n v="1"/>
    <n v="1"/>
    <n v="1"/>
    <n v="1"/>
    <n v="1"/>
    <n v="165"/>
  </r>
  <r>
    <x v="23"/>
    <n v="0"/>
    <n v="1"/>
    <x v="9"/>
    <x v="100"/>
    <n v="0"/>
    <n v="1"/>
    <x v="61"/>
    <n v="0"/>
    <n v="0.4"/>
    <n v="2"/>
    <n v="2"/>
    <n v="2"/>
    <n v="1"/>
    <x v="1"/>
    <x v="2"/>
    <n v="1"/>
    <n v="1"/>
    <n v="1"/>
    <n v="1"/>
    <n v="1"/>
    <n v="165"/>
  </r>
  <r>
    <x v="18"/>
    <n v="1"/>
    <n v="2"/>
    <x v="4"/>
    <x v="46"/>
    <n v="0"/>
    <n v="1"/>
    <x v="61"/>
    <n v="0"/>
    <n v="1.9"/>
    <n v="2"/>
    <n v="1"/>
    <n v="2"/>
    <n v="1"/>
    <x v="0"/>
    <x v="1"/>
    <n v="1"/>
    <n v="1"/>
    <n v="1"/>
    <n v="1"/>
    <n v="1"/>
    <n v="165"/>
  </r>
  <r>
    <x v="25"/>
    <n v="0"/>
    <n v="1"/>
    <x v="0"/>
    <x v="111"/>
    <n v="0"/>
    <n v="1"/>
    <x v="61"/>
    <n v="0"/>
    <n v="1.1000000000000001"/>
    <n v="2"/>
    <n v="0"/>
    <n v="2"/>
    <n v="1"/>
    <x v="1"/>
    <x v="2"/>
    <n v="0"/>
    <n v="1"/>
    <n v="0"/>
    <n v="0"/>
    <n v="0"/>
    <n v="165"/>
  </r>
  <r>
    <x v="7"/>
    <n v="1"/>
    <n v="3"/>
    <x v="0"/>
    <x v="76"/>
    <n v="0"/>
    <n v="0"/>
    <x v="61"/>
    <n v="0"/>
    <n v="1.9"/>
    <n v="1"/>
    <n v="0"/>
    <n v="3"/>
    <n v="1"/>
    <x v="0"/>
    <x v="3"/>
    <n v="0"/>
    <n v="1"/>
    <n v="0"/>
    <n v="0"/>
    <n v="0"/>
    <n v="165"/>
  </r>
  <r>
    <x v="26"/>
    <n v="0"/>
    <n v="1"/>
    <x v="35"/>
    <x v="127"/>
    <n v="0"/>
    <n v="1"/>
    <x v="61"/>
    <n v="0"/>
    <n v="0"/>
    <n v="1"/>
    <n v="0"/>
    <n v="2"/>
    <n v="1"/>
    <x v="1"/>
    <x v="2"/>
    <n v="1"/>
    <n v="1"/>
    <n v="1"/>
    <n v="1"/>
    <n v="0"/>
    <n v="165"/>
  </r>
  <r>
    <x v="21"/>
    <n v="1"/>
    <n v="1"/>
    <x v="0"/>
    <x v="117"/>
    <n v="0"/>
    <n v="1"/>
    <x v="61"/>
    <n v="0"/>
    <n v="0"/>
    <n v="2"/>
    <n v="0"/>
    <n v="2"/>
    <n v="1"/>
    <x v="0"/>
    <x v="2"/>
    <n v="0"/>
    <n v="1"/>
    <n v="0"/>
    <n v="0"/>
    <n v="0"/>
    <n v="165"/>
  </r>
  <r>
    <x v="2"/>
    <n v="1"/>
    <n v="0"/>
    <x v="14"/>
    <x v="31"/>
    <n v="0"/>
    <n v="1"/>
    <x v="61"/>
    <n v="1"/>
    <n v="0"/>
    <n v="2"/>
    <n v="1"/>
    <n v="3"/>
    <n v="0"/>
    <x v="0"/>
    <x v="0"/>
    <n v="1"/>
    <n v="0"/>
    <n v="0"/>
    <n v="0"/>
    <n v="0"/>
    <n v="165"/>
  </r>
  <r>
    <x v="36"/>
    <n v="1"/>
    <n v="0"/>
    <x v="20"/>
    <x v="128"/>
    <n v="0"/>
    <n v="0"/>
    <x v="61"/>
    <n v="1"/>
    <n v="0"/>
    <n v="2"/>
    <n v="3"/>
    <n v="2"/>
    <n v="0"/>
    <x v="0"/>
    <x v="0"/>
    <n v="0"/>
    <n v="0"/>
    <n v="0"/>
    <n v="0"/>
    <n v="0"/>
    <n v="165"/>
  </r>
  <r>
    <x v="2"/>
    <n v="1"/>
    <n v="3"/>
    <x v="35"/>
    <x v="82"/>
    <n v="0"/>
    <n v="1"/>
    <x v="61"/>
    <n v="0"/>
    <n v="0.8"/>
    <n v="2"/>
    <n v="2"/>
    <n v="2"/>
    <n v="0"/>
    <x v="0"/>
    <x v="3"/>
    <n v="1"/>
    <n v="0"/>
    <n v="0"/>
    <n v="0"/>
    <n v="0"/>
    <n v="165"/>
  </r>
  <r>
    <x v="1"/>
    <n v="0"/>
    <n v="0"/>
    <x v="0"/>
    <x v="129"/>
    <n v="0"/>
    <n v="1"/>
    <x v="62"/>
    <n v="1"/>
    <n v="0.6"/>
    <n v="2"/>
    <n v="0"/>
    <n v="2"/>
    <n v="1"/>
    <x v="1"/>
    <x v="0"/>
    <n v="0"/>
    <n v="1"/>
    <n v="0"/>
    <n v="0"/>
    <n v="0"/>
    <n v="165"/>
  </r>
  <r>
    <x v="6"/>
    <n v="0"/>
    <n v="0"/>
    <x v="11"/>
    <x v="130"/>
    <n v="0"/>
    <n v="1"/>
    <x v="62"/>
    <n v="0"/>
    <n v="0"/>
    <n v="2"/>
    <n v="0"/>
    <n v="2"/>
    <n v="1"/>
    <x v="1"/>
    <x v="0"/>
    <n v="0"/>
    <n v="1"/>
    <n v="0"/>
    <n v="0"/>
    <n v="0"/>
    <n v="165"/>
  </r>
  <r>
    <x v="25"/>
    <n v="1"/>
    <n v="2"/>
    <x v="46"/>
    <x v="131"/>
    <n v="0"/>
    <n v="1"/>
    <x v="62"/>
    <n v="0"/>
    <n v="0"/>
    <n v="2"/>
    <n v="0"/>
    <n v="2"/>
    <n v="1"/>
    <x v="0"/>
    <x v="1"/>
    <n v="0"/>
    <n v="1"/>
    <n v="0"/>
    <n v="0"/>
    <n v="0"/>
    <n v="165"/>
  </r>
  <r>
    <x v="9"/>
    <n v="0"/>
    <n v="2"/>
    <x v="9"/>
    <x v="47"/>
    <n v="0"/>
    <n v="1"/>
    <x v="62"/>
    <n v="0"/>
    <n v="0"/>
    <n v="2"/>
    <n v="1"/>
    <n v="2"/>
    <n v="1"/>
    <x v="1"/>
    <x v="1"/>
    <n v="1"/>
    <n v="1"/>
    <n v="1"/>
    <n v="1"/>
    <n v="1"/>
    <n v="165"/>
  </r>
  <r>
    <x v="29"/>
    <n v="0"/>
    <n v="1"/>
    <x v="28"/>
    <x v="132"/>
    <n v="0"/>
    <n v="1"/>
    <x v="62"/>
    <n v="0"/>
    <n v="0"/>
    <n v="2"/>
    <n v="0"/>
    <n v="2"/>
    <n v="1"/>
    <x v="1"/>
    <x v="2"/>
    <n v="0"/>
    <n v="1"/>
    <n v="0"/>
    <n v="0"/>
    <n v="0"/>
    <n v="165"/>
  </r>
  <r>
    <x v="26"/>
    <n v="0"/>
    <n v="0"/>
    <x v="4"/>
    <x v="21"/>
    <n v="0"/>
    <n v="1"/>
    <x v="62"/>
    <n v="0"/>
    <n v="0"/>
    <n v="2"/>
    <n v="0"/>
    <n v="2"/>
    <n v="1"/>
    <x v="1"/>
    <x v="0"/>
    <n v="1"/>
    <n v="1"/>
    <n v="1"/>
    <n v="1"/>
    <n v="1"/>
    <n v="165"/>
  </r>
  <r>
    <x v="7"/>
    <n v="1"/>
    <n v="1"/>
    <x v="4"/>
    <x v="133"/>
    <n v="0"/>
    <n v="0"/>
    <x v="62"/>
    <n v="0"/>
    <n v="0"/>
    <n v="2"/>
    <n v="0"/>
    <n v="3"/>
    <n v="1"/>
    <x v="0"/>
    <x v="2"/>
    <n v="1"/>
    <n v="1"/>
    <n v="1"/>
    <n v="1"/>
    <n v="1"/>
    <n v="165"/>
  </r>
  <r>
    <x v="25"/>
    <n v="1"/>
    <n v="2"/>
    <x v="14"/>
    <x v="94"/>
    <n v="0"/>
    <n v="1"/>
    <x v="62"/>
    <n v="0"/>
    <n v="0.6"/>
    <n v="1"/>
    <n v="1"/>
    <n v="3"/>
    <n v="0"/>
    <x v="0"/>
    <x v="1"/>
    <n v="1"/>
    <n v="0"/>
    <n v="0"/>
    <n v="0"/>
    <n v="0"/>
    <n v="165"/>
  </r>
  <r>
    <x v="0"/>
    <n v="1"/>
    <n v="0"/>
    <x v="20"/>
    <x v="50"/>
    <n v="1"/>
    <n v="1"/>
    <x v="62"/>
    <n v="0"/>
    <n v="0.2"/>
    <n v="1"/>
    <n v="2"/>
    <n v="3"/>
    <n v="0"/>
    <x v="0"/>
    <x v="0"/>
    <n v="0"/>
    <n v="0"/>
    <n v="0"/>
    <n v="0"/>
    <n v="0"/>
    <n v="165"/>
  </r>
  <r>
    <x v="2"/>
    <n v="1"/>
    <n v="1"/>
    <x v="14"/>
    <x v="133"/>
    <n v="0"/>
    <n v="1"/>
    <x v="63"/>
    <n v="1"/>
    <n v="0"/>
    <n v="2"/>
    <n v="0"/>
    <n v="2"/>
    <n v="1"/>
    <x v="0"/>
    <x v="2"/>
    <n v="1"/>
    <n v="1"/>
    <n v="1"/>
    <n v="1"/>
    <n v="1"/>
    <n v="165"/>
  </r>
  <r>
    <x v="1"/>
    <n v="1"/>
    <n v="1"/>
    <x v="47"/>
    <x v="134"/>
    <n v="0"/>
    <n v="0"/>
    <x v="63"/>
    <n v="0"/>
    <n v="0"/>
    <n v="2"/>
    <n v="1"/>
    <n v="2"/>
    <n v="0"/>
    <x v="0"/>
    <x v="2"/>
    <n v="1"/>
    <n v="0"/>
    <n v="0"/>
    <n v="0"/>
    <n v="0"/>
    <n v="165"/>
  </r>
  <r>
    <x v="9"/>
    <n v="1"/>
    <n v="2"/>
    <x v="13"/>
    <x v="134"/>
    <n v="0"/>
    <n v="0"/>
    <x v="64"/>
    <n v="0"/>
    <n v="1.6"/>
    <n v="2"/>
    <n v="0"/>
    <n v="3"/>
    <n v="1"/>
    <x v="0"/>
    <x v="1"/>
    <n v="1"/>
    <n v="1"/>
    <n v="1"/>
    <n v="1"/>
    <n v="1"/>
    <n v="165"/>
  </r>
  <r>
    <x v="8"/>
    <n v="1"/>
    <n v="2"/>
    <x v="14"/>
    <x v="26"/>
    <n v="1"/>
    <n v="0"/>
    <x v="64"/>
    <n v="0"/>
    <n v="0"/>
    <n v="2"/>
    <n v="0"/>
    <n v="2"/>
    <n v="1"/>
    <x v="0"/>
    <x v="1"/>
    <n v="1"/>
    <n v="1"/>
    <n v="1"/>
    <n v="1"/>
    <n v="1"/>
    <n v="165"/>
  </r>
  <r>
    <x v="18"/>
    <n v="0"/>
    <n v="2"/>
    <x v="15"/>
    <x v="40"/>
    <n v="0"/>
    <n v="1"/>
    <x v="64"/>
    <n v="0"/>
    <n v="0.2"/>
    <n v="1"/>
    <n v="0"/>
    <n v="2"/>
    <n v="1"/>
    <x v="1"/>
    <x v="1"/>
    <n v="0"/>
    <n v="1"/>
    <n v="0"/>
    <n v="0"/>
    <n v="0"/>
    <n v="165"/>
  </r>
  <r>
    <x v="8"/>
    <n v="1"/>
    <n v="2"/>
    <x v="21"/>
    <x v="123"/>
    <n v="0"/>
    <n v="0"/>
    <x v="64"/>
    <n v="0"/>
    <n v="2.5"/>
    <n v="1"/>
    <n v="1"/>
    <n v="3"/>
    <n v="0"/>
    <x v="0"/>
    <x v="1"/>
    <n v="0"/>
    <n v="0"/>
    <n v="0"/>
    <n v="0"/>
    <n v="0"/>
    <n v="165"/>
  </r>
  <r>
    <x v="12"/>
    <n v="0"/>
    <n v="0"/>
    <x v="34"/>
    <x v="67"/>
    <n v="1"/>
    <n v="1"/>
    <x v="64"/>
    <n v="1"/>
    <n v="1"/>
    <n v="1"/>
    <n v="2"/>
    <n v="3"/>
    <n v="0"/>
    <x v="1"/>
    <x v="0"/>
    <n v="1"/>
    <n v="0"/>
    <n v="0"/>
    <n v="0"/>
    <n v="0"/>
    <n v="165"/>
  </r>
  <r>
    <x v="22"/>
    <n v="1"/>
    <n v="2"/>
    <x v="20"/>
    <x v="83"/>
    <n v="1"/>
    <n v="0"/>
    <x v="65"/>
    <n v="0"/>
    <n v="2.4"/>
    <n v="1"/>
    <n v="0"/>
    <n v="2"/>
    <n v="1"/>
    <x v="0"/>
    <x v="1"/>
    <n v="0"/>
    <n v="1"/>
    <n v="0"/>
    <n v="0"/>
    <n v="0"/>
    <n v="165"/>
  </r>
  <r>
    <x v="11"/>
    <n v="0"/>
    <n v="1"/>
    <x v="6"/>
    <x v="135"/>
    <n v="0"/>
    <n v="1"/>
    <x v="65"/>
    <n v="0"/>
    <n v="1.2"/>
    <n v="2"/>
    <n v="0"/>
    <n v="2"/>
    <n v="1"/>
    <x v="1"/>
    <x v="2"/>
    <n v="1"/>
    <n v="1"/>
    <n v="1"/>
    <n v="1"/>
    <n v="1"/>
    <n v="165"/>
  </r>
  <r>
    <x v="32"/>
    <n v="1"/>
    <n v="0"/>
    <x v="11"/>
    <x v="1"/>
    <n v="0"/>
    <n v="0"/>
    <x v="65"/>
    <n v="0"/>
    <n v="0.5"/>
    <n v="1"/>
    <n v="0"/>
    <n v="3"/>
    <n v="0"/>
    <x v="0"/>
    <x v="0"/>
    <n v="0"/>
    <n v="0"/>
    <n v="0"/>
    <n v="0"/>
    <n v="0"/>
    <n v="165"/>
  </r>
  <r>
    <x v="9"/>
    <n v="0"/>
    <n v="2"/>
    <x v="36"/>
    <x v="7"/>
    <n v="0"/>
    <n v="0"/>
    <x v="66"/>
    <n v="0"/>
    <n v="0"/>
    <n v="2"/>
    <n v="0"/>
    <n v="2"/>
    <n v="1"/>
    <x v="1"/>
    <x v="1"/>
    <n v="0"/>
    <n v="1"/>
    <n v="0"/>
    <n v="0"/>
    <n v="0"/>
    <n v="165"/>
  </r>
  <r>
    <x v="29"/>
    <n v="0"/>
    <n v="1"/>
    <x v="40"/>
    <x v="53"/>
    <n v="0"/>
    <n v="1"/>
    <x v="67"/>
    <n v="0"/>
    <n v="0"/>
    <n v="2"/>
    <n v="1"/>
    <n v="2"/>
    <n v="1"/>
    <x v="1"/>
    <x v="2"/>
    <n v="0"/>
    <n v="1"/>
    <n v="0"/>
    <n v="0"/>
    <n v="0"/>
    <n v="165"/>
  </r>
  <r>
    <x v="1"/>
    <n v="1"/>
    <n v="0"/>
    <x v="6"/>
    <x v="68"/>
    <n v="0"/>
    <n v="1"/>
    <x v="67"/>
    <n v="1"/>
    <n v="0"/>
    <n v="2"/>
    <n v="0"/>
    <n v="3"/>
    <n v="1"/>
    <x v="0"/>
    <x v="0"/>
    <n v="1"/>
    <n v="1"/>
    <n v="1"/>
    <n v="1"/>
    <n v="1"/>
    <n v="165"/>
  </r>
  <r>
    <x v="29"/>
    <n v="1"/>
    <n v="2"/>
    <x v="4"/>
    <x v="118"/>
    <n v="0"/>
    <n v="0"/>
    <x v="67"/>
    <n v="0"/>
    <n v="2"/>
    <n v="1"/>
    <n v="0"/>
    <n v="2"/>
    <n v="1"/>
    <x v="0"/>
    <x v="1"/>
    <n v="1"/>
    <n v="1"/>
    <n v="1"/>
    <n v="1"/>
    <n v="0"/>
    <n v="165"/>
  </r>
  <r>
    <x v="32"/>
    <n v="1"/>
    <n v="1"/>
    <x v="10"/>
    <x v="52"/>
    <n v="0"/>
    <n v="1"/>
    <x v="67"/>
    <n v="0"/>
    <n v="1"/>
    <n v="0"/>
    <n v="0"/>
    <n v="3"/>
    <n v="0"/>
    <x v="0"/>
    <x v="2"/>
    <n v="0"/>
    <n v="0"/>
    <n v="0"/>
    <n v="0"/>
    <n v="0"/>
    <n v="165"/>
  </r>
  <r>
    <x v="35"/>
    <n v="1"/>
    <n v="0"/>
    <x v="20"/>
    <x v="61"/>
    <n v="0"/>
    <n v="1"/>
    <x v="67"/>
    <n v="0"/>
    <n v="1"/>
    <n v="2"/>
    <n v="2"/>
    <n v="3"/>
    <n v="0"/>
    <x v="0"/>
    <x v="0"/>
    <n v="0"/>
    <n v="0"/>
    <n v="0"/>
    <n v="0"/>
    <n v="0"/>
    <n v="165"/>
  </r>
  <r>
    <x v="35"/>
    <n v="1"/>
    <n v="2"/>
    <x v="8"/>
    <x v="78"/>
    <n v="0"/>
    <n v="1"/>
    <x v="68"/>
    <n v="0"/>
    <n v="0"/>
    <n v="2"/>
    <n v="4"/>
    <n v="2"/>
    <n v="1"/>
    <x v="0"/>
    <x v="1"/>
    <n v="1"/>
    <n v="1"/>
    <n v="1"/>
    <n v="1"/>
    <n v="1"/>
    <n v="165"/>
  </r>
  <r>
    <x v="35"/>
    <n v="0"/>
    <n v="2"/>
    <x v="23"/>
    <x v="131"/>
    <n v="0"/>
    <n v="0"/>
    <x v="68"/>
    <n v="0"/>
    <n v="0.1"/>
    <n v="1"/>
    <n v="0"/>
    <n v="2"/>
    <n v="1"/>
    <x v="1"/>
    <x v="1"/>
    <n v="1"/>
    <n v="1"/>
    <n v="1"/>
    <n v="0"/>
    <n v="0"/>
    <n v="165"/>
  </r>
  <r>
    <x v="34"/>
    <n v="1"/>
    <n v="2"/>
    <x v="0"/>
    <x v="17"/>
    <n v="0"/>
    <n v="1"/>
    <x v="68"/>
    <n v="0"/>
    <n v="0"/>
    <n v="2"/>
    <n v="0"/>
    <n v="2"/>
    <n v="1"/>
    <x v="0"/>
    <x v="1"/>
    <n v="0"/>
    <n v="1"/>
    <n v="0"/>
    <n v="0"/>
    <n v="0"/>
    <n v="165"/>
  </r>
  <r>
    <x v="7"/>
    <n v="1"/>
    <n v="1"/>
    <x v="0"/>
    <x v="108"/>
    <n v="0"/>
    <n v="1"/>
    <x v="68"/>
    <n v="0"/>
    <n v="0"/>
    <n v="0"/>
    <n v="0"/>
    <n v="2"/>
    <n v="1"/>
    <x v="0"/>
    <x v="2"/>
    <n v="0"/>
    <n v="1"/>
    <n v="0"/>
    <n v="0"/>
    <n v="0"/>
    <n v="165"/>
  </r>
  <r>
    <x v="24"/>
    <n v="0"/>
    <n v="0"/>
    <x v="4"/>
    <x v="60"/>
    <n v="0"/>
    <n v="0"/>
    <x v="68"/>
    <n v="0"/>
    <n v="0"/>
    <n v="2"/>
    <n v="0"/>
    <n v="2"/>
    <n v="0"/>
    <x v="1"/>
    <x v="0"/>
    <n v="1"/>
    <n v="0"/>
    <n v="0"/>
    <n v="0"/>
    <n v="0"/>
    <n v="165"/>
  </r>
  <r>
    <x v="30"/>
    <n v="0"/>
    <n v="0"/>
    <x v="36"/>
    <x v="21"/>
    <n v="0"/>
    <n v="1"/>
    <x v="68"/>
    <n v="1"/>
    <n v="1.8"/>
    <n v="1"/>
    <n v="2"/>
    <n v="2"/>
    <n v="0"/>
    <x v="1"/>
    <x v="0"/>
    <n v="0"/>
    <n v="0"/>
    <n v="0"/>
    <n v="0"/>
    <n v="0"/>
    <n v="165"/>
  </r>
  <r>
    <x v="9"/>
    <n v="0"/>
    <n v="2"/>
    <x v="26"/>
    <x v="128"/>
    <n v="1"/>
    <n v="1"/>
    <x v="69"/>
    <n v="0"/>
    <n v="0"/>
    <n v="2"/>
    <n v="0"/>
    <n v="2"/>
    <n v="1"/>
    <x v="1"/>
    <x v="1"/>
    <n v="1"/>
    <n v="1"/>
    <n v="1"/>
    <n v="1"/>
    <n v="1"/>
    <n v="165"/>
  </r>
  <r>
    <x v="34"/>
    <n v="1"/>
    <n v="1"/>
    <x v="0"/>
    <x v="87"/>
    <n v="0"/>
    <n v="1"/>
    <x v="69"/>
    <n v="0"/>
    <n v="0"/>
    <n v="2"/>
    <n v="0"/>
    <n v="2"/>
    <n v="1"/>
    <x v="0"/>
    <x v="2"/>
    <n v="0"/>
    <n v="1"/>
    <n v="0"/>
    <n v="0"/>
    <n v="0"/>
    <n v="165"/>
  </r>
  <r>
    <x v="31"/>
    <n v="1"/>
    <n v="1"/>
    <x v="5"/>
    <x v="77"/>
    <n v="0"/>
    <n v="0"/>
    <x v="69"/>
    <n v="0"/>
    <n v="0"/>
    <n v="2"/>
    <n v="0"/>
    <n v="2"/>
    <n v="1"/>
    <x v="0"/>
    <x v="2"/>
    <n v="0"/>
    <n v="1"/>
    <n v="0"/>
    <n v="0"/>
    <n v="0"/>
    <n v="165"/>
  </r>
  <r>
    <x v="37"/>
    <n v="0"/>
    <n v="2"/>
    <x v="0"/>
    <x v="136"/>
    <n v="0"/>
    <n v="1"/>
    <x v="69"/>
    <n v="0"/>
    <n v="0"/>
    <n v="2"/>
    <n v="0"/>
    <n v="2"/>
    <n v="1"/>
    <x v="1"/>
    <x v="1"/>
    <n v="0"/>
    <n v="1"/>
    <n v="0"/>
    <n v="0"/>
    <n v="0"/>
    <n v="165"/>
  </r>
  <r>
    <x v="4"/>
    <n v="1"/>
    <n v="0"/>
    <x v="14"/>
    <x v="137"/>
    <n v="0"/>
    <n v="0"/>
    <x v="69"/>
    <n v="0"/>
    <n v="1.2"/>
    <n v="1"/>
    <n v="2"/>
    <n v="3"/>
    <n v="0"/>
    <x v="0"/>
    <x v="0"/>
    <n v="1"/>
    <n v="0"/>
    <n v="0"/>
    <n v="0"/>
    <n v="0"/>
    <n v="165"/>
  </r>
  <r>
    <x v="26"/>
    <n v="1"/>
    <n v="1"/>
    <x v="4"/>
    <x v="15"/>
    <n v="0"/>
    <n v="1"/>
    <x v="70"/>
    <n v="0"/>
    <n v="0.6"/>
    <n v="2"/>
    <n v="0"/>
    <n v="2"/>
    <n v="1"/>
    <x v="0"/>
    <x v="2"/>
    <n v="1"/>
    <n v="1"/>
    <n v="1"/>
    <n v="1"/>
    <n v="1"/>
    <n v="165"/>
  </r>
  <r>
    <x v="18"/>
    <n v="1"/>
    <n v="0"/>
    <x v="13"/>
    <x v="85"/>
    <n v="0"/>
    <n v="1"/>
    <x v="70"/>
    <n v="0"/>
    <n v="1.5"/>
    <n v="2"/>
    <n v="0"/>
    <n v="2"/>
    <n v="1"/>
    <x v="0"/>
    <x v="0"/>
    <n v="1"/>
    <n v="1"/>
    <n v="1"/>
    <n v="1"/>
    <n v="1"/>
    <n v="165"/>
  </r>
  <r>
    <x v="4"/>
    <n v="0"/>
    <n v="3"/>
    <x v="13"/>
    <x v="108"/>
    <n v="0"/>
    <n v="1"/>
    <x v="70"/>
    <n v="0"/>
    <n v="0.9"/>
    <n v="2"/>
    <n v="0"/>
    <n v="2"/>
    <n v="1"/>
    <x v="1"/>
    <x v="3"/>
    <n v="1"/>
    <n v="1"/>
    <n v="1"/>
    <n v="1"/>
    <n v="1"/>
    <n v="165"/>
  </r>
  <r>
    <x v="8"/>
    <n v="1"/>
    <n v="0"/>
    <x v="20"/>
    <x v="138"/>
    <n v="0"/>
    <n v="0"/>
    <x v="70"/>
    <n v="0"/>
    <n v="0"/>
    <n v="2"/>
    <n v="2"/>
    <n v="3"/>
    <n v="0"/>
    <x v="0"/>
    <x v="0"/>
    <n v="0"/>
    <n v="0"/>
    <n v="0"/>
    <n v="0"/>
    <n v="0"/>
    <n v="165"/>
  </r>
  <r>
    <x v="29"/>
    <n v="0"/>
    <n v="1"/>
    <x v="4"/>
    <x v="82"/>
    <n v="0"/>
    <n v="0"/>
    <x v="71"/>
    <n v="0"/>
    <n v="1.4"/>
    <n v="2"/>
    <n v="0"/>
    <n v="2"/>
    <n v="1"/>
    <x v="1"/>
    <x v="2"/>
    <n v="1"/>
    <n v="1"/>
    <n v="1"/>
    <n v="1"/>
    <n v="1"/>
    <n v="165"/>
  </r>
  <r>
    <x v="8"/>
    <n v="0"/>
    <n v="2"/>
    <x v="0"/>
    <x v="139"/>
    <n v="0"/>
    <n v="1"/>
    <x v="71"/>
    <n v="0"/>
    <n v="0"/>
    <n v="2"/>
    <n v="0"/>
    <n v="2"/>
    <n v="1"/>
    <x v="1"/>
    <x v="1"/>
    <n v="0"/>
    <n v="1"/>
    <n v="0"/>
    <n v="0"/>
    <n v="0"/>
    <n v="165"/>
  </r>
  <r>
    <x v="35"/>
    <n v="1"/>
    <n v="1"/>
    <x v="0"/>
    <x v="109"/>
    <n v="0"/>
    <n v="1"/>
    <x v="71"/>
    <n v="0"/>
    <n v="0.2"/>
    <n v="2"/>
    <n v="0"/>
    <n v="2"/>
    <n v="1"/>
    <x v="0"/>
    <x v="2"/>
    <n v="0"/>
    <n v="1"/>
    <n v="0"/>
    <n v="0"/>
    <n v="0"/>
    <n v="165"/>
  </r>
  <r>
    <x v="30"/>
    <n v="0"/>
    <n v="2"/>
    <x v="26"/>
    <x v="140"/>
    <n v="0"/>
    <n v="0"/>
    <x v="71"/>
    <n v="0"/>
    <n v="0"/>
    <n v="2"/>
    <n v="0"/>
    <n v="2"/>
    <n v="1"/>
    <x v="1"/>
    <x v="1"/>
    <n v="1"/>
    <n v="1"/>
    <n v="1"/>
    <n v="1"/>
    <n v="1"/>
    <n v="165"/>
  </r>
  <r>
    <x v="19"/>
    <n v="0"/>
    <n v="1"/>
    <x v="40"/>
    <x v="82"/>
    <n v="0"/>
    <n v="1"/>
    <x v="71"/>
    <n v="0"/>
    <n v="0"/>
    <n v="2"/>
    <n v="0"/>
    <n v="2"/>
    <n v="1"/>
    <x v="1"/>
    <x v="2"/>
    <n v="0"/>
    <n v="1"/>
    <n v="0"/>
    <n v="0"/>
    <n v="0"/>
    <n v="165"/>
  </r>
  <r>
    <x v="29"/>
    <n v="0"/>
    <n v="2"/>
    <x v="21"/>
    <x v="121"/>
    <n v="0"/>
    <n v="0"/>
    <x v="71"/>
    <n v="1"/>
    <n v="0"/>
    <n v="2"/>
    <n v="0"/>
    <n v="2"/>
    <n v="1"/>
    <x v="1"/>
    <x v="1"/>
    <n v="0"/>
    <n v="1"/>
    <n v="0"/>
    <n v="0"/>
    <n v="0"/>
    <n v="165"/>
  </r>
  <r>
    <x v="0"/>
    <n v="0"/>
    <n v="2"/>
    <x v="1"/>
    <x v="101"/>
    <n v="0"/>
    <n v="1"/>
    <x v="71"/>
    <n v="0"/>
    <n v="0"/>
    <n v="2"/>
    <n v="1"/>
    <n v="2"/>
    <n v="1"/>
    <x v="1"/>
    <x v="1"/>
    <n v="1"/>
    <n v="1"/>
    <n v="1"/>
    <n v="1"/>
    <n v="1"/>
    <n v="165"/>
  </r>
  <r>
    <x v="34"/>
    <n v="1"/>
    <n v="1"/>
    <x v="0"/>
    <x v="6"/>
    <n v="0"/>
    <n v="1"/>
    <x v="72"/>
    <n v="0"/>
    <n v="0"/>
    <n v="2"/>
    <n v="0"/>
    <n v="3"/>
    <n v="1"/>
    <x v="0"/>
    <x v="2"/>
    <n v="0"/>
    <n v="1"/>
    <n v="0"/>
    <n v="0"/>
    <n v="0"/>
    <n v="165"/>
  </r>
  <r>
    <x v="3"/>
    <n v="1"/>
    <n v="2"/>
    <x v="4"/>
    <x v="5"/>
    <n v="1"/>
    <n v="0"/>
    <x v="72"/>
    <n v="0"/>
    <n v="0"/>
    <n v="2"/>
    <n v="3"/>
    <n v="2"/>
    <n v="1"/>
    <x v="0"/>
    <x v="1"/>
    <n v="1"/>
    <n v="1"/>
    <n v="1"/>
    <n v="1"/>
    <n v="1"/>
    <n v="165"/>
  </r>
  <r>
    <x v="1"/>
    <n v="1"/>
    <n v="2"/>
    <x v="13"/>
    <x v="141"/>
    <n v="1"/>
    <n v="1"/>
    <x v="72"/>
    <n v="0"/>
    <n v="0.2"/>
    <n v="2"/>
    <n v="1"/>
    <n v="3"/>
    <n v="1"/>
    <x v="0"/>
    <x v="1"/>
    <n v="1"/>
    <n v="1"/>
    <n v="1"/>
    <n v="0"/>
    <n v="0"/>
    <n v="165"/>
  </r>
  <r>
    <x v="21"/>
    <n v="0"/>
    <n v="2"/>
    <x v="0"/>
    <x v="130"/>
    <n v="0"/>
    <n v="1"/>
    <x v="72"/>
    <n v="0"/>
    <n v="0"/>
    <n v="1"/>
    <n v="0"/>
    <n v="2"/>
    <n v="1"/>
    <x v="1"/>
    <x v="1"/>
    <n v="0"/>
    <n v="1"/>
    <n v="0"/>
    <n v="0"/>
    <n v="0"/>
    <n v="165"/>
  </r>
  <r>
    <x v="38"/>
    <n v="1"/>
    <n v="2"/>
    <x v="8"/>
    <x v="37"/>
    <n v="0"/>
    <n v="1"/>
    <x v="72"/>
    <n v="0"/>
    <n v="0"/>
    <n v="2"/>
    <n v="4"/>
    <n v="2"/>
    <n v="1"/>
    <x v="0"/>
    <x v="1"/>
    <n v="1"/>
    <n v="1"/>
    <n v="1"/>
    <n v="0"/>
    <n v="0"/>
    <n v="165"/>
  </r>
  <r>
    <x v="38"/>
    <n v="1"/>
    <n v="2"/>
    <x v="8"/>
    <x v="37"/>
    <n v="0"/>
    <n v="1"/>
    <x v="72"/>
    <n v="0"/>
    <n v="0"/>
    <n v="2"/>
    <n v="4"/>
    <n v="2"/>
    <n v="1"/>
    <x v="0"/>
    <x v="1"/>
    <n v="1"/>
    <n v="1"/>
    <n v="1"/>
    <n v="0"/>
    <n v="0"/>
    <n v="165"/>
  </r>
  <r>
    <x v="8"/>
    <n v="1"/>
    <n v="2"/>
    <x v="6"/>
    <x v="142"/>
    <n v="0"/>
    <n v="0"/>
    <x v="72"/>
    <n v="0"/>
    <n v="3.2"/>
    <n v="2"/>
    <n v="2"/>
    <n v="3"/>
    <n v="0"/>
    <x v="0"/>
    <x v="1"/>
    <n v="1"/>
    <n v="0"/>
    <n v="0"/>
    <n v="0"/>
    <n v="0"/>
    <n v="165"/>
  </r>
  <r>
    <x v="22"/>
    <n v="1"/>
    <n v="0"/>
    <x v="14"/>
    <x v="43"/>
    <n v="0"/>
    <n v="1"/>
    <x v="72"/>
    <n v="1"/>
    <n v="1.6"/>
    <n v="2"/>
    <n v="0"/>
    <n v="3"/>
    <n v="0"/>
    <x v="0"/>
    <x v="0"/>
    <n v="1"/>
    <n v="0"/>
    <n v="0"/>
    <n v="0"/>
    <n v="0"/>
    <n v="165"/>
  </r>
  <r>
    <x v="1"/>
    <n v="1"/>
    <n v="2"/>
    <x v="13"/>
    <x v="143"/>
    <n v="0"/>
    <n v="1"/>
    <x v="73"/>
    <n v="0"/>
    <n v="1.6"/>
    <n v="2"/>
    <n v="0"/>
    <n v="2"/>
    <n v="1"/>
    <x v="0"/>
    <x v="1"/>
    <n v="1"/>
    <n v="1"/>
    <n v="1"/>
    <n v="0"/>
    <n v="0"/>
    <n v="165"/>
  </r>
  <r>
    <x v="39"/>
    <n v="1"/>
    <n v="3"/>
    <x v="25"/>
    <x v="144"/>
    <n v="0"/>
    <n v="0"/>
    <x v="73"/>
    <n v="0"/>
    <n v="0"/>
    <n v="2"/>
    <n v="0"/>
    <n v="2"/>
    <n v="1"/>
    <x v="0"/>
    <x v="3"/>
    <n v="0"/>
    <n v="1"/>
    <n v="0"/>
    <n v="0"/>
    <n v="0"/>
    <n v="165"/>
  </r>
  <r>
    <x v="27"/>
    <n v="1"/>
    <n v="1"/>
    <x v="15"/>
    <x v="95"/>
    <n v="0"/>
    <n v="1"/>
    <x v="73"/>
    <n v="0"/>
    <n v="0"/>
    <n v="2"/>
    <n v="0"/>
    <n v="2"/>
    <n v="1"/>
    <x v="0"/>
    <x v="2"/>
    <n v="0"/>
    <n v="1"/>
    <n v="0"/>
    <n v="0"/>
    <n v="0"/>
    <n v="165"/>
  </r>
  <r>
    <x v="14"/>
    <n v="1"/>
    <n v="3"/>
    <x v="8"/>
    <x v="3"/>
    <n v="1"/>
    <n v="0"/>
    <x v="73"/>
    <n v="0"/>
    <n v="1.4"/>
    <n v="1"/>
    <n v="1"/>
    <n v="2"/>
    <n v="0"/>
    <x v="0"/>
    <x v="3"/>
    <n v="1"/>
    <n v="0"/>
    <n v="0"/>
    <n v="0"/>
    <n v="0"/>
    <n v="165"/>
  </r>
  <r>
    <x v="1"/>
    <n v="0"/>
    <n v="1"/>
    <x v="4"/>
    <x v="102"/>
    <n v="0"/>
    <n v="0"/>
    <x v="73"/>
    <n v="0"/>
    <n v="0"/>
    <n v="1"/>
    <n v="1"/>
    <n v="2"/>
    <n v="0"/>
    <x v="1"/>
    <x v="2"/>
    <n v="1"/>
    <n v="0"/>
    <n v="0"/>
    <n v="0"/>
    <n v="0"/>
    <n v="165"/>
  </r>
  <r>
    <x v="34"/>
    <n v="0"/>
    <n v="2"/>
    <x v="36"/>
    <x v="145"/>
    <n v="0"/>
    <n v="1"/>
    <x v="74"/>
    <n v="0"/>
    <n v="0.6"/>
    <n v="1"/>
    <n v="0"/>
    <n v="2"/>
    <n v="1"/>
    <x v="1"/>
    <x v="1"/>
    <n v="0"/>
    <n v="1"/>
    <n v="0"/>
    <n v="0"/>
    <n v="0"/>
    <n v="165"/>
  </r>
  <r>
    <x v="31"/>
    <n v="0"/>
    <n v="1"/>
    <x v="4"/>
    <x v="56"/>
    <n v="0"/>
    <n v="0"/>
    <x v="74"/>
    <n v="0"/>
    <n v="0.6"/>
    <n v="1"/>
    <n v="0"/>
    <n v="2"/>
    <n v="1"/>
    <x v="1"/>
    <x v="2"/>
    <n v="1"/>
    <n v="1"/>
    <n v="1"/>
    <n v="1"/>
    <n v="0"/>
    <n v="165"/>
  </r>
  <r>
    <x v="32"/>
    <n v="1"/>
    <n v="2"/>
    <x v="11"/>
    <x v="125"/>
    <n v="1"/>
    <n v="1"/>
    <x v="74"/>
    <n v="0"/>
    <n v="0"/>
    <n v="2"/>
    <n v="2"/>
    <n v="2"/>
    <n v="1"/>
    <x v="0"/>
    <x v="1"/>
    <n v="0"/>
    <n v="1"/>
    <n v="0"/>
    <n v="0"/>
    <n v="0"/>
    <n v="165"/>
  </r>
  <r>
    <x v="34"/>
    <n v="1"/>
    <n v="0"/>
    <x v="10"/>
    <x v="28"/>
    <n v="0"/>
    <n v="0"/>
    <x v="75"/>
    <n v="0"/>
    <n v="0"/>
    <n v="2"/>
    <n v="1"/>
    <n v="2"/>
    <n v="0"/>
    <x v="0"/>
    <x v="0"/>
    <n v="0"/>
    <n v="0"/>
    <n v="0"/>
    <n v="0"/>
    <n v="0"/>
    <n v="165"/>
  </r>
  <r>
    <x v="7"/>
    <n v="1"/>
    <n v="1"/>
    <x v="0"/>
    <x v="102"/>
    <n v="0"/>
    <n v="1"/>
    <x v="76"/>
    <n v="0"/>
    <n v="0.8"/>
    <n v="2"/>
    <n v="0"/>
    <n v="2"/>
    <n v="1"/>
    <x v="0"/>
    <x v="2"/>
    <n v="0"/>
    <n v="1"/>
    <n v="0"/>
    <n v="0"/>
    <n v="0"/>
    <n v="165"/>
  </r>
  <r>
    <x v="21"/>
    <n v="1"/>
    <n v="0"/>
    <x v="14"/>
    <x v="17"/>
    <n v="0"/>
    <n v="1"/>
    <x v="76"/>
    <n v="0"/>
    <n v="0"/>
    <n v="2"/>
    <n v="0"/>
    <n v="2"/>
    <n v="1"/>
    <x v="0"/>
    <x v="0"/>
    <n v="1"/>
    <n v="1"/>
    <n v="1"/>
    <n v="1"/>
    <n v="1"/>
    <n v="165"/>
  </r>
  <r>
    <x v="13"/>
    <n v="1"/>
    <n v="3"/>
    <x v="14"/>
    <x v="126"/>
    <n v="0"/>
    <n v="1"/>
    <x v="76"/>
    <n v="1"/>
    <n v="1.4"/>
    <n v="2"/>
    <n v="0"/>
    <n v="3"/>
    <n v="1"/>
    <x v="0"/>
    <x v="3"/>
    <n v="1"/>
    <n v="1"/>
    <n v="1"/>
    <n v="0"/>
    <n v="0"/>
    <n v="165"/>
  </r>
  <r>
    <x v="35"/>
    <n v="1"/>
    <n v="3"/>
    <x v="1"/>
    <x v="36"/>
    <n v="1"/>
    <n v="1"/>
    <x v="76"/>
    <n v="0"/>
    <n v="1.2"/>
    <n v="1"/>
    <n v="0"/>
    <n v="3"/>
    <n v="1"/>
    <x v="0"/>
    <x v="3"/>
    <n v="1"/>
    <n v="1"/>
    <n v="1"/>
    <n v="1"/>
    <n v="0"/>
    <n v="165"/>
  </r>
  <r>
    <x v="21"/>
    <n v="1"/>
    <n v="3"/>
    <x v="44"/>
    <x v="111"/>
    <n v="0"/>
    <n v="0"/>
    <x v="76"/>
    <n v="0"/>
    <n v="0.8"/>
    <n v="2"/>
    <n v="2"/>
    <n v="2"/>
    <n v="1"/>
    <x v="0"/>
    <x v="3"/>
    <n v="1"/>
    <n v="1"/>
    <n v="1"/>
    <n v="1"/>
    <n v="1"/>
    <n v="165"/>
  </r>
  <r>
    <x v="34"/>
    <n v="1"/>
    <n v="2"/>
    <x v="4"/>
    <x v="94"/>
    <n v="0"/>
    <n v="1"/>
    <x v="77"/>
    <n v="1"/>
    <n v="0.4"/>
    <n v="2"/>
    <n v="0"/>
    <n v="2"/>
    <n v="1"/>
    <x v="0"/>
    <x v="1"/>
    <n v="1"/>
    <n v="1"/>
    <n v="1"/>
    <n v="1"/>
    <n v="1"/>
    <n v="165"/>
  </r>
  <r>
    <x v="29"/>
    <n v="1"/>
    <n v="2"/>
    <x v="21"/>
    <x v="124"/>
    <n v="0"/>
    <n v="1"/>
    <x v="77"/>
    <n v="0"/>
    <n v="0"/>
    <n v="2"/>
    <n v="0"/>
    <n v="2"/>
    <n v="1"/>
    <x v="0"/>
    <x v="1"/>
    <n v="0"/>
    <n v="1"/>
    <n v="0"/>
    <n v="0"/>
    <n v="0"/>
    <n v="165"/>
  </r>
  <r>
    <x v="30"/>
    <n v="0"/>
    <n v="1"/>
    <x v="14"/>
    <x v="146"/>
    <n v="0"/>
    <n v="1"/>
    <x v="77"/>
    <n v="0"/>
    <n v="0"/>
    <n v="2"/>
    <n v="2"/>
    <n v="2"/>
    <n v="1"/>
    <x v="1"/>
    <x v="2"/>
    <n v="1"/>
    <n v="1"/>
    <n v="1"/>
    <n v="0"/>
    <n v="0"/>
    <n v="165"/>
  </r>
  <r>
    <x v="33"/>
    <n v="0"/>
    <n v="2"/>
    <x v="39"/>
    <x v="126"/>
    <n v="0"/>
    <n v="1"/>
    <x v="77"/>
    <n v="0"/>
    <n v="0"/>
    <n v="2"/>
    <n v="0"/>
    <n v="2"/>
    <n v="1"/>
    <x v="1"/>
    <x v="1"/>
    <n v="0"/>
    <n v="1"/>
    <n v="0"/>
    <n v="0"/>
    <n v="0"/>
    <n v="165"/>
  </r>
  <r>
    <x v="17"/>
    <n v="1"/>
    <n v="2"/>
    <x v="4"/>
    <x v="88"/>
    <n v="0"/>
    <n v="1"/>
    <x v="77"/>
    <n v="0"/>
    <n v="0"/>
    <n v="2"/>
    <n v="0"/>
    <n v="2"/>
    <n v="1"/>
    <x v="0"/>
    <x v="1"/>
    <n v="1"/>
    <n v="1"/>
    <n v="1"/>
    <n v="1"/>
    <n v="1"/>
    <n v="165"/>
  </r>
  <r>
    <x v="32"/>
    <n v="1"/>
    <n v="1"/>
    <x v="4"/>
    <x v="83"/>
    <n v="0"/>
    <n v="0"/>
    <x v="78"/>
    <n v="0"/>
    <n v="0.2"/>
    <n v="1"/>
    <n v="0"/>
    <n v="2"/>
    <n v="1"/>
    <x v="0"/>
    <x v="2"/>
    <n v="1"/>
    <n v="1"/>
    <n v="1"/>
    <n v="1"/>
    <n v="0"/>
    <n v="165"/>
  </r>
  <r>
    <x v="34"/>
    <n v="1"/>
    <n v="2"/>
    <x v="14"/>
    <x v="105"/>
    <n v="0"/>
    <n v="0"/>
    <x v="78"/>
    <n v="0"/>
    <n v="0"/>
    <n v="2"/>
    <n v="0"/>
    <n v="2"/>
    <n v="1"/>
    <x v="0"/>
    <x v="1"/>
    <n v="1"/>
    <n v="1"/>
    <n v="1"/>
    <n v="1"/>
    <n v="1"/>
    <n v="165"/>
  </r>
  <r>
    <x v="18"/>
    <n v="1"/>
    <n v="0"/>
    <x v="42"/>
    <x v="35"/>
    <n v="0"/>
    <n v="1"/>
    <x v="79"/>
    <n v="0"/>
    <n v="1.2"/>
    <n v="1"/>
    <n v="0"/>
    <n v="2"/>
    <n v="1"/>
    <x v="0"/>
    <x v="0"/>
    <n v="0"/>
    <n v="1"/>
    <n v="0"/>
    <n v="0"/>
    <n v="0"/>
    <n v="165"/>
  </r>
  <r>
    <x v="13"/>
    <n v="1"/>
    <n v="0"/>
    <x v="1"/>
    <x v="78"/>
    <n v="0"/>
    <n v="1"/>
    <x v="79"/>
    <n v="0"/>
    <n v="0"/>
    <n v="2"/>
    <n v="0"/>
    <n v="3"/>
    <n v="0"/>
    <x v="0"/>
    <x v="0"/>
    <n v="1"/>
    <n v="0"/>
    <n v="0"/>
    <n v="0"/>
    <n v="0"/>
    <n v="165"/>
  </r>
  <r>
    <x v="33"/>
    <n v="1"/>
    <n v="2"/>
    <x v="14"/>
    <x v="147"/>
    <n v="0"/>
    <n v="0"/>
    <x v="80"/>
    <n v="0"/>
    <n v="0"/>
    <n v="2"/>
    <n v="0"/>
    <n v="2"/>
    <n v="1"/>
    <x v="0"/>
    <x v="1"/>
    <n v="1"/>
    <n v="1"/>
    <n v="1"/>
    <n v="1"/>
    <n v="1"/>
    <n v="165"/>
  </r>
  <r>
    <x v="27"/>
    <n v="0"/>
    <n v="0"/>
    <x v="8"/>
    <x v="148"/>
    <n v="0"/>
    <n v="1"/>
    <x v="80"/>
    <n v="0"/>
    <n v="1.4"/>
    <n v="2"/>
    <n v="0"/>
    <n v="2"/>
    <n v="1"/>
    <x v="1"/>
    <x v="0"/>
    <n v="1"/>
    <n v="1"/>
    <n v="1"/>
    <n v="0"/>
    <n v="0"/>
    <n v="165"/>
  </r>
  <r>
    <x v="2"/>
    <n v="1"/>
    <n v="0"/>
    <x v="8"/>
    <x v="127"/>
    <n v="0"/>
    <n v="0"/>
    <x v="80"/>
    <n v="0"/>
    <n v="0"/>
    <n v="2"/>
    <n v="0"/>
    <n v="2"/>
    <n v="1"/>
    <x v="0"/>
    <x v="0"/>
    <n v="1"/>
    <n v="1"/>
    <n v="1"/>
    <n v="1"/>
    <n v="1"/>
    <n v="165"/>
  </r>
  <r>
    <x v="29"/>
    <n v="1"/>
    <n v="1"/>
    <x v="0"/>
    <x v="149"/>
    <n v="0"/>
    <n v="1"/>
    <x v="80"/>
    <n v="0"/>
    <n v="0"/>
    <n v="2"/>
    <n v="0"/>
    <n v="2"/>
    <n v="1"/>
    <x v="0"/>
    <x v="2"/>
    <n v="0"/>
    <n v="1"/>
    <n v="0"/>
    <n v="0"/>
    <n v="0"/>
    <n v="165"/>
  </r>
  <r>
    <x v="38"/>
    <n v="1"/>
    <n v="3"/>
    <x v="0"/>
    <x v="92"/>
    <n v="0"/>
    <n v="1"/>
    <x v="80"/>
    <n v="1"/>
    <n v="3.8"/>
    <n v="1"/>
    <n v="0"/>
    <n v="3"/>
    <n v="0"/>
    <x v="0"/>
    <x v="3"/>
    <n v="0"/>
    <n v="0"/>
    <n v="0"/>
    <n v="0"/>
    <n v="0"/>
    <n v="165"/>
  </r>
  <r>
    <x v="35"/>
    <n v="1"/>
    <n v="1"/>
    <x v="5"/>
    <x v="55"/>
    <n v="1"/>
    <n v="1"/>
    <x v="81"/>
    <n v="0"/>
    <n v="0"/>
    <n v="2"/>
    <n v="0"/>
    <n v="2"/>
    <n v="1"/>
    <x v="0"/>
    <x v="2"/>
    <n v="0"/>
    <n v="1"/>
    <n v="0"/>
    <n v="0"/>
    <n v="0"/>
    <n v="165"/>
  </r>
  <r>
    <x v="31"/>
    <n v="1"/>
    <n v="0"/>
    <x v="42"/>
    <x v="71"/>
    <n v="0"/>
    <n v="0"/>
    <x v="82"/>
    <n v="0"/>
    <n v="0"/>
    <n v="2"/>
    <n v="0"/>
    <n v="2"/>
    <n v="1"/>
    <x v="0"/>
    <x v="0"/>
    <n v="0"/>
    <n v="1"/>
    <n v="0"/>
    <n v="0"/>
    <n v="0"/>
    <n v="165"/>
  </r>
  <r>
    <x v="32"/>
    <n v="1"/>
    <n v="0"/>
    <x v="15"/>
    <x v="81"/>
    <n v="0"/>
    <n v="0"/>
    <x v="83"/>
    <n v="0"/>
    <n v="0"/>
    <n v="2"/>
    <n v="0"/>
    <n v="2"/>
    <n v="1"/>
    <x v="0"/>
    <x v="0"/>
    <n v="0"/>
    <n v="1"/>
    <n v="0"/>
    <n v="0"/>
    <n v="0"/>
    <n v="165"/>
  </r>
  <r>
    <x v="22"/>
    <n v="1"/>
    <n v="0"/>
    <x v="14"/>
    <x v="75"/>
    <n v="0"/>
    <n v="0"/>
    <x v="83"/>
    <n v="1"/>
    <n v="0"/>
    <n v="2"/>
    <n v="0"/>
    <n v="2"/>
    <n v="1"/>
    <x v="0"/>
    <x v="0"/>
    <n v="1"/>
    <n v="1"/>
    <n v="1"/>
    <n v="1"/>
    <n v="1"/>
    <n v="165"/>
  </r>
  <r>
    <x v="37"/>
    <n v="1"/>
    <n v="2"/>
    <x v="4"/>
    <x v="124"/>
    <n v="0"/>
    <n v="1"/>
    <x v="84"/>
    <n v="0"/>
    <n v="3.5"/>
    <n v="0"/>
    <n v="0"/>
    <n v="2"/>
    <n v="1"/>
    <x v="0"/>
    <x v="1"/>
    <n v="1"/>
    <n v="1"/>
    <n v="1"/>
    <n v="1"/>
    <n v="0"/>
    <n v="165"/>
  </r>
  <r>
    <x v="34"/>
    <n v="1"/>
    <n v="1"/>
    <x v="4"/>
    <x v="72"/>
    <n v="0"/>
    <n v="0"/>
    <x v="85"/>
    <n v="0"/>
    <n v="0"/>
    <n v="2"/>
    <n v="0"/>
    <n v="2"/>
    <n v="1"/>
    <x v="0"/>
    <x v="2"/>
    <n v="1"/>
    <n v="1"/>
    <n v="1"/>
    <n v="1"/>
    <n v="1"/>
    <n v="165"/>
  </r>
  <r>
    <x v="35"/>
    <n v="1"/>
    <n v="3"/>
    <x v="25"/>
    <x v="150"/>
    <n v="0"/>
    <n v="0"/>
    <x v="86"/>
    <n v="0"/>
    <n v="0"/>
    <n v="1"/>
    <n v="0"/>
    <n v="1"/>
    <n v="1"/>
    <x v="0"/>
    <x v="3"/>
    <n v="0"/>
    <n v="1"/>
    <n v="0"/>
    <n v="0"/>
    <n v="0"/>
    <n v="165"/>
  </r>
  <r>
    <x v="39"/>
    <n v="0"/>
    <n v="1"/>
    <x v="25"/>
    <x v="151"/>
    <n v="0"/>
    <n v="1"/>
    <x v="87"/>
    <n v="0"/>
    <n v="0.7"/>
    <n v="2"/>
    <n v="0"/>
    <n v="2"/>
    <n v="1"/>
    <x v="1"/>
    <x v="2"/>
    <n v="0"/>
    <n v="1"/>
    <n v="0"/>
    <n v="0"/>
    <n v="0"/>
    <n v="165"/>
  </r>
  <r>
    <x v="21"/>
    <n v="1"/>
    <n v="2"/>
    <x v="0"/>
    <x v="108"/>
    <n v="1"/>
    <n v="1"/>
    <x v="88"/>
    <n v="0"/>
    <n v="0.8"/>
    <n v="0"/>
    <n v="0"/>
    <n v="3"/>
    <n v="1"/>
    <x v="0"/>
    <x v="1"/>
    <n v="0"/>
    <n v="1"/>
    <n v="0"/>
    <n v="0"/>
    <n v="0"/>
    <n v="165"/>
  </r>
  <r>
    <x v="9"/>
    <n v="1"/>
    <n v="1"/>
    <x v="48"/>
    <x v="9"/>
    <n v="0"/>
    <n v="0"/>
    <x v="89"/>
    <n v="0"/>
    <n v="0"/>
    <n v="2"/>
    <n v="1"/>
    <n v="3"/>
    <n v="0"/>
    <x v="0"/>
    <x v="2"/>
    <n v="1"/>
    <n v="0"/>
    <n v="0"/>
    <n v="0"/>
    <n v="0"/>
    <n v="165"/>
  </r>
  <r>
    <x v="40"/>
    <n v="1"/>
    <n v="1"/>
    <x v="4"/>
    <x v="82"/>
    <n v="0"/>
    <n v="0"/>
    <x v="90"/>
    <n v="0"/>
    <n v="0"/>
    <n v="2"/>
    <n v="0"/>
    <n v="2"/>
    <n v="1"/>
    <x v="0"/>
    <x v="2"/>
    <n v="1"/>
    <n v="1"/>
    <n v="1"/>
    <n v="1"/>
    <n v="1"/>
    <n v="16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58434A-A056-47B8-A1D8-D4269B1BA39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C9" firstHeaderRow="0" firstDataRow="1" firstDataCol="1"/>
  <pivotFields count="22">
    <pivotField axis="axisRow"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pivotField showAll="0"/>
    <pivotField showAll="0"/>
    <pivotField showAll="0"/>
    <pivotField showAll="0"/>
  </pivotFields>
  <rowFields count="1">
    <field x="0"/>
  </rowFields>
  <rowItems count="6">
    <i>
      <x v="1"/>
    </i>
    <i>
      <x v="2"/>
    </i>
    <i>
      <x v="3"/>
    </i>
    <i>
      <x v="4"/>
    </i>
    <i>
      <x v="5"/>
    </i>
    <i t="grand">
      <x/>
    </i>
  </rowItems>
  <colFields count="1">
    <field x="-2"/>
  </colFields>
  <colItems count="2">
    <i>
      <x/>
    </i>
    <i i="1">
      <x v="1"/>
    </i>
  </colItems>
  <dataFields count="2">
    <dataField name="Sum of target" fld="13" baseField="0" baseItem="0"/>
    <dataField name="Count of age" fld="0" subtotal="count"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0" format="7">
      <pivotArea type="data" outline="0" fieldPosition="0">
        <references count="2">
          <reference field="4294967294" count="1" selected="0">
            <x v="1"/>
          </reference>
          <reference field="0" count="1" selected="0">
            <x v="1"/>
          </reference>
        </references>
      </pivotArea>
    </chartFormat>
    <chartFormat chart="0" format="8">
      <pivotArea type="data" outline="0" fieldPosition="0">
        <references count="2">
          <reference field="4294967294" count="1" selected="0">
            <x v="1"/>
          </reference>
          <reference field="0" count="1" selected="0">
            <x v="2"/>
          </reference>
        </references>
      </pivotArea>
    </chartFormat>
    <chartFormat chart="0" format="9">
      <pivotArea type="data" outline="0" fieldPosition="0">
        <references count="2">
          <reference field="4294967294" count="1" selected="0">
            <x v="1"/>
          </reference>
          <reference field="0" count="1" selected="0">
            <x v="3"/>
          </reference>
        </references>
      </pivotArea>
    </chartFormat>
    <chartFormat chart="0" format="10">
      <pivotArea type="data" outline="0" fieldPosition="0">
        <references count="2">
          <reference field="4294967294" count="1" selected="0">
            <x v="1"/>
          </reference>
          <reference field="0" count="1" selected="0">
            <x v="4"/>
          </reference>
        </references>
      </pivotArea>
    </chartFormat>
    <chartFormat chart="0" format="11">
      <pivotArea type="data" outline="0" fieldPosition="0">
        <references count="2">
          <reference field="4294967294" count="1" selected="0">
            <x v="1"/>
          </reference>
          <reference field="0"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pivotArea type="data" outline="0" fieldPosition="0">
        <references count="2">
          <reference field="4294967294" count="1" selected="0">
            <x v="0"/>
          </reference>
          <reference field="0" count="1" selected="0">
            <x v="1"/>
          </reference>
        </references>
      </pivotArea>
    </chartFormat>
    <chartFormat chart="5" format="26">
      <pivotArea type="data" outline="0" fieldPosition="0">
        <references count="2">
          <reference field="4294967294" count="1" selected="0">
            <x v="0"/>
          </reference>
          <reference field="0" count="1" selected="0">
            <x v="2"/>
          </reference>
        </references>
      </pivotArea>
    </chartFormat>
    <chartFormat chart="5" format="27">
      <pivotArea type="data" outline="0" fieldPosition="0">
        <references count="2">
          <reference field="4294967294" count="1" selected="0">
            <x v="0"/>
          </reference>
          <reference field="0" count="1" selected="0">
            <x v="3"/>
          </reference>
        </references>
      </pivotArea>
    </chartFormat>
    <chartFormat chart="5" format="28">
      <pivotArea type="data" outline="0" fieldPosition="0">
        <references count="2">
          <reference field="4294967294" count="1" selected="0">
            <x v="0"/>
          </reference>
          <reference field="0" count="1" selected="0">
            <x v="4"/>
          </reference>
        </references>
      </pivotArea>
    </chartFormat>
    <chartFormat chart="5" format="29">
      <pivotArea type="data" outline="0" fieldPosition="0">
        <references count="2">
          <reference field="4294967294" count="1" selected="0">
            <x v="0"/>
          </reference>
          <reference field="0" count="1" selected="0">
            <x v="5"/>
          </reference>
        </references>
      </pivotArea>
    </chartFormat>
    <chartFormat chart="5" format="30" series="1">
      <pivotArea type="data" outline="0" fieldPosition="0">
        <references count="1">
          <reference field="4294967294" count="1" selected="0">
            <x v="1"/>
          </reference>
        </references>
      </pivotArea>
    </chartFormat>
    <chartFormat chart="5" format="31">
      <pivotArea type="data" outline="0" fieldPosition="0">
        <references count="2">
          <reference field="4294967294" count="1" selected="0">
            <x v="1"/>
          </reference>
          <reference field="0" count="1" selected="0">
            <x v="1"/>
          </reference>
        </references>
      </pivotArea>
    </chartFormat>
    <chartFormat chart="5" format="32">
      <pivotArea type="data" outline="0" fieldPosition="0">
        <references count="2">
          <reference field="4294967294" count="1" selected="0">
            <x v="1"/>
          </reference>
          <reference field="0" count="1" selected="0">
            <x v="2"/>
          </reference>
        </references>
      </pivotArea>
    </chartFormat>
    <chartFormat chart="5" format="33">
      <pivotArea type="data" outline="0" fieldPosition="0">
        <references count="2">
          <reference field="4294967294" count="1" selected="0">
            <x v="1"/>
          </reference>
          <reference field="0" count="1" selected="0">
            <x v="3"/>
          </reference>
        </references>
      </pivotArea>
    </chartFormat>
    <chartFormat chart="5" format="34">
      <pivotArea type="data" outline="0" fieldPosition="0">
        <references count="2">
          <reference field="4294967294" count="1" selected="0">
            <x v="1"/>
          </reference>
          <reference field="0" count="1" selected="0">
            <x v="4"/>
          </reference>
        </references>
      </pivotArea>
    </chartFormat>
    <chartFormat chart="5" format="35">
      <pivotArea type="data" outline="0" fieldPosition="0">
        <references count="2">
          <reference field="4294967294" count="1" selected="0">
            <x v="1"/>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AEE22B-BE9D-41A0-BF25-264CF1E99A0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6" firstHeaderRow="1" firstDataRow="1" firstDataCol="1"/>
  <pivotFields count="22">
    <pivotField showAll="0">
      <items count="8">
        <item x="0"/>
        <item x="1"/>
        <item x="2"/>
        <item x="3"/>
        <item x="4"/>
        <item x="5"/>
        <item x="6"/>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14"/>
  </rowFields>
  <rowItems count="3">
    <i>
      <x v="1"/>
    </i>
    <i>
      <x/>
    </i>
    <i t="grand">
      <x/>
    </i>
  </rowItems>
  <colItems count="1">
    <i/>
  </colItems>
  <dataFields count="1">
    <dataField name="Sum of target" fld="13"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A353BE-0C80-4343-9BAC-4A3AE960A7B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22">
    <pivotField showAll="0">
      <items count="8">
        <item x="0"/>
        <item x="1"/>
        <item x="2"/>
        <item x="3"/>
        <item x="4"/>
        <item x="5"/>
        <item x="6"/>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axis="axisRow" showAll="0" sortType="a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15"/>
  </rowFields>
  <rowItems count="5">
    <i>
      <x/>
    </i>
    <i>
      <x v="3"/>
    </i>
    <i>
      <x v="1"/>
    </i>
    <i>
      <x v="2"/>
    </i>
    <i t="grand">
      <x/>
    </i>
  </rowItems>
  <colItems count="1">
    <i/>
  </colItems>
  <dataFields count="1">
    <dataField name="Sum of target" fld="13"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E24313-5375-42F5-8DB0-E460E11AD8D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9" firstHeaderRow="1" firstDataRow="1" firstDataCol="1"/>
  <pivotFields count="22">
    <pivotField showAll="0">
      <items count="8">
        <item x="0"/>
        <item x="1"/>
        <item x="2"/>
        <item x="3"/>
        <item x="4"/>
        <item x="5"/>
        <item x="6"/>
        <item t="default"/>
      </items>
    </pivotField>
    <pivotField showAll="0"/>
    <pivotField showAll="0"/>
    <pivotField showAll="0"/>
    <pivotField showAll="0"/>
    <pivotField showAll="0"/>
    <pivotField showAll="0"/>
    <pivotField axis="axisRow" showAll="0" measureFilter="1">
      <items count="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t="default"/>
      </items>
    </pivotField>
    <pivotField showAll="0"/>
    <pivotField showAll="0"/>
    <pivotField showAll="0"/>
    <pivotField showAll="0"/>
    <pivotField showAll="0"/>
    <pivotField dataField="1" showAll="0"/>
    <pivotField showAll="0">
      <items count="3">
        <item x="1"/>
        <item x="0"/>
        <item t="default"/>
      </items>
    </pivotField>
    <pivotField showAll="0"/>
    <pivotField showAll="0"/>
    <pivotField showAll="0"/>
    <pivotField showAll="0"/>
    <pivotField showAll="0"/>
    <pivotField showAll="0"/>
    <pivotField showAll="0"/>
  </pivotFields>
  <rowFields count="1">
    <field x="7"/>
  </rowFields>
  <rowItems count="6">
    <i>
      <x v="51"/>
    </i>
    <i>
      <x v="61"/>
    </i>
    <i>
      <x v="62"/>
    </i>
    <i>
      <x v="71"/>
    </i>
    <i>
      <x v="72"/>
    </i>
    <i t="grand">
      <x/>
    </i>
  </rowItems>
  <colItems count="1">
    <i/>
  </colItems>
  <dataFields count="1">
    <dataField name="Sum of target" fld="13"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A66E00-EE2B-423D-82B7-A6669EC3972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22">
    <pivotField showAll="0">
      <items count="8">
        <item x="0"/>
        <item x="1"/>
        <item x="2"/>
        <item x="3"/>
        <item x="4"/>
        <item x="5"/>
        <item x="6"/>
        <item t="default"/>
      </items>
    </pivotField>
    <pivotField showAll="0"/>
    <pivotField showAll="0"/>
    <pivotField axis="axisRow" showAll="0" measureFilter="1">
      <items count="50">
        <item x="39"/>
        <item x="18"/>
        <item x="41"/>
        <item x="17"/>
        <item x="38"/>
        <item x="40"/>
        <item x="31"/>
        <item x="36"/>
        <item x="10"/>
        <item x="21"/>
        <item x="30"/>
        <item x="42"/>
        <item x="43"/>
        <item x="25"/>
        <item x="0"/>
        <item x="15"/>
        <item x="3"/>
        <item x="11"/>
        <item x="20"/>
        <item x="28"/>
        <item x="5"/>
        <item x="46"/>
        <item x="4"/>
        <item x="6"/>
        <item x="35"/>
        <item x="26"/>
        <item x="23"/>
        <item x="8"/>
        <item x="14"/>
        <item x="12"/>
        <item x="24"/>
        <item x="22"/>
        <item x="7"/>
        <item x="44"/>
        <item x="13"/>
        <item x="1"/>
        <item x="47"/>
        <item x="37"/>
        <item x="32"/>
        <item x="9"/>
        <item x="2"/>
        <item x="19"/>
        <item x="29"/>
        <item x="45"/>
        <item x="33"/>
        <item x="34"/>
        <item x="16"/>
        <item x="48"/>
        <item x="27"/>
        <item t="default"/>
      </items>
    </pivotField>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pivotField showAll="0"/>
    <pivotField showAll="0"/>
    <pivotField showAll="0"/>
    <pivotField showAll="0"/>
  </pivotFields>
  <rowFields count="1">
    <field x="3"/>
  </rowFields>
  <rowItems count="6">
    <i>
      <x v="14"/>
    </i>
    <i>
      <x v="22"/>
    </i>
    <i>
      <x v="27"/>
    </i>
    <i>
      <x v="28"/>
    </i>
    <i>
      <x v="34"/>
    </i>
    <i t="grand">
      <x/>
    </i>
  </rowItems>
  <colItems count="1">
    <i/>
  </colItems>
  <dataFields count="1">
    <dataField name="Sum of target" fld="13" baseField="0" baseItem="0"/>
  </dataFields>
  <chartFormats count="5">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2265FF-2AA7-4C1E-B847-6EBC6E16CD1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0" firstHeaderRow="1" firstDataRow="1" firstDataCol="1"/>
  <pivotFields count="22">
    <pivotField showAll="0">
      <items count="8">
        <item x="0"/>
        <item x="1"/>
        <item x="2"/>
        <item x="3"/>
        <item x="4"/>
        <item x="5"/>
        <item x="6"/>
        <item t="default"/>
      </items>
    </pivotField>
    <pivotField showAll="0"/>
    <pivotField showAll="0"/>
    <pivotField showAll="0"/>
    <pivotField axis="axisRow" showAll="0" measureFilter="1">
      <items count="153">
        <item x="141"/>
        <item x="27"/>
        <item x="145"/>
        <item x="41"/>
        <item x="149"/>
        <item x="66"/>
        <item x="91"/>
        <item x="45"/>
        <item x="23"/>
        <item x="143"/>
        <item x="89"/>
        <item x="119"/>
        <item x="42"/>
        <item x="37"/>
        <item x="2"/>
        <item x="31"/>
        <item x="4"/>
        <item x="97"/>
        <item x="144"/>
        <item x="148"/>
        <item x="10"/>
        <item x="113"/>
        <item x="150"/>
        <item x="90"/>
        <item x="22"/>
        <item x="95"/>
        <item x="76"/>
        <item x="146"/>
        <item x="131"/>
        <item x="28"/>
        <item x="53"/>
        <item x="126"/>
        <item x="49"/>
        <item x="47"/>
        <item x="58"/>
        <item x="82"/>
        <item x="55"/>
        <item x="14"/>
        <item x="68"/>
        <item x="69"/>
        <item x="130"/>
        <item x="151"/>
        <item x="26"/>
        <item x="61"/>
        <item x="40"/>
        <item x="118"/>
        <item x="136"/>
        <item x="25"/>
        <item x="19"/>
        <item x="11"/>
        <item x="72"/>
        <item x="87"/>
        <item x="133"/>
        <item x="81"/>
        <item x="78"/>
        <item x="142"/>
        <item x="24"/>
        <item x="17"/>
        <item x="107"/>
        <item x="67"/>
        <item x="52"/>
        <item x="123"/>
        <item x="92"/>
        <item x="134"/>
        <item x="94"/>
        <item x="56"/>
        <item x="105"/>
        <item x="102"/>
        <item x="0"/>
        <item x="48"/>
        <item x="108"/>
        <item x="38"/>
        <item x="96"/>
        <item x="51"/>
        <item x="111"/>
        <item x="83"/>
        <item x="5"/>
        <item x="85"/>
        <item x="34"/>
        <item x="84"/>
        <item x="124"/>
        <item x="140"/>
        <item x="88"/>
        <item x="50"/>
        <item x="125"/>
        <item x="79"/>
        <item x="114"/>
        <item x="74"/>
        <item x="54"/>
        <item x="71"/>
        <item x="75"/>
        <item x="112"/>
        <item x="6"/>
        <item x="62"/>
        <item x="33"/>
        <item x="15"/>
        <item x="7"/>
        <item x="121"/>
        <item x="21"/>
        <item x="18"/>
        <item x="127"/>
        <item x="44"/>
        <item x="1"/>
        <item x="30"/>
        <item x="20"/>
        <item x="101"/>
        <item x="103"/>
        <item x="8"/>
        <item x="3"/>
        <item x="9"/>
        <item x="122"/>
        <item x="13"/>
        <item x="64"/>
        <item x="39"/>
        <item x="106"/>
        <item x="137"/>
        <item x="12"/>
        <item x="117"/>
        <item x="36"/>
        <item x="43"/>
        <item x="138"/>
        <item x="100"/>
        <item x="35"/>
        <item x="128"/>
        <item x="80"/>
        <item x="132"/>
        <item x="93"/>
        <item x="77"/>
        <item x="57"/>
        <item x="32"/>
        <item x="63"/>
        <item x="46"/>
        <item x="73"/>
        <item x="104"/>
        <item x="147"/>
        <item x="16"/>
        <item x="109"/>
        <item x="70"/>
        <item x="29"/>
        <item x="60"/>
        <item x="86"/>
        <item x="139"/>
        <item x="65"/>
        <item x="135"/>
        <item x="59"/>
        <item x="129"/>
        <item x="99"/>
        <item x="116"/>
        <item x="110"/>
        <item x="98"/>
        <item x="115"/>
        <item x="120"/>
        <item t="default"/>
      </items>
    </pivotField>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pivotField showAll="0"/>
    <pivotField showAll="0"/>
    <pivotField showAll="0"/>
    <pivotField showAll="0"/>
  </pivotFields>
  <rowFields count="1">
    <field x="4"/>
  </rowFields>
  <rowItems count="7">
    <i>
      <x v="29"/>
    </i>
    <i>
      <x v="35"/>
    </i>
    <i>
      <x v="42"/>
    </i>
    <i>
      <x v="57"/>
    </i>
    <i>
      <x v="65"/>
    </i>
    <i>
      <x v="70"/>
    </i>
    <i t="grand">
      <x/>
    </i>
  </rowItems>
  <colItems count="1">
    <i/>
  </colItems>
  <dataFields count="1">
    <dataField name="Sum of target" fld="13" baseField="0" baseItem="0"/>
  </dataFields>
  <chartFormats count="3">
    <chartFormat chart="2"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7C8730F-8C9D-4195-9C78-5CE6031246C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C9" firstHeaderRow="0" firstDataRow="1" firstDataCol="1"/>
  <pivotFields count="22">
    <pivotField axis="axisRow"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s>
  <rowFields count="1">
    <field x="0"/>
  </rowFields>
  <rowItems count="6">
    <i>
      <x v="1"/>
    </i>
    <i>
      <x v="2"/>
    </i>
    <i>
      <x v="3"/>
    </i>
    <i>
      <x v="4"/>
    </i>
    <i>
      <x v="5"/>
    </i>
    <i t="grand">
      <x/>
    </i>
  </rowItems>
  <colFields count="1">
    <field x="-2"/>
  </colFields>
  <colItems count="2">
    <i>
      <x/>
    </i>
    <i i="1">
      <x v="1"/>
    </i>
  </colItems>
  <dataFields count="2">
    <dataField name="Total Patient" fld="0" subtotal="count" baseField="0" baseItem="1"/>
    <dataField name="Chest Pain associated with Total Patient" fld="17" baseField="0" baseItem="1"/>
  </dataField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2AC043-64F1-4DE8-992F-464BC1019B4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C8" firstHeaderRow="0" firstDataRow="1" firstDataCol="1"/>
  <pivotFields count="22">
    <pivotField axis="axisRow"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dataField="1" showAll="0"/>
    <pivotField showAll="0"/>
    <pivotField showAll="0"/>
    <pivotField showAll="0"/>
  </pivotFields>
  <rowFields count="1">
    <field x="0"/>
  </rowFields>
  <rowItems count="6">
    <i>
      <x v="1"/>
    </i>
    <i>
      <x v="2"/>
    </i>
    <i>
      <x v="3"/>
    </i>
    <i>
      <x v="4"/>
    </i>
    <i>
      <x v="5"/>
    </i>
    <i t="grand">
      <x/>
    </i>
  </rowItems>
  <colFields count="1">
    <field x="-2"/>
  </colFields>
  <colItems count="2">
    <i>
      <x/>
    </i>
    <i i="1">
      <x v="1"/>
    </i>
  </colItems>
  <dataFields count="2">
    <dataField name="Total Patient" fld="0" subtotal="count" baseField="0" baseItem="1"/>
    <dataField name="Risk Factor Blood Pressure associated with Total Patient" fld="18" baseField="0" baseItem="1"/>
  </dataFields>
  <chartFormats count="4">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3440FF-1038-4E0F-B6BE-DCF000C9950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pivotFields count="22">
    <pivotField axis="axisRow"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dataField="1" showAll="0"/>
    <pivotField showAll="0"/>
    <pivotField showAll="0"/>
  </pivotFields>
  <rowFields count="1">
    <field x="0"/>
  </rowFields>
  <rowItems count="6">
    <i>
      <x v="1"/>
    </i>
    <i>
      <x v="2"/>
    </i>
    <i>
      <x v="3"/>
    </i>
    <i>
      <x v="4"/>
    </i>
    <i>
      <x v="5"/>
    </i>
    <i t="grand">
      <x/>
    </i>
  </rowItems>
  <colFields count="1">
    <field x="-2"/>
  </colFields>
  <colItems count="2">
    <i>
      <x/>
    </i>
    <i i="1">
      <x v="1"/>
    </i>
  </colItems>
  <dataFields count="2">
    <dataField name="Total Patient" fld="0" subtotal="count" baseField="0" baseItem="1"/>
    <dataField name="Risk Factor Cholestrol associated with Total Patient" fld="19" baseField="0" baseItem="1"/>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1715152-372E-4EC5-9C6A-73EB552B774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pivotFields count="22">
    <pivotField axis="axisRow"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dataField="1" showAll="0"/>
    <pivotField showAll="0"/>
  </pivotFields>
  <rowFields count="1">
    <field x="0"/>
  </rowFields>
  <rowItems count="6">
    <i>
      <x v="1"/>
    </i>
    <i>
      <x v="2"/>
    </i>
    <i>
      <x v="3"/>
    </i>
    <i>
      <x v="4"/>
    </i>
    <i>
      <x v="5"/>
    </i>
    <i t="grand">
      <x/>
    </i>
  </rowItems>
  <colFields count="1">
    <field x="-2"/>
  </colFields>
  <colItems count="2">
    <i>
      <x/>
    </i>
    <i i="1">
      <x v="1"/>
    </i>
  </colItems>
  <dataFields count="2">
    <dataField name="Total Patient" fld="0" subtotal="count" baseField="0" baseItem="1"/>
    <dataField name="Slope Indicator associated with Total Patient" fld="20" baseField="0" baseItem="1"/>
  </dataFields>
  <chartFormats count="4">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1" xr10:uid="{864F853C-91AB-43EC-AD7C-9A65477BBDD0}" sourceName="age">
  <pivotTables>
    <pivotTable tabId="11" name="PivotTable1"/>
    <pivotTable tabId="13" name="PivotTable2"/>
    <pivotTable tabId="14" name="PivotTable3"/>
    <pivotTable tabId="15" name="PivotTable4"/>
    <pivotTable tabId="9" name="PivotTable6"/>
    <pivotTable tabId="7" name="PivotTable5"/>
    <pivotTable tabId="6" name="PivotTable4"/>
    <pivotTable tabId="5" name="PivotTable3"/>
    <pivotTable tabId="4" name="PivotTable2"/>
    <pivotTable tabId="3" name="PivotTable1"/>
  </pivotTables>
  <data>
    <tabular pivotCacheId="870318109">
      <items count="7">
        <i x="1" s="1"/>
        <i x="2" s="1"/>
        <i x="3" s="1"/>
        <i x="4" s="1"/>
        <i x="5" s="1"/>
        <i x="0" s="1" nd="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0FA600C3-057E-4CBF-8F48-2560677A1A5B}" sourceName="Gender">
  <pivotTables>
    <pivotTable tabId="11" name="PivotTable1"/>
    <pivotTable tabId="13" name="PivotTable2"/>
    <pivotTable tabId="14" name="PivotTable3"/>
    <pivotTable tabId="15" name="PivotTable4"/>
    <pivotTable tabId="9" name="PivotTable6"/>
    <pivotTable tabId="7" name="PivotTable5"/>
    <pivotTable tabId="6" name="PivotTable4"/>
    <pivotTable tabId="5" name="PivotTable3"/>
    <pivotTable tabId="4" name="PivotTable2"/>
    <pivotTable tabId="3" name="PivotTable1"/>
  </pivotTables>
  <data>
    <tabular pivotCacheId="87031810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731BAE47-27BD-4C85-B01F-478B1D3D9A1A}" cache="Slicer_age1" caption="age" rowHeight="241300"/>
  <slicer name="Gender" xr10:uid="{DE936D82-3FEC-4979-9556-8999625681C9}" cache="Slicer_Gender1" caption="Gend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1" xr10:uid="{40DF0505-D948-4919-827F-8217580840FB}" cache="Slicer_age1" caption="age" showCaption="0" style="SlicerStyleLight2" rowHeight="241300"/>
  <slicer name="Gender 1" xr10:uid="{A36C2423-1293-40D6-B5A7-71DD597445CA}" cache="Slicer_Gender1" caption="Gender" showCaption="0" style="SlicerStyleLight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3" xr10:uid="{E960F0FB-1E3C-4C32-9396-E8AE42F30280}" cache="Slicer_age1" caption="age" startItem="3" showCaption="0" style="SlicerStyleLight2" rowHeight="241300"/>
  <slicer name="Gender 3" xr10:uid="{875951AA-F1DB-45FE-9D0D-252BF40A2DBD}" cache="Slicer_Gender1" caption="Gender" showCaption="0" style="SlicerStyleLight2" rowHeight="252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2" xr10:uid="{A2A9F582-7AA5-4774-9302-88F52C44E782}" cache="Slicer_age1" caption="age" rowHeight="241300"/>
  <slicer name="Gender 2" xr10:uid="{8433568C-459E-48A5-B374-28F6EB5588E5}" cache="Slicer_Gender1" caption="Gen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581E4E-F404-400C-B0C6-2DB46A77C570}" name="Table1" displayName="Table1" ref="A1:V304" totalsRowShown="0">
  <autoFilter ref="A1:V304" xr:uid="{53581E4E-F404-400C-B0C6-2DB46A77C570}"/>
  <sortState xmlns:xlrd2="http://schemas.microsoft.com/office/spreadsheetml/2017/richdata2" ref="A2:S304">
    <sortCondition ref="H2:H304"/>
  </sortState>
  <tableColumns count="22">
    <tableColumn id="1" xr3:uid="{7D9F5C6B-C377-4CD7-ACD1-72CFA6F7CB66}" name="age"/>
    <tableColumn id="2" xr3:uid="{BB196C13-1A78-4601-AFC8-1148143BD983}" name="sex"/>
    <tableColumn id="3" xr3:uid="{DFF47F36-D248-4006-90E0-2BA450BF1AB2}" name="cp"/>
    <tableColumn id="4" xr3:uid="{6B7B6718-707F-4957-90AD-BA026170614E}" name="trestbps"/>
    <tableColumn id="5" xr3:uid="{F76BA155-AD41-4ABD-A111-9A9B3F916529}" name="chol"/>
    <tableColumn id="6" xr3:uid="{DD38ED08-C599-4B39-8703-9457BE6D2B5F}" name="fbs"/>
    <tableColumn id="7" xr3:uid="{06AD5ABB-EB05-403F-B194-0A4AFBB5FDC5}" name="restecg"/>
    <tableColumn id="8" xr3:uid="{C32A0CA1-B086-44E2-8D27-3BB90C59D5D3}" name="thalach"/>
    <tableColumn id="9" xr3:uid="{DE07D6A4-CD37-4FB5-80CA-6CB4020B1980}" name="exang"/>
    <tableColumn id="10" xr3:uid="{0B441B66-6C1B-4F56-B287-36136D1D4377}" name="oldpeak"/>
    <tableColumn id="11" xr3:uid="{F16BB226-59CB-46D1-BB2D-CDA826A07345}" name="slope"/>
    <tableColumn id="12" xr3:uid="{265BC6C6-50DA-4E6B-A7FA-DF1260CFD324}" name="ca"/>
    <tableColumn id="13" xr3:uid="{8B6CCD95-C09D-4B26-9215-414498CB4940}" name="thal"/>
    <tableColumn id="14" xr3:uid="{343AAA46-EDEF-4F17-8A36-302B6DB2FB73}" name="target"/>
    <tableColumn id="15" xr3:uid="{093C1242-588C-4E7C-BDD9-B194600A5F45}" name="Gender" dataDxfId="12">
      <calculatedColumnFormula>IF(Table1[[#This Row],[sex]]=1,"Male","Female")</calculatedColumnFormula>
    </tableColumn>
    <tableColumn id="16" xr3:uid="{AD2161EC-1E97-4480-AC4C-9064A2E39A4D}" name="Chest Pain" dataDxfId="11">
      <calculatedColumnFormula>IF(Table1[[#This Row],[cp]]=0,"Typical Angina",IF(Table1[[#This Row],[cp]]=1,"Atypical Angina",IF(Table1[[#This Row],[cp]]=2,"Non-Anginal Pain","Asymptomatic")))</calculatedColumnFormula>
    </tableColumn>
    <tableColumn id="17" xr3:uid="{5CE7DECF-55CB-49BE-BBA1-420C002FCE7F}" name="Resting Blood Pressure" dataDxfId="10">
      <calculatedColumnFormula>IF(Table1[[#This Row],[trestbps]]&gt;=130, 1, 0)</calculatedColumnFormula>
    </tableColumn>
    <tableColumn id="18" xr3:uid="{6006D3E1-F366-4B69-9035-58689D517EA9}" name="Chest Pain + Target" dataDxfId="9">
      <calculatedColumnFormula>IF(AND(Table1[[#This Row],[target]]=1,OR(Table1[[#This Row],[cp]]=0,Table1[[#This Row],[cp]]=1,Table1[[#This Row],[cp]]=2,Table1[[#This Row],[cp]])),1,0)</calculatedColumnFormula>
    </tableColumn>
    <tableColumn id="19" xr3:uid="{2F904DD0-D79C-45FD-AF7F-6B19A8437BE7}" name="Add BP" dataDxfId="8">
      <calculatedColumnFormula>IF(AND(Table1[[#This Row],[Chest Pain + Target]]=1,Table1[[#This Row],[trestbps]]&gt;=130),1,0)</calculatedColumnFormula>
    </tableColumn>
    <tableColumn id="20" xr3:uid="{4ED53712-4603-4B00-ACD0-5859DDEE7C28}" name="Add Cholestrol" dataDxfId="7">
      <calculatedColumnFormula>IF(AND(Table1[[#This Row],[Add BP]]=1,Table1[[#This Row],[chol]]&gt;=200),1,0)</calculatedColumnFormula>
    </tableColumn>
    <tableColumn id="21" xr3:uid="{60FC1D1B-6C1B-4500-BC68-8D28505BB74C}" name="Add Slope" dataDxfId="6">
      <calculatedColumnFormula>IF(AND(Table1[[#This Row],[Add Cholestrol]]=1,Table1[[#This Row],[slope]]&gt;=2),1,0)</calculatedColumnFormula>
    </tableColumn>
    <tableColumn id="22" xr3:uid="{B389A8B9-3714-4006-9079-9945FEBAC5F7}" name="Heart Target" dataDxfId="5">
      <calculatedColumnFormula>COUNTIFS(Table1[target],1)</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265737-F37C-4B10-AE50-1BC1735C7DAD}" name="Table4" displayName="Table4" ref="A5:C33" totalsRowShown="0" headerRowDxfId="1" dataDxfId="0" tableBorderDxfId="13">
  <tableColumns count="3">
    <tableColumn id="1" xr3:uid="{EB49DB6E-1BE9-4BEC-AA03-2826CC651AAA}" name="Variable" dataDxfId="4"/>
    <tableColumn id="2" xr3:uid="{CD9827EE-3F61-40E5-A081-662AB2F5E0ED}" name="Description" dataDxfId="3"/>
    <tableColumn id="3" xr3:uid="{92896569-24E5-45F7-9CA5-FF83E88BF65A}" name="Values/Range" dataDxfId="2"/>
  </tableColumns>
  <tableStyleInfo name="TableStyleMedium2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2.xml"/><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583E8-FF0E-4C99-AC6E-7EBCDEB69AC9}">
  <sheetPr codeName="Sheet1"/>
  <dimension ref="A1:V304"/>
  <sheetViews>
    <sheetView workbookViewId="0">
      <selection activeCell="K4" sqref="K4"/>
    </sheetView>
  </sheetViews>
  <sheetFormatPr defaultRowHeight="15" x14ac:dyDescent="0.25"/>
  <cols>
    <col min="4" max="4" width="10.42578125" customWidth="1"/>
    <col min="7" max="8" width="9.5703125" customWidth="1"/>
    <col min="10" max="10" width="10.28515625" customWidth="1"/>
    <col min="15" max="15" width="14.42578125" customWidth="1"/>
    <col min="16" max="16" width="23.28515625" customWidth="1"/>
    <col min="17" max="17" width="23.42578125" customWidth="1"/>
    <col min="18" max="18" width="23.7109375" customWidth="1"/>
    <col min="19" max="19" width="21.28515625" customWidth="1"/>
    <col min="20" max="20" width="21.42578125" customWidth="1"/>
    <col min="21" max="21" width="21.140625" customWidth="1"/>
    <col min="22" max="22" width="20.425781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23</v>
      </c>
      <c r="P1" t="s">
        <v>26</v>
      </c>
      <c r="Q1" t="s">
        <v>31</v>
      </c>
      <c r="R1" t="s">
        <v>32</v>
      </c>
      <c r="S1" t="s">
        <v>33</v>
      </c>
      <c r="T1" t="s">
        <v>34</v>
      </c>
      <c r="U1" t="s">
        <v>35</v>
      </c>
      <c r="V1" t="s">
        <v>37</v>
      </c>
    </row>
    <row r="2" spans="1:22" x14ac:dyDescent="0.25">
      <c r="A2">
        <v>67</v>
      </c>
      <c r="B2">
        <v>1</v>
      </c>
      <c r="C2">
        <v>0</v>
      </c>
      <c r="D2">
        <v>120</v>
      </c>
      <c r="E2">
        <v>237</v>
      </c>
      <c r="F2">
        <v>0</v>
      </c>
      <c r="G2">
        <v>1</v>
      </c>
      <c r="H2">
        <v>71</v>
      </c>
      <c r="I2">
        <v>0</v>
      </c>
      <c r="J2">
        <v>1</v>
      </c>
      <c r="K2">
        <v>1</v>
      </c>
      <c r="L2">
        <v>0</v>
      </c>
      <c r="M2">
        <v>2</v>
      </c>
      <c r="N2">
        <v>0</v>
      </c>
      <c r="O2" t="str">
        <f>IF(Table1[[#This Row],[sex]]=1,"Male","Female")</f>
        <v>Male</v>
      </c>
      <c r="P2" t="str">
        <f>IF(Table1[[#This Row],[cp]]=0,"Typical Angina",IF(Table1[[#This Row],[cp]]=1,"Atypical Angina",IF(Table1[[#This Row],[cp]]=2,"Non-Anginal Pain","Asymptomatic")))</f>
        <v>Typical Angina</v>
      </c>
      <c r="Q2">
        <f>IF(Table1[[#This Row],[trestbps]]&gt;=130, 1, 0)</f>
        <v>0</v>
      </c>
      <c r="R2">
        <f>IF(AND(Table1[[#This Row],[target]]=1,OR(Table1[[#This Row],[cp]]=0,Table1[[#This Row],[cp]]=1,Table1[[#This Row],[cp]]=2,Table1[[#This Row],[cp]])),1,0)</f>
        <v>0</v>
      </c>
      <c r="S2">
        <f>IF(AND(Table1[[#This Row],[Chest Pain + Target]]=1,Table1[[#This Row],[trestbps]]&gt;=130),1,0)</f>
        <v>0</v>
      </c>
      <c r="T2">
        <f>IF(AND(Table1[[#This Row],[Add BP]]=1,Table1[[#This Row],[chol]]&gt;=200),1,0)</f>
        <v>0</v>
      </c>
      <c r="U2">
        <f>IF(AND(Table1[[#This Row],[Add Cholestrol]]=1,Table1[[#This Row],[slope]]&gt;=2),1,0)</f>
        <v>0</v>
      </c>
      <c r="V2">
        <f>COUNTIFS(Table1[target],1)</f>
        <v>165</v>
      </c>
    </row>
    <row r="3" spans="1:22" x14ac:dyDescent="0.25">
      <c r="A3">
        <v>57</v>
      </c>
      <c r="B3">
        <v>1</v>
      </c>
      <c r="C3">
        <v>0</v>
      </c>
      <c r="D3">
        <v>152</v>
      </c>
      <c r="E3">
        <v>274</v>
      </c>
      <c r="F3">
        <v>0</v>
      </c>
      <c r="G3">
        <v>1</v>
      </c>
      <c r="H3">
        <v>88</v>
      </c>
      <c r="I3">
        <v>1</v>
      </c>
      <c r="J3">
        <v>1.2</v>
      </c>
      <c r="K3">
        <v>1</v>
      </c>
      <c r="L3">
        <v>1</v>
      </c>
      <c r="M3">
        <v>3</v>
      </c>
      <c r="N3">
        <v>0</v>
      </c>
      <c r="O3" t="str">
        <f>IF(Table1[[#This Row],[sex]]=1,"Male","Female")</f>
        <v>Male</v>
      </c>
      <c r="P3" t="str">
        <f>IF(Table1[[#This Row],[cp]]=0,"Typical Angina",IF(Table1[[#This Row],[cp]]=1,"Atypical Angina",IF(Table1[[#This Row],[cp]]=2,"Non-Anginal Pain","Asymptomatic")))</f>
        <v>Typical Angina</v>
      </c>
      <c r="Q3">
        <f>IF(Table1[[#This Row],[trestbps]]&gt;=130, 1, 0)</f>
        <v>1</v>
      </c>
      <c r="R3">
        <f>IF(AND(Table1[[#This Row],[target]]=1,OR(Table1[[#This Row],[cp]]=0,Table1[[#This Row],[cp]]=1,Table1[[#This Row],[cp]]=2,Table1[[#This Row],[cp]])),1,0)</f>
        <v>0</v>
      </c>
      <c r="S3">
        <f>IF(AND(Table1[[#This Row],[Chest Pain + Target]]=1,Table1[[#This Row],[trestbps]]&gt;=130),1,0)</f>
        <v>0</v>
      </c>
      <c r="T3">
        <f>IF(AND(Table1[[#This Row],[Add BP]]=1,Table1[[#This Row],[chol]]&gt;=200),1,0)</f>
        <v>0</v>
      </c>
      <c r="U3">
        <f>IF(AND(Table1[[#This Row],[Add Cholestrol]]=1,Table1[[#This Row],[slope]]&gt;=2),1,0)</f>
        <v>0</v>
      </c>
      <c r="V3">
        <f>COUNTIFS(Table1[target],1)</f>
        <v>165</v>
      </c>
    </row>
    <row r="4" spans="1:22" x14ac:dyDescent="0.25">
      <c r="A4">
        <v>59</v>
      </c>
      <c r="B4">
        <v>1</v>
      </c>
      <c r="C4">
        <v>0</v>
      </c>
      <c r="D4">
        <v>164</v>
      </c>
      <c r="E4">
        <v>176</v>
      </c>
      <c r="F4">
        <v>1</v>
      </c>
      <c r="G4">
        <v>0</v>
      </c>
      <c r="H4">
        <v>90</v>
      </c>
      <c r="I4">
        <v>0</v>
      </c>
      <c r="J4">
        <v>1</v>
      </c>
      <c r="K4">
        <v>1</v>
      </c>
      <c r="L4">
        <v>2</v>
      </c>
      <c r="M4">
        <v>1</v>
      </c>
      <c r="N4">
        <v>0</v>
      </c>
      <c r="O4" t="str">
        <f>IF(Table1[[#This Row],[sex]]=1,"Male","Female")</f>
        <v>Male</v>
      </c>
      <c r="P4" t="str">
        <f>IF(Table1[[#This Row],[cp]]=0,"Typical Angina",IF(Table1[[#This Row],[cp]]=1,"Atypical Angina",IF(Table1[[#This Row],[cp]]=2,"Non-Anginal Pain","Asymptomatic")))</f>
        <v>Typical Angina</v>
      </c>
      <c r="Q4">
        <f>IF(Table1[[#This Row],[trestbps]]&gt;=130, 1, 0)</f>
        <v>1</v>
      </c>
      <c r="R4">
        <f>IF(AND(Table1[[#This Row],[target]]=1,OR(Table1[[#This Row],[cp]]=0,Table1[[#This Row],[cp]]=1,Table1[[#This Row],[cp]]=2,Table1[[#This Row],[cp]])),1,0)</f>
        <v>0</v>
      </c>
      <c r="S4">
        <f>IF(AND(Table1[[#This Row],[Chest Pain + Target]]=1,Table1[[#This Row],[trestbps]]&gt;=130),1,0)</f>
        <v>0</v>
      </c>
      <c r="T4">
        <f>IF(AND(Table1[[#This Row],[Add BP]]=1,Table1[[#This Row],[chol]]&gt;=200),1,0)</f>
        <v>0</v>
      </c>
      <c r="U4">
        <f>IF(AND(Table1[[#This Row],[Add Cholestrol]]=1,Table1[[#This Row],[slope]]&gt;=2),1,0)</f>
        <v>0</v>
      </c>
      <c r="V4">
        <f>COUNTIFS(Table1[target],1)</f>
        <v>165</v>
      </c>
    </row>
    <row r="5" spans="1:22" x14ac:dyDescent="0.25">
      <c r="A5">
        <v>53</v>
      </c>
      <c r="B5">
        <v>1</v>
      </c>
      <c r="C5">
        <v>0</v>
      </c>
      <c r="D5">
        <v>123</v>
      </c>
      <c r="E5">
        <v>282</v>
      </c>
      <c r="F5">
        <v>0</v>
      </c>
      <c r="G5">
        <v>1</v>
      </c>
      <c r="H5">
        <v>95</v>
      </c>
      <c r="I5">
        <v>1</v>
      </c>
      <c r="J5">
        <v>2</v>
      </c>
      <c r="K5">
        <v>1</v>
      </c>
      <c r="L5">
        <v>2</v>
      </c>
      <c r="M5">
        <v>3</v>
      </c>
      <c r="N5">
        <v>0</v>
      </c>
      <c r="O5" t="str">
        <f>IF(Table1[[#This Row],[sex]]=1,"Male","Female")</f>
        <v>Male</v>
      </c>
      <c r="P5" t="str">
        <f>IF(Table1[[#This Row],[cp]]=0,"Typical Angina",IF(Table1[[#This Row],[cp]]=1,"Atypical Angina",IF(Table1[[#This Row],[cp]]=2,"Non-Anginal Pain","Asymptomatic")))</f>
        <v>Typical Angina</v>
      </c>
      <c r="Q5">
        <f>IF(Table1[[#This Row],[trestbps]]&gt;=130, 1, 0)</f>
        <v>0</v>
      </c>
      <c r="R5">
        <f>IF(AND(Table1[[#This Row],[target]]=1,OR(Table1[[#This Row],[cp]]=0,Table1[[#This Row],[cp]]=1,Table1[[#This Row],[cp]]=2,Table1[[#This Row],[cp]])),1,0)</f>
        <v>0</v>
      </c>
      <c r="S5">
        <f>IF(AND(Table1[[#This Row],[Chest Pain + Target]]=1,Table1[[#This Row],[trestbps]]&gt;=130),1,0)</f>
        <v>0</v>
      </c>
      <c r="T5">
        <f>IF(AND(Table1[[#This Row],[Add BP]]=1,Table1[[#This Row],[chol]]&gt;=200),1,0)</f>
        <v>0</v>
      </c>
      <c r="U5">
        <f>IF(AND(Table1[[#This Row],[Add Cholestrol]]=1,Table1[[#This Row],[slope]]&gt;=2),1,0)</f>
        <v>0</v>
      </c>
      <c r="V5">
        <f>COUNTIFS(Table1[target],1)</f>
        <v>165</v>
      </c>
    </row>
    <row r="6" spans="1:22" x14ac:dyDescent="0.25">
      <c r="A6">
        <v>60</v>
      </c>
      <c r="B6">
        <v>0</v>
      </c>
      <c r="C6">
        <v>2</v>
      </c>
      <c r="D6">
        <v>120</v>
      </c>
      <c r="E6">
        <v>178</v>
      </c>
      <c r="F6">
        <v>1</v>
      </c>
      <c r="G6">
        <v>1</v>
      </c>
      <c r="H6">
        <v>96</v>
      </c>
      <c r="I6">
        <v>0</v>
      </c>
      <c r="J6">
        <v>0</v>
      </c>
      <c r="K6">
        <v>2</v>
      </c>
      <c r="L6">
        <v>0</v>
      </c>
      <c r="M6">
        <v>2</v>
      </c>
      <c r="N6">
        <v>1</v>
      </c>
      <c r="O6" t="str">
        <f>IF(Table1[[#This Row],[sex]]=1,"Male","Female")</f>
        <v>Female</v>
      </c>
      <c r="P6" t="str">
        <f>IF(Table1[[#This Row],[cp]]=0,"Typical Angina",IF(Table1[[#This Row],[cp]]=1,"Atypical Angina",IF(Table1[[#This Row],[cp]]=2,"Non-Anginal Pain","Asymptomatic")))</f>
        <v>Non-Anginal Pain</v>
      </c>
      <c r="Q6">
        <f>IF(Table1[[#This Row],[trestbps]]&gt;=130, 1, 0)</f>
        <v>0</v>
      </c>
      <c r="R6">
        <f>IF(AND(Table1[[#This Row],[target]]=1,OR(Table1[[#This Row],[cp]]=0,Table1[[#This Row],[cp]]=1,Table1[[#This Row],[cp]]=2,Table1[[#This Row],[cp]])),1,0)</f>
        <v>1</v>
      </c>
      <c r="S6">
        <f>IF(AND(Table1[[#This Row],[Chest Pain + Target]]=1,Table1[[#This Row],[trestbps]]&gt;=130),1,0)</f>
        <v>0</v>
      </c>
      <c r="T6">
        <f>IF(AND(Table1[[#This Row],[Add BP]]=1,Table1[[#This Row],[chol]]&gt;=200),1,0)</f>
        <v>0</v>
      </c>
      <c r="U6">
        <f>IF(AND(Table1[[#This Row],[Add Cholestrol]]=1,Table1[[#This Row],[slope]]&gt;=2),1,0)</f>
        <v>0</v>
      </c>
      <c r="V6">
        <f>COUNTIFS(Table1[target],1)</f>
        <v>165</v>
      </c>
    </row>
    <row r="7" spans="1:22" x14ac:dyDescent="0.25">
      <c r="A7">
        <v>64</v>
      </c>
      <c r="B7">
        <v>1</v>
      </c>
      <c r="C7">
        <v>0</v>
      </c>
      <c r="D7">
        <v>120</v>
      </c>
      <c r="E7">
        <v>246</v>
      </c>
      <c r="F7">
        <v>0</v>
      </c>
      <c r="G7">
        <v>0</v>
      </c>
      <c r="H7">
        <v>96</v>
      </c>
      <c r="I7">
        <v>1</v>
      </c>
      <c r="J7">
        <v>2.2000000000000002</v>
      </c>
      <c r="K7">
        <v>0</v>
      </c>
      <c r="L7">
        <v>1</v>
      </c>
      <c r="M7">
        <v>2</v>
      </c>
      <c r="N7">
        <v>0</v>
      </c>
      <c r="O7" t="str">
        <f>IF(Table1[[#This Row],[sex]]=1,"Male","Female")</f>
        <v>Male</v>
      </c>
      <c r="P7" t="str">
        <f>IF(Table1[[#This Row],[cp]]=0,"Typical Angina",IF(Table1[[#This Row],[cp]]=1,"Atypical Angina",IF(Table1[[#This Row],[cp]]=2,"Non-Anginal Pain","Asymptomatic")))</f>
        <v>Typical Angina</v>
      </c>
      <c r="Q7">
        <f>IF(Table1[[#This Row],[trestbps]]&gt;=130, 1, 0)</f>
        <v>0</v>
      </c>
      <c r="R7">
        <f>IF(AND(Table1[[#This Row],[target]]=1,OR(Table1[[#This Row],[cp]]=0,Table1[[#This Row],[cp]]=1,Table1[[#This Row],[cp]]=2,Table1[[#This Row],[cp]])),1,0)</f>
        <v>0</v>
      </c>
      <c r="S7">
        <f>IF(AND(Table1[[#This Row],[Chest Pain + Target]]=1,Table1[[#This Row],[trestbps]]&gt;=130),1,0)</f>
        <v>0</v>
      </c>
      <c r="T7">
        <f>IF(AND(Table1[[#This Row],[Add BP]]=1,Table1[[#This Row],[chol]]&gt;=200),1,0)</f>
        <v>0</v>
      </c>
      <c r="U7">
        <f>IF(AND(Table1[[#This Row],[Add Cholestrol]]=1,Table1[[#This Row],[slope]]&gt;=2),1,0)</f>
        <v>0</v>
      </c>
      <c r="V7">
        <f>COUNTIFS(Table1[target],1)</f>
        <v>165</v>
      </c>
    </row>
    <row r="8" spans="1:22" x14ac:dyDescent="0.25">
      <c r="A8">
        <v>62</v>
      </c>
      <c r="B8">
        <v>0</v>
      </c>
      <c r="C8">
        <v>2</v>
      </c>
      <c r="D8">
        <v>130</v>
      </c>
      <c r="E8">
        <v>263</v>
      </c>
      <c r="F8">
        <v>0</v>
      </c>
      <c r="G8">
        <v>1</v>
      </c>
      <c r="H8">
        <v>97</v>
      </c>
      <c r="I8">
        <v>0</v>
      </c>
      <c r="J8">
        <v>1.2</v>
      </c>
      <c r="K8">
        <v>1</v>
      </c>
      <c r="L8">
        <v>1</v>
      </c>
      <c r="M8">
        <v>3</v>
      </c>
      <c r="N8">
        <v>0</v>
      </c>
      <c r="O8" t="str">
        <f>IF(Table1[[#This Row],[sex]]=1,"Male","Female")</f>
        <v>Female</v>
      </c>
      <c r="P8" t="str">
        <f>IF(Table1[[#This Row],[cp]]=0,"Typical Angina",IF(Table1[[#This Row],[cp]]=1,"Atypical Angina",IF(Table1[[#This Row],[cp]]=2,"Non-Anginal Pain","Asymptomatic")))</f>
        <v>Non-Anginal Pain</v>
      </c>
      <c r="Q8">
        <f>IF(Table1[[#This Row],[trestbps]]&gt;=130, 1, 0)</f>
        <v>1</v>
      </c>
      <c r="R8">
        <f>IF(AND(Table1[[#This Row],[target]]=1,OR(Table1[[#This Row],[cp]]=0,Table1[[#This Row],[cp]]=1,Table1[[#This Row],[cp]]=2,Table1[[#This Row],[cp]])),1,0)</f>
        <v>0</v>
      </c>
      <c r="S8">
        <f>IF(AND(Table1[[#This Row],[Chest Pain + Target]]=1,Table1[[#This Row],[trestbps]]&gt;=130),1,0)</f>
        <v>0</v>
      </c>
      <c r="T8">
        <f>IF(AND(Table1[[#This Row],[Add BP]]=1,Table1[[#This Row],[chol]]&gt;=200),1,0)</f>
        <v>0</v>
      </c>
      <c r="U8">
        <f>IF(AND(Table1[[#This Row],[Add Cholestrol]]=1,Table1[[#This Row],[slope]]&gt;=2),1,0)</f>
        <v>0</v>
      </c>
      <c r="V8">
        <f>COUNTIFS(Table1[target],1)</f>
        <v>165</v>
      </c>
    </row>
    <row r="9" spans="1:22" x14ac:dyDescent="0.25">
      <c r="A9">
        <v>62</v>
      </c>
      <c r="B9">
        <v>1</v>
      </c>
      <c r="C9">
        <v>0</v>
      </c>
      <c r="D9">
        <v>120</v>
      </c>
      <c r="E9">
        <v>267</v>
      </c>
      <c r="F9">
        <v>0</v>
      </c>
      <c r="G9">
        <v>1</v>
      </c>
      <c r="H9">
        <v>99</v>
      </c>
      <c r="I9">
        <v>1</v>
      </c>
      <c r="J9">
        <v>1.8</v>
      </c>
      <c r="K9">
        <v>1</v>
      </c>
      <c r="L9">
        <v>2</v>
      </c>
      <c r="M9">
        <v>3</v>
      </c>
      <c r="N9">
        <v>0</v>
      </c>
      <c r="O9" t="str">
        <f>IF(Table1[[#This Row],[sex]]=1,"Male","Female")</f>
        <v>Male</v>
      </c>
      <c r="P9" t="str">
        <f>IF(Table1[[#This Row],[cp]]=0,"Typical Angina",IF(Table1[[#This Row],[cp]]=1,"Atypical Angina",IF(Table1[[#This Row],[cp]]=2,"Non-Anginal Pain","Asymptomatic")))</f>
        <v>Typical Angina</v>
      </c>
      <c r="Q9">
        <f>IF(Table1[[#This Row],[trestbps]]&gt;=130, 1, 0)</f>
        <v>0</v>
      </c>
      <c r="R9">
        <f>IF(AND(Table1[[#This Row],[target]]=1,OR(Table1[[#This Row],[cp]]=0,Table1[[#This Row],[cp]]=1,Table1[[#This Row],[cp]]=2,Table1[[#This Row],[cp]])),1,0)</f>
        <v>0</v>
      </c>
      <c r="S9">
        <f>IF(AND(Table1[[#This Row],[Chest Pain + Target]]=1,Table1[[#This Row],[trestbps]]&gt;=130),1,0)</f>
        <v>0</v>
      </c>
      <c r="T9">
        <f>IF(AND(Table1[[#This Row],[Add BP]]=1,Table1[[#This Row],[chol]]&gt;=200),1,0)</f>
        <v>0</v>
      </c>
      <c r="U9">
        <f>IF(AND(Table1[[#This Row],[Add Cholestrol]]=1,Table1[[#This Row],[slope]]&gt;=2),1,0)</f>
        <v>0</v>
      </c>
      <c r="V9">
        <f>COUNTIFS(Table1[target],1)</f>
        <v>165</v>
      </c>
    </row>
    <row r="10" spans="1:22" x14ac:dyDescent="0.25">
      <c r="A10">
        <v>62</v>
      </c>
      <c r="B10">
        <v>1</v>
      </c>
      <c r="C10">
        <v>1</v>
      </c>
      <c r="D10">
        <v>120</v>
      </c>
      <c r="E10">
        <v>281</v>
      </c>
      <c r="F10">
        <v>0</v>
      </c>
      <c r="G10">
        <v>0</v>
      </c>
      <c r="H10">
        <v>103</v>
      </c>
      <c r="I10">
        <v>0</v>
      </c>
      <c r="J10">
        <v>1.4</v>
      </c>
      <c r="K10">
        <v>1</v>
      </c>
      <c r="L10">
        <v>1</v>
      </c>
      <c r="M10">
        <v>3</v>
      </c>
      <c r="N10">
        <v>0</v>
      </c>
      <c r="O10" t="str">
        <f>IF(Table1[[#This Row],[sex]]=1,"Male","Female")</f>
        <v>Male</v>
      </c>
      <c r="P10" t="str">
        <f>IF(Table1[[#This Row],[cp]]=0,"Typical Angina",IF(Table1[[#This Row],[cp]]=1,"Atypical Angina",IF(Table1[[#This Row],[cp]]=2,"Non-Anginal Pain","Asymptomatic")))</f>
        <v>Atypical Angina</v>
      </c>
      <c r="Q10">
        <f>IF(Table1[[#This Row],[trestbps]]&gt;=130, 1, 0)</f>
        <v>0</v>
      </c>
      <c r="R10">
        <f>IF(AND(Table1[[#This Row],[target]]=1,OR(Table1[[#This Row],[cp]]=0,Table1[[#This Row],[cp]]=1,Table1[[#This Row],[cp]]=2,Table1[[#This Row],[cp]])),1,0)</f>
        <v>0</v>
      </c>
      <c r="S10">
        <f>IF(AND(Table1[[#This Row],[Chest Pain + Target]]=1,Table1[[#This Row],[trestbps]]&gt;=130),1,0)</f>
        <v>0</v>
      </c>
      <c r="T10">
        <f>IF(AND(Table1[[#This Row],[Add BP]]=1,Table1[[#This Row],[chol]]&gt;=200),1,0)</f>
        <v>0</v>
      </c>
      <c r="U10">
        <f>IF(AND(Table1[[#This Row],[Add Cholestrol]]=1,Table1[[#This Row],[slope]]&gt;=2),1,0)</f>
        <v>0</v>
      </c>
      <c r="V10">
        <f>COUNTIFS(Table1[target],1)</f>
        <v>165</v>
      </c>
    </row>
    <row r="11" spans="1:22" x14ac:dyDescent="0.25">
      <c r="A11">
        <v>56</v>
      </c>
      <c r="B11">
        <v>1</v>
      </c>
      <c r="C11">
        <v>0</v>
      </c>
      <c r="D11">
        <v>130</v>
      </c>
      <c r="E11">
        <v>283</v>
      </c>
      <c r="F11">
        <v>1</v>
      </c>
      <c r="G11">
        <v>0</v>
      </c>
      <c r="H11">
        <v>103</v>
      </c>
      <c r="I11">
        <v>1</v>
      </c>
      <c r="J11">
        <v>1.6</v>
      </c>
      <c r="K11">
        <v>0</v>
      </c>
      <c r="L11">
        <v>0</v>
      </c>
      <c r="M11">
        <v>3</v>
      </c>
      <c r="N11">
        <v>0</v>
      </c>
      <c r="O11" t="str">
        <f>IF(Table1[[#This Row],[sex]]=1,"Male","Female")</f>
        <v>Male</v>
      </c>
      <c r="P11" t="str">
        <f>IF(Table1[[#This Row],[cp]]=0,"Typical Angina",IF(Table1[[#This Row],[cp]]=1,"Atypical Angina",IF(Table1[[#This Row],[cp]]=2,"Non-Anginal Pain","Asymptomatic")))</f>
        <v>Typical Angina</v>
      </c>
      <c r="Q11">
        <f>IF(Table1[[#This Row],[trestbps]]&gt;=130, 1, 0)</f>
        <v>1</v>
      </c>
      <c r="R11">
        <f>IF(AND(Table1[[#This Row],[target]]=1,OR(Table1[[#This Row],[cp]]=0,Table1[[#This Row],[cp]]=1,Table1[[#This Row],[cp]]=2,Table1[[#This Row],[cp]])),1,0)</f>
        <v>0</v>
      </c>
      <c r="S11">
        <f>IF(AND(Table1[[#This Row],[Chest Pain + Target]]=1,Table1[[#This Row],[trestbps]]&gt;=130),1,0)</f>
        <v>0</v>
      </c>
      <c r="T11">
        <f>IF(AND(Table1[[#This Row],[Add BP]]=1,Table1[[#This Row],[chol]]&gt;=200),1,0)</f>
        <v>0</v>
      </c>
      <c r="U11">
        <f>IF(AND(Table1[[#This Row],[Add Cholestrol]]=1,Table1[[#This Row],[slope]]&gt;=2),1,0)</f>
        <v>0</v>
      </c>
      <c r="V11">
        <f>COUNTIFS(Table1[target],1)</f>
        <v>165</v>
      </c>
    </row>
    <row r="12" spans="1:22" x14ac:dyDescent="0.25">
      <c r="A12">
        <v>64</v>
      </c>
      <c r="B12">
        <v>1</v>
      </c>
      <c r="C12">
        <v>0</v>
      </c>
      <c r="D12">
        <v>128</v>
      </c>
      <c r="E12">
        <v>263</v>
      </c>
      <c r="F12">
        <v>0</v>
      </c>
      <c r="G12">
        <v>1</v>
      </c>
      <c r="H12">
        <v>105</v>
      </c>
      <c r="I12">
        <v>1</v>
      </c>
      <c r="J12">
        <v>0.2</v>
      </c>
      <c r="K12">
        <v>1</v>
      </c>
      <c r="L12">
        <v>1</v>
      </c>
      <c r="M12">
        <v>3</v>
      </c>
      <c r="N12">
        <v>1</v>
      </c>
      <c r="O12" t="str">
        <f>IF(Table1[[#This Row],[sex]]=1,"Male","Female")</f>
        <v>Male</v>
      </c>
      <c r="P12" t="str">
        <f>IF(Table1[[#This Row],[cp]]=0,"Typical Angina",IF(Table1[[#This Row],[cp]]=1,"Atypical Angina",IF(Table1[[#This Row],[cp]]=2,"Non-Anginal Pain","Asymptomatic")))</f>
        <v>Typical Angina</v>
      </c>
      <c r="Q12">
        <f>IF(Table1[[#This Row],[trestbps]]&gt;=130, 1, 0)</f>
        <v>0</v>
      </c>
      <c r="R12">
        <f>IF(AND(Table1[[#This Row],[target]]=1,OR(Table1[[#This Row],[cp]]=0,Table1[[#This Row],[cp]]=1,Table1[[#This Row],[cp]]=2,Table1[[#This Row],[cp]])),1,0)</f>
        <v>1</v>
      </c>
      <c r="S12">
        <f>IF(AND(Table1[[#This Row],[Chest Pain + Target]]=1,Table1[[#This Row],[trestbps]]&gt;=130),1,0)</f>
        <v>0</v>
      </c>
      <c r="T12">
        <f>IF(AND(Table1[[#This Row],[Add BP]]=1,Table1[[#This Row],[chol]]&gt;=200),1,0)</f>
        <v>0</v>
      </c>
      <c r="U12">
        <f>IF(AND(Table1[[#This Row],[Add Cholestrol]]=1,Table1[[#This Row],[slope]]&gt;=2),1,0)</f>
        <v>0</v>
      </c>
      <c r="V12">
        <f>COUNTIFS(Table1[target],1)</f>
        <v>165</v>
      </c>
    </row>
    <row r="13" spans="1:22" x14ac:dyDescent="0.25">
      <c r="A13">
        <v>56</v>
      </c>
      <c r="B13">
        <v>1</v>
      </c>
      <c r="C13">
        <v>0</v>
      </c>
      <c r="D13">
        <v>132</v>
      </c>
      <c r="E13">
        <v>184</v>
      </c>
      <c r="F13">
        <v>0</v>
      </c>
      <c r="G13">
        <v>0</v>
      </c>
      <c r="H13">
        <v>105</v>
      </c>
      <c r="I13">
        <v>1</v>
      </c>
      <c r="J13">
        <v>2.1</v>
      </c>
      <c r="K13">
        <v>1</v>
      </c>
      <c r="L13">
        <v>1</v>
      </c>
      <c r="M13">
        <v>1</v>
      </c>
      <c r="N13">
        <v>0</v>
      </c>
      <c r="O13" t="str">
        <f>IF(Table1[[#This Row],[sex]]=1,"Male","Female")</f>
        <v>Male</v>
      </c>
      <c r="P13" t="str">
        <f>IF(Table1[[#This Row],[cp]]=0,"Typical Angina",IF(Table1[[#This Row],[cp]]=1,"Atypical Angina",IF(Table1[[#This Row],[cp]]=2,"Non-Anginal Pain","Asymptomatic")))</f>
        <v>Typical Angina</v>
      </c>
      <c r="Q13">
        <f>IF(Table1[[#This Row],[trestbps]]&gt;=130, 1, 0)</f>
        <v>1</v>
      </c>
      <c r="R13">
        <f>IF(AND(Table1[[#This Row],[target]]=1,OR(Table1[[#This Row],[cp]]=0,Table1[[#This Row],[cp]]=1,Table1[[#This Row],[cp]]=2,Table1[[#This Row],[cp]])),1,0)</f>
        <v>0</v>
      </c>
      <c r="S13">
        <f>IF(AND(Table1[[#This Row],[Chest Pain + Target]]=1,Table1[[#This Row],[trestbps]]&gt;=130),1,0)</f>
        <v>0</v>
      </c>
      <c r="T13">
        <f>IF(AND(Table1[[#This Row],[Add BP]]=1,Table1[[#This Row],[chol]]&gt;=200),1,0)</f>
        <v>0</v>
      </c>
      <c r="U13">
        <f>IF(AND(Table1[[#This Row],[Add Cholestrol]]=1,Table1[[#This Row],[slope]]&gt;=2),1,0)</f>
        <v>0</v>
      </c>
      <c r="V13">
        <f>COUNTIFS(Table1[target],1)</f>
        <v>165</v>
      </c>
    </row>
    <row r="14" spans="1:22" x14ac:dyDescent="0.25">
      <c r="A14">
        <v>58</v>
      </c>
      <c r="B14">
        <v>1</v>
      </c>
      <c r="C14">
        <v>0</v>
      </c>
      <c r="D14">
        <v>146</v>
      </c>
      <c r="E14">
        <v>218</v>
      </c>
      <c r="F14">
        <v>0</v>
      </c>
      <c r="G14">
        <v>1</v>
      </c>
      <c r="H14">
        <v>105</v>
      </c>
      <c r="I14">
        <v>0</v>
      </c>
      <c r="J14">
        <v>2</v>
      </c>
      <c r="K14">
        <v>1</v>
      </c>
      <c r="L14">
        <v>1</v>
      </c>
      <c r="M14">
        <v>3</v>
      </c>
      <c r="N14">
        <v>0</v>
      </c>
      <c r="O14" t="str">
        <f>IF(Table1[[#This Row],[sex]]=1,"Male","Female")</f>
        <v>Male</v>
      </c>
      <c r="P14" t="str">
        <f>IF(Table1[[#This Row],[cp]]=0,"Typical Angina",IF(Table1[[#This Row],[cp]]=1,"Atypical Angina",IF(Table1[[#This Row],[cp]]=2,"Non-Anginal Pain","Asymptomatic")))</f>
        <v>Typical Angina</v>
      </c>
      <c r="Q14">
        <f>IF(Table1[[#This Row],[trestbps]]&gt;=130, 1, 0)</f>
        <v>1</v>
      </c>
      <c r="R14">
        <f>IF(AND(Table1[[#This Row],[target]]=1,OR(Table1[[#This Row],[cp]]=0,Table1[[#This Row],[cp]]=1,Table1[[#This Row],[cp]]=2,Table1[[#This Row],[cp]])),1,0)</f>
        <v>0</v>
      </c>
      <c r="S14">
        <f>IF(AND(Table1[[#This Row],[Chest Pain + Target]]=1,Table1[[#This Row],[trestbps]]&gt;=130),1,0)</f>
        <v>0</v>
      </c>
      <c r="T14">
        <f>IF(AND(Table1[[#This Row],[Add BP]]=1,Table1[[#This Row],[chol]]&gt;=200),1,0)</f>
        <v>0</v>
      </c>
      <c r="U14">
        <f>IF(AND(Table1[[#This Row],[Add Cholestrol]]=1,Table1[[#This Row],[slope]]&gt;=2),1,0)</f>
        <v>0</v>
      </c>
      <c r="V14">
        <f>COUNTIFS(Table1[target],1)</f>
        <v>165</v>
      </c>
    </row>
    <row r="15" spans="1:22" x14ac:dyDescent="0.25">
      <c r="A15">
        <v>62</v>
      </c>
      <c r="B15">
        <v>0</v>
      </c>
      <c r="C15">
        <v>0</v>
      </c>
      <c r="D15">
        <v>138</v>
      </c>
      <c r="E15">
        <v>294</v>
      </c>
      <c r="F15">
        <v>1</v>
      </c>
      <c r="G15">
        <v>1</v>
      </c>
      <c r="H15">
        <v>106</v>
      </c>
      <c r="I15">
        <v>0</v>
      </c>
      <c r="J15">
        <v>1.9</v>
      </c>
      <c r="K15">
        <v>1</v>
      </c>
      <c r="L15">
        <v>3</v>
      </c>
      <c r="M15">
        <v>2</v>
      </c>
      <c r="N15">
        <v>0</v>
      </c>
      <c r="O15" t="str">
        <f>IF(Table1[[#This Row],[sex]]=1,"Male","Female")</f>
        <v>Female</v>
      </c>
      <c r="P15" t="str">
        <f>IF(Table1[[#This Row],[cp]]=0,"Typical Angina",IF(Table1[[#This Row],[cp]]=1,"Atypical Angina",IF(Table1[[#This Row],[cp]]=2,"Non-Anginal Pain","Asymptomatic")))</f>
        <v>Typical Angina</v>
      </c>
      <c r="Q15">
        <f>IF(Table1[[#This Row],[trestbps]]&gt;=130, 1, 0)</f>
        <v>1</v>
      </c>
      <c r="R15">
        <f>IF(AND(Table1[[#This Row],[target]]=1,OR(Table1[[#This Row],[cp]]=0,Table1[[#This Row],[cp]]=1,Table1[[#This Row],[cp]]=2,Table1[[#This Row],[cp]])),1,0)</f>
        <v>0</v>
      </c>
      <c r="S15">
        <f>IF(AND(Table1[[#This Row],[Chest Pain + Target]]=1,Table1[[#This Row],[trestbps]]&gt;=130),1,0)</f>
        <v>0</v>
      </c>
      <c r="T15">
        <f>IF(AND(Table1[[#This Row],[Add BP]]=1,Table1[[#This Row],[chol]]&gt;=200),1,0)</f>
        <v>0</v>
      </c>
      <c r="U15">
        <f>IF(AND(Table1[[#This Row],[Add Cholestrol]]=1,Table1[[#This Row],[slope]]&gt;=2),1,0)</f>
        <v>0</v>
      </c>
      <c r="V15">
        <f>COUNTIFS(Table1[target],1)</f>
        <v>165</v>
      </c>
    </row>
    <row r="16" spans="1:22" x14ac:dyDescent="0.25">
      <c r="A16">
        <v>67</v>
      </c>
      <c r="B16">
        <v>1</v>
      </c>
      <c r="C16">
        <v>0</v>
      </c>
      <c r="D16">
        <v>160</v>
      </c>
      <c r="E16">
        <v>286</v>
      </c>
      <c r="F16">
        <v>0</v>
      </c>
      <c r="G16">
        <v>0</v>
      </c>
      <c r="H16">
        <v>108</v>
      </c>
      <c r="I16">
        <v>1</v>
      </c>
      <c r="J16">
        <v>1.5</v>
      </c>
      <c r="K16">
        <v>1</v>
      </c>
      <c r="L16">
        <v>3</v>
      </c>
      <c r="M16">
        <v>2</v>
      </c>
      <c r="N16">
        <v>0</v>
      </c>
      <c r="O16" t="str">
        <f>IF(Table1[[#This Row],[sex]]=1,"Male","Female")</f>
        <v>Male</v>
      </c>
      <c r="P16" t="str">
        <f>IF(Table1[[#This Row],[cp]]=0,"Typical Angina",IF(Table1[[#This Row],[cp]]=1,"Atypical Angina",IF(Table1[[#This Row],[cp]]=2,"Non-Anginal Pain","Asymptomatic")))</f>
        <v>Typical Angina</v>
      </c>
      <c r="Q16">
        <f>IF(Table1[[#This Row],[trestbps]]&gt;=130, 1, 0)</f>
        <v>1</v>
      </c>
      <c r="R16">
        <f>IF(AND(Table1[[#This Row],[target]]=1,OR(Table1[[#This Row],[cp]]=0,Table1[[#This Row],[cp]]=1,Table1[[#This Row],[cp]]=2,Table1[[#This Row],[cp]])),1,0)</f>
        <v>0</v>
      </c>
      <c r="S16">
        <f>IF(AND(Table1[[#This Row],[Chest Pain + Target]]=1,Table1[[#This Row],[trestbps]]&gt;=130),1,0)</f>
        <v>0</v>
      </c>
      <c r="T16">
        <f>IF(AND(Table1[[#This Row],[Add BP]]=1,Table1[[#This Row],[chol]]&gt;=200),1,0)</f>
        <v>0</v>
      </c>
      <c r="U16">
        <f>IF(AND(Table1[[#This Row],[Add Cholestrol]]=1,Table1[[#This Row],[slope]]&gt;=2),1,0)</f>
        <v>0</v>
      </c>
      <c r="V16">
        <f>COUNTIFS(Table1[target],1)</f>
        <v>165</v>
      </c>
    </row>
    <row r="17" spans="1:22" x14ac:dyDescent="0.25">
      <c r="A17">
        <v>54</v>
      </c>
      <c r="B17">
        <v>1</v>
      </c>
      <c r="C17">
        <v>0</v>
      </c>
      <c r="D17">
        <v>110</v>
      </c>
      <c r="E17">
        <v>206</v>
      </c>
      <c r="F17">
        <v>0</v>
      </c>
      <c r="G17">
        <v>0</v>
      </c>
      <c r="H17">
        <v>108</v>
      </c>
      <c r="I17">
        <v>1</v>
      </c>
      <c r="J17">
        <v>0</v>
      </c>
      <c r="K17">
        <v>1</v>
      </c>
      <c r="L17">
        <v>1</v>
      </c>
      <c r="M17">
        <v>2</v>
      </c>
      <c r="N17">
        <v>0</v>
      </c>
      <c r="O17" t="str">
        <f>IF(Table1[[#This Row],[sex]]=1,"Male","Female")</f>
        <v>Male</v>
      </c>
      <c r="P17" t="str">
        <f>IF(Table1[[#This Row],[cp]]=0,"Typical Angina",IF(Table1[[#This Row],[cp]]=1,"Atypical Angina",IF(Table1[[#This Row],[cp]]=2,"Non-Anginal Pain","Asymptomatic")))</f>
        <v>Typical Angina</v>
      </c>
      <c r="Q17">
        <f>IF(Table1[[#This Row],[trestbps]]&gt;=130, 1, 0)</f>
        <v>0</v>
      </c>
      <c r="R17">
        <f>IF(AND(Table1[[#This Row],[target]]=1,OR(Table1[[#This Row],[cp]]=0,Table1[[#This Row],[cp]]=1,Table1[[#This Row],[cp]]=2,Table1[[#This Row],[cp]])),1,0)</f>
        <v>0</v>
      </c>
      <c r="S17">
        <f>IF(AND(Table1[[#This Row],[Chest Pain + Target]]=1,Table1[[#This Row],[trestbps]]&gt;=130),1,0)</f>
        <v>0</v>
      </c>
      <c r="T17">
        <f>IF(AND(Table1[[#This Row],[Add BP]]=1,Table1[[#This Row],[chol]]&gt;=200),1,0)</f>
        <v>0</v>
      </c>
      <c r="U17">
        <f>IF(AND(Table1[[#This Row],[Add Cholestrol]]=1,Table1[[#This Row],[slope]]&gt;=2),1,0)</f>
        <v>0</v>
      </c>
      <c r="V17">
        <f>COUNTIFS(Table1[target],1)</f>
        <v>165</v>
      </c>
    </row>
    <row r="18" spans="1:22" x14ac:dyDescent="0.25">
      <c r="A18">
        <v>54</v>
      </c>
      <c r="B18">
        <v>1</v>
      </c>
      <c r="C18">
        <v>0</v>
      </c>
      <c r="D18">
        <v>124</v>
      </c>
      <c r="E18">
        <v>266</v>
      </c>
      <c r="F18">
        <v>0</v>
      </c>
      <c r="G18">
        <v>0</v>
      </c>
      <c r="H18">
        <v>109</v>
      </c>
      <c r="I18">
        <v>1</v>
      </c>
      <c r="J18">
        <v>2.2000000000000002</v>
      </c>
      <c r="K18">
        <v>1</v>
      </c>
      <c r="L18">
        <v>1</v>
      </c>
      <c r="M18">
        <v>3</v>
      </c>
      <c r="N18">
        <v>0</v>
      </c>
      <c r="O18" t="str">
        <f>IF(Table1[[#This Row],[sex]]=1,"Male","Female")</f>
        <v>Male</v>
      </c>
      <c r="P18" t="str">
        <f>IF(Table1[[#This Row],[cp]]=0,"Typical Angina",IF(Table1[[#This Row],[cp]]=1,"Atypical Angina",IF(Table1[[#This Row],[cp]]=2,"Non-Anginal Pain","Asymptomatic")))</f>
        <v>Typical Angina</v>
      </c>
      <c r="Q18">
        <f>IF(Table1[[#This Row],[trestbps]]&gt;=130, 1, 0)</f>
        <v>0</v>
      </c>
      <c r="R18">
        <f>IF(AND(Table1[[#This Row],[target]]=1,OR(Table1[[#This Row],[cp]]=0,Table1[[#This Row],[cp]]=1,Table1[[#This Row],[cp]]=2,Table1[[#This Row],[cp]])),1,0)</f>
        <v>0</v>
      </c>
      <c r="S18">
        <f>IF(AND(Table1[[#This Row],[Chest Pain + Target]]=1,Table1[[#This Row],[trestbps]]&gt;=130),1,0)</f>
        <v>0</v>
      </c>
      <c r="T18">
        <f>IF(AND(Table1[[#This Row],[Add BP]]=1,Table1[[#This Row],[chol]]&gt;=200),1,0)</f>
        <v>0</v>
      </c>
      <c r="U18">
        <f>IF(AND(Table1[[#This Row],[Add Cholestrol]]=1,Table1[[#This Row],[slope]]&gt;=2),1,0)</f>
        <v>0</v>
      </c>
      <c r="V18">
        <f>COUNTIFS(Table1[target],1)</f>
        <v>165</v>
      </c>
    </row>
    <row r="19" spans="1:22" x14ac:dyDescent="0.25">
      <c r="A19">
        <v>70</v>
      </c>
      <c r="B19">
        <v>1</v>
      </c>
      <c r="C19">
        <v>0</v>
      </c>
      <c r="D19">
        <v>130</v>
      </c>
      <c r="E19">
        <v>322</v>
      </c>
      <c r="F19">
        <v>0</v>
      </c>
      <c r="G19">
        <v>0</v>
      </c>
      <c r="H19">
        <v>109</v>
      </c>
      <c r="I19">
        <v>0</v>
      </c>
      <c r="J19">
        <v>2.4</v>
      </c>
      <c r="K19">
        <v>1</v>
      </c>
      <c r="L19">
        <v>3</v>
      </c>
      <c r="M19">
        <v>2</v>
      </c>
      <c r="N19">
        <v>0</v>
      </c>
      <c r="O19" t="str">
        <f>IF(Table1[[#This Row],[sex]]=1,"Male","Female")</f>
        <v>Male</v>
      </c>
      <c r="P19" t="str">
        <f>IF(Table1[[#This Row],[cp]]=0,"Typical Angina",IF(Table1[[#This Row],[cp]]=1,"Atypical Angina",IF(Table1[[#This Row],[cp]]=2,"Non-Anginal Pain","Asymptomatic")))</f>
        <v>Typical Angina</v>
      </c>
      <c r="Q19">
        <f>IF(Table1[[#This Row],[trestbps]]&gt;=130, 1, 0)</f>
        <v>1</v>
      </c>
      <c r="R19">
        <f>IF(AND(Table1[[#This Row],[target]]=1,OR(Table1[[#This Row],[cp]]=0,Table1[[#This Row],[cp]]=1,Table1[[#This Row],[cp]]=2,Table1[[#This Row],[cp]])),1,0)</f>
        <v>0</v>
      </c>
      <c r="S19">
        <f>IF(AND(Table1[[#This Row],[Chest Pain + Target]]=1,Table1[[#This Row],[trestbps]]&gt;=130),1,0)</f>
        <v>0</v>
      </c>
      <c r="T19">
        <f>IF(AND(Table1[[#This Row],[Add BP]]=1,Table1[[#This Row],[chol]]&gt;=200),1,0)</f>
        <v>0</v>
      </c>
      <c r="U19">
        <f>IF(AND(Table1[[#This Row],[Add Cholestrol]]=1,Table1[[#This Row],[slope]]&gt;=2),1,0)</f>
        <v>0</v>
      </c>
      <c r="V19">
        <f>COUNTIFS(Table1[target],1)</f>
        <v>165</v>
      </c>
    </row>
    <row r="20" spans="1:22" x14ac:dyDescent="0.25">
      <c r="A20">
        <v>53</v>
      </c>
      <c r="B20">
        <v>1</v>
      </c>
      <c r="C20">
        <v>0</v>
      </c>
      <c r="D20">
        <v>142</v>
      </c>
      <c r="E20">
        <v>226</v>
      </c>
      <c r="F20">
        <v>0</v>
      </c>
      <c r="G20">
        <v>0</v>
      </c>
      <c r="H20">
        <v>111</v>
      </c>
      <c r="I20">
        <v>1</v>
      </c>
      <c r="J20">
        <v>0</v>
      </c>
      <c r="K20">
        <v>2</v>
      </c>
      <c r="L20">
        <v>0</v>
      </c>
      <c r="M20">
        <v>3</v>
      </c>
      <c r="N20">
        <v>1</v>
      </c>
      <c r="O20" t="str">
        <f>IF(Table1[[#This Row],[sex]]=1,"Male","Female")</f>
        <v>Male</v>
      </c>
      <c r="P20" t="str">
        <f>IF(Table1[[#This Row],[cp]]=0,"Typical Angina",IF(Table1[[#This Row],[cp]]=1,"Atypical Angina",IF(Table1[[#This Row],[cp]]=2,"Non-Anginal Pain","Asymptomatic")))</f>
        <v>Typical Angina</v>
      </c>
      <c r="Q20">
        <f>IF(Table1[[#This Row],[trestbps]]&gt;=130, 1, 0)</f>
        <v>1</v>
      </c>
      <c r="R20">
        <f>IF(AND(Table1[[#This Row],[target]]=1,OR(Table1[[#This Row],[cp]]=0,Table1[[#This Row],[cp]]=1,Table1[[#This Row],[cp]]=2,Table1[[#This Row],[cp]])),1,0)</f>
        <v>1</v>
      </c>
      <c r="S20">
        <f>IF(AND(Table1[[#This Row],[Chest Pain + Target]]=1,Table1[[#This Row],[trestbps]]&gt;=130),1,0)</f>
        <v>1</v>
      </c>
      <c r="T20">
        <f>IF(AND(Table1[[#This Row],[Add BP]]=1,Table1[[#This Row],[chol]]&gt;=200),1,0)</f>
        <v>1</v>
      </c>
      <c r="U20">
        <f>IF(AND(Table1[[#This Row],[Add Cholestrol]]=1,Table1[[#This Row],[slope]]&gt;=2),1,0)</f>
        <v>1</v>
      </c>
      <c r="V20">
        <f>COUNTIFS(Table1[target],1)</f>
        <v>165</v>
      </c>
    </row>
    <row r="21" spans="1:22" x14ac:dyDescent="0.25">
      <c r="A21">
        <v>58</v>
      </c>
      <c r="B21">
        <v>1</v>
      </c>
      <c r="C21">
        <v>0</v>
      </c>
      <c r="D21">
        <v>150</v>
      </c>
      <c r="E21">
        <v>270</v>
      </c>
      <c r="F21">
        <v>0</v>
      </c>
      <c r="G21">
        <v>0</v>
      </c>
      <c r="H21">
        <v>111</v>
      </c>
      <c r="I21">
        <v>1</v>
      </c>
      <c r="J21">
        <v>0.8</v>
      </c>
      <c r="K21">
        <v>2</v>
      </c>
      <c r="L21">
        <v>0</v>
      </c>
      <c r="M21">
        <v>3</v>
      </c>
      <c r="N21">
        <v>0</v>
      </c>
      <c r="O21" t="str">
        <f>IF(Table1[[#This Row],[sex]]=1,"Male","Female")</f>
        <v>Male</v>
      </c>
      <c r="P21" t="str">
        <f>IF(Table1[[#This Row],[cp]]=0,"Typical Angina",IF(Table1[[#This Row],[cp]]=1,"Atypical Angina",IF(Table1[[#This Row],[cp]]=2,"Non-Anginal Pain","Asymptomatic")))</f>
        <v>Typical Angina</v>
      </c>
      <c r="Q21">
        <f>IF(Table1[[#This Row],[trestbps]]&gt;=130, 1, 0)</f>
        <v>1</v>
      </c>
      <c r="R21">
        <f>IF(AND(Table1[[#This Row],[target]]=1,OR(Table1[[#This Row],[cp]]=0,Table1[[#This Row],[cp]]=1,Table1[[#This Row],[cp]]=2,Table1[[#This Row],[cp]])),1,0)</f>
        <v>0</v>
      </c>
      <c r="S21">
        <f>IF(AND(Table1[[#This Row],[Chest Pain + Target]]=1,Table1[[#This Row],[trestbps]]&gt;=130),1,0)</f>
        <v>0</v>
      </c>
      <c r="T21">
        <f>IF(AND(Table1[[#This Row],[Add BP]]=1,Table1[[#This Row],[chol]]&gt;=200),1,0)</f>
        <v>0</v>
      </c>
      <c r="U21">
        <f>IF(AND(Table1[[#This Row],[Add Cholestrol]]=1,Table1[[#This Row],[slope]]&gt;=2),1,0)</f>
        <v>0</v>
      </c>
      <c r="V21">
        <f>COUNTIFS(Table1[target],1)</f>
        <v>165</v>
      </c>
    </row>
    <row r="22" spans="1:22" x14ac:dyDescent="0.25">
      <c r="A22">
        <v>55</v>
      </c>
      <c r="B22">
        <v>1</v>
      </c>
      <c r="C22">
        <v>0</v>
      </c>
      <c r="D22">
        <v>140</v>
      </c>
      <c r="E22">
        <v>217</v>
      </c>
      <c r="F22">
        <v>0</v>
      </c>
      <c r="G22">
        <v>1</v>
      </c>
      <c r="H22">
        <v>111</v>
      </c>
      <c r="I22">
        <v>1</v>
      </c>
      <c r="J22">
        <v>5.6</v>
      </c>
      <c r="K22">
        <v>0</v>
      </c>
      <c r="L22">
        <v>0</v>
      </c>
      <c r="M22">
        <v>3</v>
      </c>
      <c r="N22">
        <v>0</v>
      </c>
      <c r="O22" t="str">
        <f>IF(Table1[[#This Row],[sex]]=1,"Male","Female")</f>
        <v>Male</v>
      </c>
      <c r="P22" t="str">
        <f>IF(Table1[[#This Row],[cp]]=0,"Typical Angina",IF(Table1[[#This Row],[cp]]=1,"Atypical Angina",IF(Table1[[#This Row],[cp]]=2,"Non-Anginal Pain","Asymptomatic")))</f>
        <v>Typical Angina</v>
      </c>
      <c r="Q22">
        <f>IF(Table1[[#This Row],[trestbps]]&gt;=130, 1, 0)</f>
        <v>1</v>
      </c>
      <c r="R22">
        <f>IF(AND(Table1[[#This Row],[target]]=1,OR(Table1[[#This Row],[cp]]=0,Table1[[#This Row],[cp]]=1,Table1[[#This Row],[cp]]=2,Table1[[#This Row],[cp]])),1,0)</f>
        <v>0</v>
      </c>
      <c r="S22">
        <f>IF(AND(Table1[[#This Row],[Chest Pain + Target]]=1,Table1[[#This Row],[trestbps]]&gt;=130),1,0)</f>
        <v>0</v>
      </c>
      <c r="T22">
        <f>IF(AND(Table1[[#This Row],[Add BP]]=1,Table1[[#This Row],[chol]]&gt;=200),1,0)</f>
        <v>0</v>
      </c>
      <c r="U22">
        <f>IF(AND(Table1[[#This Row],[Add Cholestrol]]=1,Table1[[#This Row],[slope]]&gt;=2),1,0)</f>
        <v>0</v>
      </c>
      <c r="V22">
        <f>COUNTIFS(Table1[target],1)</f>
        <v>165</v>
      </c>
    </row>
    <row r="23" spans="1:22" x14ac:dyDescent="0.25">
      <c r="A23">
        <v>57</v>
      </c>
      <c r="B23">
        <v>1</v>
      </c>
      <c r="C23">
        <v>0</v>
      </c>
      <c r="D23">
        <v>150</v>
      </c>
      <c r="E23">
        <v>276</v>
      </c>
      <c r="F23">
        <v>0</v>
      </c>
      <c r="G23">
        <v>0</v>
      </c>
      <c r="H23">
        <v>112</v>
      </c>
      <c r="I23">
        <v>1</v>
      </c>
      <c r="J23">
        <v>0.6</v>
      </c>
      <c r="K23">
        <v>1</v>
      </c>
      <c r="L23">
        <v>1</v>
      </c>
      <c r="M23">
        <v>1</v>
      </c>
      <c r="N23">
        <v>0</v>
      </c>
      <c r="O23" t="str">
        <f>IF(Table1[[#This Row],[sex]]=1,"Male","Female")</f>
        <v>Male</v>
      </c>
      <c r="P23" t="str">
        <f>IF(Table1[[#This Row],[cp]]=0,"Typical Angina",IF(Table1[[#This Row],[cp]]=1,"Atypical Angina",IF(Table1[[#This Row],[cp]]=2,"Non-Anginal Pain","Asymptomatic")))</f>
        <v>Typical Angina</v>
      </c>
      <c r="Q23">
        <f>IF(Table1[[#This Row],[trestbps]]&gt;=130, 1, 0)</f>
        <v>1</v>
      </c>
      <c r="R23">
        <f>IF(AND(Table1[[#This Row],[target]]=1,OR(Table1[[#This Row],[cp]]=0,Table1[[#This Row],[cp]]=1,Table1[[#This Row],[cp]]=2,Table1[[#This Row],[cp]])),1,0)</f>
        <v>0</v>
      </c>
      <c r="S23">
        <f>IF(AND(Table1[[#This Row],[Chest Pain + Target]]=1,Table1[[#This Row],[trestbps]]&gt;=130),1,0)</f>
        <v>0</v>
      </c>
      <c r="T23">
        <f>IF(AND(Table1[[#This Row],[Add BP]]=1,Table1[[#This Row],[chol]]&gt;=200),1,0)</f>
        <v>0</v>
      </c>
      <c r="U23">
        <f>IF(AND(Table1[[#This Row],[Add Cholestrol]]=1,Table1[[#This Row],[slope]]&gt;=2),1,0)</f>
        <v>0</v>
      </c>
      <c r="V23">
        <f>COUNTIFS(Table1[target],1)</f>
        <v>165</v>
      </c>
    </row>
    <row r="24" spans="1:22" x14ac:dyDescent="0.25">
      <c r="A24">
        <v>70</v>
      </c>
      <c r="B24">
        <v>1</v>
      </c>
      <c r="C24">
        <v>2</v>
      </c>
      <c r="D24">
        <v>160</v>
      </c>
      <c r="E24">
        <v>269</v>
      </c>
      <c r="F24">
        <v>0</v>
      </c>
      <c r="G24">
        <v>1</v>
      </c>
      <c r="H24">
        <v>112</v>
      </c>
      <c r="I24">
        <v>1</v>
      </c>
      <c r="J24">
        <v>2.9</v>
      </c>
      <c r="K24">
        <v>1</v>
      </c>
      <c r="L24">
        <v>1</v>
      </c>
      <c r="M24">
        <v>3</v>
      </c>
      <c r="N24">
        <v>0</v>
      </c>
      <c r="O24" t="str">
        <f>IF(Table1[[#This Row],[sex]]=1,"Male","Female")</f>
        <v>Male</v>
      </c>
      <c r="P24" t="str">
        <f>IF(Table1[[#This Row],[cp]]=0,"Typical Angina",IF(Table1[[#This Row],[cp]]=1,"Atypical Angina",IF(Table1[[#This Row],[cp]]=2,"Non-Anginal Pain","Asymptomatic")))</f>
        <v>Non-Anginal Pain</v>
      </c>
      <c r="Q24">
        <f>IF(Table1[[#This Row],[trestbps]]&gt;=130, 1, 0)</f>
        <v>1</v>
      </c>
      <c r="R24">
        <f>IF(AND(Table1[[#This Row],[target]]=1,OR(Table1[[#This Row],[cp]]=0,Table1[[#This Row],[cp]]=1,Table1[[#This Row],[cp]]=2,Table1[[#This Row],[cp]])),1,0)</f>
        <v>0</v>
      </c>
      <c r="S24">
        <f>IF(AND(Table1[[#This Row],[Chest Pain + Target]]=1,Table1[[#This Row],[trestbps]]&gt;=130),1,0)</f>
        <v>0</v>
      </c>
      <c r="T24">
        <f>IF(AND(Table1[[#This Row],[Add BP]]=1,Table1[[#This Row],[chol]]&gt;=200),1,0)</f>
        <v>0</v>
      </c>
      <c r="U24">
        <f>IF(AND(Table1[[#This Row],[Add Cholestrol]]=1,Table1[[#This Row],[slope]]&gt;=2),1,0)</f>
        <v>0</v>
      </c>
      <c r="V24">
        <f>COUNTIFS(Table1[target],1)</f>
        <v>165</v>
      </c>
    </row>
    <row r="25" spans="1:22" x14ac:dyDescent="0.25">
      <c r="A25">
        <v>54</v>
      </c>
      <c r="B25">
        <v>1</v>
      </c>
      <c r="C25">
        <v>0</v>
      </c>
      <c r="D25">
        <v>120</v>
      </c>
      <c r="E25">
        <v>188</v>
      </c>
      <c r="F25">
        <v>0</v>
      </c>
      <c r="G25">
        <v>1</v>
      </c>
      <c r="H25">
        <v>113</v>
      </c>
      <c r="I25">
        <v>0</v>
      </c>
      <c r="J25">
        <v>1.4</v>
      </c>
      <c r="K25">
        <v>1</v>
      </c>
      <c r="L25">
        <v>1</v>
      </c>
      <c r="M25">
        <v>3</v>
      </c>
      <c r="N25">
        <v>0</v>
      </c>
      <c r="O25" t="str">
        <f>IF(Table1[[#This Row],[sex]]=1,"Male","Female")</f>
        <v>Male</v>
      </c>
      <c r="P25" t="str">
        <f>IF(Table1[[#This Row],[cp]]=0,"Typical Angina",IF(Table1[[#This Row],[cp]]=1,"Atypical Angina",IF(Table1[[#This Row],[cp]]=2,"Non-Anginal Pain","Asymptomatic")))</f>
        <v>Typical Angina</v>
      </c>
      <c r="Q25">
        <f>IF(Table1[[#This Row],[trestbps]]&gt;=130, 1, 0)</f>
        <v>0</v>
      </c>
      <c r="R25">
        <f>IF(AND(Table1[[#This Row],[target]]=1,OR(Table1[[#This Row],[cp]]=0,Table1[[#This Row],[cp]]=1,Table1[[#This Row],[cp]]=2,Table1[[#This Row],[cp]])),1,0)</f>
        <v>0</v>
      </c>
      <c r="S25">
        <f>IF(AND(Table1[[#This Row],[Chest Pain + Target]]=1,Table1[[#This Row],[trestbps]]&gt;=130),1,0)</f>
        <v>0</v>
      </c>
      <c r="T25">
        <f>IF(AND(Table1[[#This Row],[Add BP]]=1,Table1[[#This Row],[chol]]&gt;=200),1,0)</f>
        <v>0</v>
      </c>
      <c r="U25">
        <f>IF(AND(Table1[[#This Row],[Add Cholestrol]]=1,Table1[[#This Row],[slope]]&gt;=2),1,0)</f>
        <v>0</v>
      </c>
      <c r="V25">
        <f>COUNTIFS(Table1[target],1)</f>
        <v>165</v>
      </c>
    </row>
    <row r="26" spans="1:22" x14ac:dyDescent="0.25">
      <c r="A26">
        <v>66</v>
      </c>
      <c r="B26">
        <v>0</v>
      </c>
      <c r="C26">
        <v>3</v>
      </c>
      <c r="D26">
        <v>150</v>
      </c>
      <c r="E26">
        <v>226</v>
      </c>
      <c r="F26">
        <v>0</v>
      </c>
      <c r="G26">
        <v>1</v>
      </c>
      <c r="H26">
        <v>114</v>
      </c>
      <c r="I26">
        <v>0</v>
      </c>
      <c r="J26">
        <v>2.6</v>
      </c>
      <c r="K26">
        <v>0</v>
      </c>
      <c r="L26">
        <v>0</v>
      </c>
      <c r="M26">
        <v>2</v>
      </c>
      <c r="N26">
        <v>1</v>
      </c>
      <c r="O26" t="str">
        <f>IF(Table1[[#This Row],[sex]]=1,"Male","Female")</f>
        <v>Female</v>
      </c>
      <c r="P26" t="str">
        <f>IF(Table1[[#This Row],[cp]]=0,"Typical Angina",IF(Table1[[#This Row],[cp]]=1,"Atypical Angina",IF(Table1[[#This Row],[cp]]=2,"Non-Anginal Pain","Asymptomatic")))</f>
        <v>Asymptomatic</v>
      </c>
      <c r="Q26">
        <f>IF(Table1[[#This Row],[trestbps]]&gt;=130, 1, 0)</f>
        <v>1</v>
      </c>
      <c r="R26">
        <f>IF(AND(Table1[[#This Row],[target]]=1,OR(Table1[[#This Row],[cp]]=0,Table1[[#This Row],[cp]]=1,Table1[[#This Row],[cp]]=2,Table1[[#This Row],[cp]])),1,0)</f>
        <v>1</v>
      </c>
      <c r="S26">
        <f>IF(AND(Table1[[#This Row],[Chest Pain + Target]]=1,Table1[[#This Row],[trestbps]]&gt;=130),1,0)</f>
        <v>1</v>
      </c>
      <c r="T26">
        <f>IF(AND(Table1[[#This Row],[Add BP]]=1,Table1[[#This Row],[chol]]&gt;=200),1,0)</f>
        <v>1</v>
      </c>
      <c r="U26">
        <f>IF(AND(Table1[[#This Row],[Add Cholestrol]]=1,Table1[[#This Row],[slope]]&gt;=2),1,0)</f>
        <v>0</v>
      </c>
      <c r="V26">
        <f>COUNTIFS(Table1[target],1)</f>
        <v>165</v>
      </c>
    </row>
    <row r="27" spans="1:22" x14ac:dyDescent="0.25">
      <c r="A27">
        <v>40</v>
      </c>
      <c r="B27">
        <v>1</v>
      </c>
      <c r="C27">
        <v>0</v>
      </c>
      <c r="D27">
        <v>110</v>
      </c>
      <c r="E27">
        <v>167</v>
      </c>
      <c r="F27">
        <v>0</v>
      </c>
      <c r="G27">
        <v>0</v>
      </c>
      <c r="H27">
        <v>114</v>
      </c>
      <c r="I27">
        <v>1</v>
      </c>
      <c r="J27">
        <v>2</v>
      </c>
      <c r="K27">
        <v>1</v>
      </c>
      <c r="L27">
        <v>0</v>
      </c>
      <c r="M27">
        <v>3</v>
      </c>
      <c r="N27">
        <v>0</v>
      </c>
      <c r="O27" t="str">
        <f>IF(Table1[[#This Row],[sex]]=1,"Male","Female")</f>
        <v>Male</v>
      </c>
      <c r="P27" t="str">
        <f>IF(Table1[[#This Row],[cp]]=0,"Typical Angina",IF(Table1[[#This Row],[cp]]=1,"Atypical Angina",IF(Table1[[#This Row],[cp]]=2,"Non-Anginal Pain","Asymptomatic")))</f>
        <v>Typical Angina</v>
      </c>
      <c r="Q27">
        <f>IF(Table1[[#This Row],[trestbps]]&gt;=130, 1, 0)</f>
        <v>0</v>
      </c>
      <c r="R27">
        <f>IF(AND(Table1[[#This Row],[target]]=1,OR(Table1[[#This Row],[cp]]=0,Table1[[#This Row],[cp]]=1,Table1[[#This Row],[cp]]=2,Table1[[#This Row],[cp]])),1,0)</f>
        <v>0</v>
      </c>
      <c r="S27">
        <f>IF(AND(Table1[[#This Row],[Chest Pain + Target]]=1,Table1[[#This Row],[trestbps]]&gt;=130),1,0)</f>
        <v>0</v>
      </c>
      <c r="T27">
        <f>IF(AND(Table1[[#This Row],[Add BP]]=1,Table1[[#This Row],[chol]]&gt;=200),1,0)</f>
        <v>0</v>
      </c>
      <c r="U27">
        <f>IF(AND(Table1[[#This Row],[Add Cholestrol]]=1,Table1[[#This Row],[slope]]&gt;=2),1,0)</f>
        <v>0</v>
      </c>
      <c r="V27">
        <f>COUNTIFS(Table1[target],1)</f>
        <v>165</v>
      </c>
    </row>
    <row r="28" spans="1:22" x14ac:dyDescent="0.25">
      <c r="A28">
        <v>65</v>
      </c>
      <c r="B28">
        <v>0</v>
      </c>
      <c r="C28">
        <v>0</v>
      </c>
      <c r="D28">
        <v>150</v>
      </c>
      <c r="E28">
        <v>225</v>
      </c>
      <c r="F28">
        <v>0</v>
      </c>
      <c r="G28">
        <v>0</v>
      </c>
      <c r="H28">
        <v>114</v>
      </c>
      <c r="I28">
        <v>0</v>
      </c>
      <c r="J28">
        <v>1</v>
      </c>
      <c r="K28">
        <v>1</v>
      </c>
      <c r="L28">
        <v>3</v>
      </c>
      <c r="M28">
        <v>3</v>
      </c>
      <c r="N28">
        <v>0</v>
      </c>
      <c r="O28" t="str">
        <f>IF(Table1[[#This Row],[sex]]=1,"Male","Female")</f>
        <v>Female</v>
      </c>
      <c r="P28" t="str">
        <f>IF(Table1[[#This Row],[cp]]=0,"Typical Angina",IF(Table1[[#This Row],[cp]]=1,"Atypical Angina",IF(Table1[[#This Row],[cp]]=2,"Non-Anginal Pain","Asymptomatic")))</f>
        <v>Typical Angina</v>
      </c>
      <c r="Q28">
        <f>IF(Table1[[#This Row],[trestbps]]&gt;=130, 1, 0)</f>
        <v>1</v>
      </c>
      <c r="R28">
        <f>IF(AND(Table1[[#This Row],[target]]=1,OR(Table1[[#This Row],[cp]]=0,Table1[[#This Row],[cp]]=1,Table1[[#This Row],[cp]]=2,Table1[[#This Row],[cp]])),1,0)</f>
        <v>0</v>
      </c>
      <c r="S28">
        <f>IF(AND(Table1[[#This Row],[Chest Pain + Target]]=1,Table1[[#This Row],[trestbps]]&gt;=130),1,0)</f>
        <v>0</v>
      </c>
      <c r="T28">
        <f>IF(AND(Table1[[#This Row],[Add BP]]=1,Table1[[#This Row],[chol]]&gt;=200),1,0)</f>
        <v>0</v>
      </c>
      <c r="U28">
        <f>IF(AND(Table1[[#This Row],[Add Cholestrol]]=1,Table1[[#This Row],[slope]]&gt;=2),1,0)</f>
        <v>0</v>
      </c>
      <c r="V28">
        <f>COUNTIFS(Table1[target],1)</f>
        <v>165</v>
      </c>
    </row>
    <row r="29" spans="1:22" x14ac:dyDescent="0.25">
      <c r="A29">
        <v>53</v>
      </c>
      <c r="B29">
        <v>0</v>
      </c>
      <c r="C29">
        <v>2</v>
      </c>
      <c r="D29">
        <v>128</v>
      </c>
      <c r="E29">
        <v>216</v>
      </c>
      <c r="F29">
        <v>0</v>
      </c>
      <c r="G29">
        <v>0</v>
      </c>
      <c r="H29">
        <v>115</v>
      </c>
      <c r="I29">
        <v>0</v>
      </c>
      <c r="J29">
        <v>0</v>
      </c>
      <c r="K29">
        <v>2</v>
      </c>
      <c r="L29">
        <v>0</v>
      </c>
      <c r="M29">
        <v>0</v>
      </c>
      <c r="N29">
        <v>1</v>
      </c>
      <c r="O29" t="str">
        <f>IF(Table1[[#This Row],[sex]]=1,"Male","Female")</f>
        <v>Female</v>
      </c>
      <c r="P29" t="str">
        <f>IF(Table1[[#This Row],[cp]]=0,"Typical Angina",IF(Table1[[#This Row],[cp]]=1,"Atypical Angina",IF(Table1[[#This Row],[cp]]=2,"Non-Anginal Pain","Asymptomatic")))</f>
        <v>Non-Anginal Pain</v>
      </c>
      <c r="Q29">
        <f>IF(Table1[[#This Row],[trestbps]]&gt;=130, 1, 0)</f>
        <v>0</v>
      </c>
      <c r="R29">
        <f>IF(AND(Table1[[#This Row],[target]]=1,OR(Table1[[#This Row],[cp]]=0,Table1[[#This Row],[cp]]=1,Table1[[#This Row],[cp]]=2,Table1[[#This Row],[cp]])),1,0)</f>
        <v>1</v>
      </c>
      <c r="S29">
        <f>IF(AND(Table1[[#This Row],[Chest Pain + Target]]=1,Table1[[#This Row],[trestbps]]&gt;=130),1,0)</f>
        <v>0</v>
      </c>
      <c r="T29">
        <f>IF(AND(Table1[[#This Row],[Add BP]]=1,Table1[[#This Row],[chol]]&gt;=200),1,0)</f>
        <v>0</v>
      </c>
      <c r="U29">
        <f>IF(AND(Table1[[#This Row],[Add Cholestrol]]=1,Table1[[#This Row],[slope]]&gt;=2),1,0)</f>
        <v>0</v>
      </c>
      <c r="V29">
        <f>COUNTIFS(Table1[target],1)</f>
        <v>165</v>
      </c>
    </row>
    <row r="30" spans="1:22" x14ac:dyDescent="0.25">
      <c r="A30">
        <v>68</v>
      </c>
      <c r="B30">
        <v>0</v>
      </c>
      <c r="C30">
        <v>2</v>
      </c>
      <c r="D30">
        <v>120</v>
      </c>
      <c r="E30">
        <v>211</v>
      </c>
      <c r="F30">
        <v>0</v>
      </c>
      <c r="G30">
        <v>0</v>
      </c>
      <c r="H30">
        <v>115</v>
      </c>
      <c r="I30">
        <v>0</v>
      </c>
      <c r="J30">
        <v>1.5</v>
      </c>
      <c r="K30">
        <v>1</v>
      </c>
      <c r="L30">
        <v>0</v>
      </c>
      <c r="M30">
        <v>2</v>
      </c>
      <c r="N30">
        <v>1</v>
      </c>
      <c r="O30" t="str">
        <f>IF(Table1[[#This Row],[sex]]=1,"Male","Female")</f>
        <v>Female</v>
      </c>
      <c r="P30" t="str">
        <f>IF(Table1[[#This Row],[cp]]=0,"Typical Angina",IF(Table1[[#This Row],[cp]]=1,"Atypical Angina",IF(Table1[[#This Row],[cp]]=2,"Non-Anginal Pain","Asymptomatic")))</f>
        <v>Non-Anginal Pain</v>
      </c>
      <c r="Q30">
        <f>IF(Table1[[#This Row],[trestbps]]&gt;=130, 1, 0)</f>
        <v>0</v>
      </c>
      <c r="R30">
        <f>IF(AND(Table1[[#This Row],[target]]=1,OR(Table1[[#This Row],[cp]]=0,Table1[[#This Row],[cp]]=1,Table1[[#This Row],[cp]]=2,Table1[[#This Row],[cp]])),1,0)</f>
        <v>1</v>
      </c>
      <c r="S30">
        <f>IF(AND(Table1[[#This Row],[Chest Pain + Target]]=1,Table1[[#This Row],[trestbps]]&gt;=130),1,0)</f>
        <v>0</v>
      </c>
      <c r="T30">
        <f>IF(AND(Table1[[#This Row],[Add BP]]=1,Table1[[#This Row],[chol]]&gt;=200),1,0)</f>
        <v>0</v>
      </c>
      <c r="U30">
        <f>IF(AND(Table1[[#This Row],[Add Cholestrol]]=1,Table1[[#This Row],[slope]]&gt;=2),1,0)</f>
        <v>0</v>
      </c>
      <c r="V30">
        <f>COUNTIFS(Table1[target],1)</f>
        <v>165</v>
      </c>
    </row>
    <row r="31" spans="1:22" x14ac:dyDescent="0.25">
      <c r="A31">
        <v>57</v>
      </c>
      <c r="B31">
        <v>1</v>
      </c>
      <c r="C31">
        <v>0</v>
      </c>
      <c r="D31">
        <v>130</v>
      </c>
      <c r="E31">
        <v>131</v>
      </c>
      <c r="F31">
        <v>0</v>
      </c>
      <c r="G31">
        <v>1</v>
      </c>
      <c r="H31">
        <v>115</v>
      </c>
      <c r="I31">
        <v>1</v>
      </c>
      <c r="J31">
        <v>1.2</v>
      </c>
      <c r="K31">
        <v>1</v>
      </c>
      <c r="L31">
        <v>1</v>
      </c>
      <c r="M31">
        <v>3</v>
      </c>
      <c r="N31">
        <v>0</v>
      </c>
      <c r="O31" t="str">
        <f>IF(Table1[[#This Row],[sex]]=1,"Male","Female")</f>
        <v>Male</v>
      </c>
      <c r="P31" t="str">
        <f>IF(Table1[[#This Row],[cp]]=0,"Typical Angina",IF(Table1[[#This Row],[cp]]=1,"Atypical Angina",IF(Table1[[#This Row],[cp]]=2,"Non-Anginal Pain","Asymptomatic")))</f>
        <v>Typical Angina</v>
      </c>
      <c r="Q31">
        <f>IF(Table1[[#This Row],[trestbps]]&gt;=130, 1, 0)</f>
        <v>1</v>
      </c>
      <c r="R31">
        <f>IF(AND(Table1[[#This Row],[target]]=1,OR(Table1[[#This Row],[cp]]=0,Table1[[#This Row],[cp]]=1,Table1[[#This Row],[cp]]=2,Table1[[#This Row],[cp]])),1,0)</f>
        <v>0</v>
      </c>
      <c r="S31">
        <f>IF(AND(Table1[[#This Row],[Chest Pain + Target]]=1,Table1[[#This Row],[trestbps]]&gt;=130),1,0)</f>
        <v>0</v>
      </c>
      <c r="T31">
        <f>IF(AND(Table1[[#This Row],[Add BP]]=1,Table1[[#This Row],[chol]]&gt;=200),1,0)</f>
        <v>0</v>
      </c>
      <c r="U31">
        <f>IF(AND(Table1[[#This Row],[Add Cholestrol]]=1,Table1[[#This Row],[slope]]&gt;=2),1,0)</f>
        <v>0</v>
      </c>
      <c r="V31">
        <f>COUNTIFS(Table1[target],1)</f>
        <v>165</v>
      </c>
    </row>
    <row r="32" spans="1:22" x14ac:dyDescent="0.25">
      <c r="A32">
        <v>76</v>
      </c>
      <c r="B32">
        <v>0</v>
      </c>
      <c r="C32">
        <v>2</v>
      </c>
      <c r="D32">
        <v>140</v>
      </c>
      <c r="E32">
        <v>197</v>
      </c>
      <c r="F32">
        <v>0</v>
      </c>
      <c r="G32">
        <v>2</v>
      </c>
      <c r="H32">
        <v>116</v>
      </c>
      <c r="I32">
        <v>0</v>
      </c>
      <c r="J32">
        <v>1.1000000000000001</v>
      </c>
      <c r="K32">
        <v>1</v>
      </c>
      <c r="L32">
        <v>0</v>
      </c>
      <c r="M32">
        <v>2</v>
      </c>
      <c r="N32">
        <v>1</v>
      </c>
      <c r="O32" t="str">
        <f>IF(Table1[[#This Row],[sex]]=1,"Male","Female")</f>
        <v>Female</v>
      </c>
      <c r="P32" t="str">
        <f>IF(Table1[[#This Row],[cp]]=0,"Typical Angina",IF(Table1[[#This Row],[cp]]=1,"Atypical Angina",IF(Table1[[#This Row],[cp]]=2,"Non-Anginal Pain","Asymptomatic")))</f>
        <v>Non-Anginal Pain</v>
      </c>
      <c r="Q32">
        <f>IF(Table1[[#This Row],[trestbps]]&gt;=130, 1, 0)</f>
        <v>1</v>
      </c>
      <c r="R32">
        <f>IF(AND(Table1[[#This Row],[target]]=1,OR(Table1[[#This Row],[cp]]=0,Table1[[#This Row],[cp]]=1,Table1[[#This Row],[cp]]=2,Table1[[#This Row],[cp]])),1,0)</f>
        <v>1</v>
      </c>
      <c r="S32">
        <f>IF(AND(Table1[[#This Row],[Chest Pain + Target]]=1,Table1[[#This Row],[trestbps]]&gt;=130),1,0)</f>
        <v>1</v>
      </c>
      <c r="T32">
        <f>IF(AND(Table1[[#This Row],[Add BP]]=1,Table1[[#This Row],[chol]]&gt;=200),1,0)</f>
        <v>0</v>
      </c>
      <c r="U32">
        <f>IF(AND(Table1[[#This Row],[Add Cholestrol]]=1,Table1[[#This Row],[slope]]&gt;=2),1,0)</f>
        <v>0</v>
      </c>
      <c r="V32">
        <f>COUNTIFS(Table1[target],1)</f>
        <v>165</v>
      </c>
    </row>
    <row r="33" spans="1:22" x14ac:dyDescent="0.25">
      <c r="A33">
        <v>54</v>
      </c>
      <c r="B33">
        <v>1</v>
      </c>
      <c r="C33">
        <v>0</v>
      </c>
      <c r="D33">
        <v>122</v>
      </c>
      <c r="E33">
        <v>286</v>
      </c>
      <c r="F33">
        <v>0</v>
      </c>
      <c r="G33">
        <v>0</v>
      </c>
      <c r="H33">
        <v>116</v>
      </c>
      <c r="I33">
        <v>1</v>
      </c>
      <c r="J33">
        <v>3.2</v>
      </c>
      <c r="K33">
        <v>1</v>
      </c>
      <c r="L33">
        <v>2</v>
      </c>
      <c r="M33">
        <v>2</v>
      </c>
      <c r="N33">
        <v>0</v>
      </c>
      <c r="O33" t="str">
        <f>IF(Table1[[#This Row],[sex]]=1,"Male","Female")</f>
        <v>Male</v>
      </c>
      <c r="P33" t="str">
        <f>IF(Table1[[#This Row],[cp]]=0,"Typical Angina",IF(Table1[[#This Row],[cp]]=1,"Atypical Angina",IF(Table1[[#This Row],[cp]]=2,"Non-Anginal Pain","Asymptomatic")))</f>
        <v>Typical Angina</v>
      </c>
      <c r="Q33">
        <f>IF(Table1[[#This Row],[trestbps]]&gt;=130, 1, 0)</f>
        <v>0</v>
      </c>
      <c r="R33">
        <f>IF(AND(Table1[[#This Row],[target]]=1,OR(Table1[[#This Row],[cp]]=0,Table1[[#This Row],[cp]]=1,Table1[[#This Row],[cp]]=2,Table1[[#This Row],[cp]])),1,0)</f>
        <v>0</v>
      </c>
      <c r="S33">
        <f>IF(AND(Table1[[#This Row],[Chest Pain + Target]]=1,Table1[[#This Row],[trestbps]]&gt;=130),1,0)</f>
        <v>0</v>
      </c>
      <c r="T33">
        <f>IF(AND(Table1[[#This Row],[Add BP]]=1,Table1[[#This Row],[chol]]&gt;=200),1,0)</f>
        <v>0</v>
      </c>
      <c r="U33">
        <f>IF(AND(Table1[[#This Row],[Add Cholestrol]]=1,Table1[[#This Row],[slope]]&gt;=2),1,0)</f>
        <v>0</v>
      </c>
      <c r="V33">
        <f>COUNTIFS(Table1[target],1)</f>
        <v>165</v>
      </c>
    </row>
    <row r="34" spans="1:22" x14ac:dyDescent="0.25">
      <c r="A34">
        <v>55</v>
      </c>
      <c r="B34">
        <v>0</v>
      </c>
      <c r="C34">
        <v>0</v>
      </c>
      <c r="D34">
        <v>180</v>
      </c>
      <c r="E34">
        <v>327</v>
      </c>
      <c r="F34">
        <v>0</v>
      </c>
      <c r="G34">
        <v>2</v>
      </c>
      <c r="H34">
        <v>117</v>
      </c>
      <c r="I34">
        <v>1</v>
      </c>
      <c r="J34">
        <v>3.4</v>
      </c>
      <c r="K34">
        <v>1</v>
      </c>
      <c r="L34">
        <v>0</v>
      </c>
      <c r="M34">
        <v>2</v>
      </c>
      <c r="N34">
        <v>0</v>
      </c>
      <c r="O34" t="str">
        <f>IF(Table1[[#This Row],[sex]]=1,"Male","Female")</f>
        <v>Female</v>
      </c>
      <c r="P34" t="str">
        <f>IF(Table1[[#This Row],[cp]]=0,"Typical Angina",IF(Table1[[#This Row],[cp]]=1,"Atypical Angina",IF(Table1[[#This Row],[cp]]=2,"Non-Anginal Pain","Asymptomatic")))</f>
        <v>Typical Angina</v>
      </c>
      <c r="Q34">
        <f>IF(Table1[[#This Row],[trestbps]]&gt;=130, 1, 0)</f>
        <v>1</v>
      </c>
      <c r="R34">
        <f>IF(AND(Table1[[#This Row],[target]]=1,OR(Table1[[#This Row],[cp]]=0,Table1[[#This Row],[cp]]=1,Table1[[#This Row],[cp]]=2,Table1[[#This Row],[cp]])),1,0)</f>
        <v>0</v>
      </c>
      <c r="S34">
        <f>IF(AND(Table1[[#This Row],[Chest Pain + Target]]=1,Table1[[#This Row],[trestbps]]&gt;=130),1,0)</f>
        <v>0</v>
      </c>
      <c r="T34">
        <f>IF(AND(Table1[[#This Row],[Add BP]]=1,Table1[[#This Row],[chol]]&gt;=200),1,0)</f>
        <v>0</v>
      </c>
      <c r="U34">
        <f>IF(AND(Table1[[#This Row],[Add Cholestrol]]=1,Table1[[#This Row],[slope]]&gt;=2),1,0)</f>
        <v>0</v>
      </c>
      <c r="V34">
        <f>COUNTIFS(Table1[target],1)</f>
        <v>165</v>
      </c>
    </row>
    <row r="35" spans="1:22" x14ac:dyDescent="0.25">
      <c r="A35">
        <v>47</v>
      </c>
      <c r="B35">
        <v>1</v>
      </c>
      <c r="C35">
        <v>0</v>
      </c>
      <c r="D35">
        <v>110</v>
      </c>
      <c r="E35">
        <v>275</v>
      </c>
      <c r="F35">
        <v>0</v>
      </c>
      <c r="G35">
        <v>0</v>
      </c>
      <c r="H35">
        <v>118</v>
      </c>
      <c r="I35">
        <v>1</v>
      </c>
      <c r="J35">
        <v>1</v>
      </c>
      <c r="K35">
        <v>1</v>
      </c>
      <c r="L35">
        <v>1</v>
      </c>
      <c r="M35">
        <v>2</v>
      </c>
      <c r="N35">
        <v>0</v>
      </c>
      <c r="O35" t="str">
        <f>IF(Table1[[#This Row],[sex]]=1,"Male","Female")</f>
        <v>Male</v>
      </c>
      <c r="P35" t="str">
        <f>IF(Table1[[#This Row],[cp]]=0,"Typical Angina",IF(Table1[[#This Row],[cp]]=1,"Atypical Angina",IF(Table1[[#This Row],[cp]]=2,"Non-Anginal Pain","Asymptomatic")))</f>
        <v>Typical Angina</v>
      </c>
      <c r="Q35">
        <f>IF(Table1[[#This Row],[trestbps]]&gt;=130, 1, 0)</f>
        <v>0</v>
      </c>
      <c r="R35">
        <f>IF(AND(Table1[[#This Row],[target]]=1,OR(Table1[[#This Row],[cp]]=0,Table1[[#This Row],[cp]]=1,Table1[[#This Row],[cp]]=2,Table1[[#This Row],[cp]])),1,0)</f>
        <v>0</v>
      </c>
      <c r="S35">
        <f>IF(AND(Table1[[#This Row],[Chest Pain + Target]]=1,Table1[[#This Row],[trestbps]]&gt;=130),1,0)</f>
        <v>0</v>
      </c>
      <c r="T35">
        <f>IF(AND(Table1[[#This Row],[Add BP]]=1,Table1[[#This Row],[chol]]&gt;=200),1,0)</f>
        <v>0</v>
      </c>
      <c r="U35">
        <f>IF(AND(Table1[[#This Row],[Add Cholestrol]]=1,Table1[[#This Row],[slope]]&gt;=2),1,0)</f>
        <v>0</v>
      </c>
      <c r="V35">
        <f>COUNTIFS(Table1[target],1)</f>
        <v>165</v>
      </c>
    </row>
    <row r="36" spans="1:22" x14ac:dyDescent="0.25">
      <c r="A36">
        <v>43</v>
      </c>
      <c r="B36">
        <v>1</v>
      </c>
      <c r="C36">
        <v>0</v>
      </c>
      <c r="D36">
        <v>120</v>
      </c>
      <c r="E36">
        <v>177</v>
      </c>
      <c r="F36">
        <v>0</v>
      </c>
      <c r="G36">
        <v>0</v>
      </c>
      <c r="H36">
        <v>120</v>
      </c>
      <c r="I36">
        <v>1</v>
      </c>
      <c r="J36">
        <v>2.5</v>
      </c>
      <c r="K36">
        <v>1</v>
      </c>
      <c r="L36">
        <v>0</v>
      </c>
      <c r="M36">
        <v>3</v>
      </c>
      <c r="N36">
        <v>0</v>
      </c>
      <c r="O36" t="str">
        <f>IF(Table1[[#This Row],[sex]]=1,"Male","Female")</f>
        <v>Male</v>
      </c>
      <c r="P36" t="str">
        <f>IF(Table1[[#This Row],[cp]]=0,"Typical Angina",IF(Table1[[#This Row],[cp]]=1,"Atypical Angina",IF(Table1[[#This Row],[cp]]=2,"Non-Anginal Pain","Asymptomatic")))</f>
        <v>Typical Angina</v>
      </c>
      <c r="Q36">
        <f>IF(Table1[[#This Row],[trestbps]]&gt;=130, 1, 0)</f>
        <v>0</v>
      </c>
      <c r="R36">
        <f>IF(AND(Table1[[#This Row],[target]]=1,OR(Table1[[#This Row],[cp]]=0,Table1[[#This Row],[cp]]=1,Table1[[#This Row],[cp]]=2,Table1[[#This Row],[cp]])),1,0)</f>
        <v>0</v>
      </c>
      <c r="S36">
        <f>IF(AND(Table1[[#This Row],[Chest Pain + Target]]=1,Table1[[#This Row],[trestbps]]&gt;=130),1,0)</f>
        <v>0</v>
      </c>
      <c r="T36">
        <f>IF(AND(Table1[[#This Row],[Add BP]]=1,Table1[[#This Row],[chol]]&gt;=200),1,0)</f>
        <v>0</v>
      </c>
      <c r="U36">
        <f>IF(AND(Table1[[#This Row],[Add Cholestrol]]=1,Table1[[#This Row],[slope]]&gt;=2),1,0)</f>
        <v>0</v>
      </c>
      <c r="V36">
        <f>COUNTIFS(Table1[target],1)</f>
        <v>165</v>
      </c>
    </row>
    <row r="37" spans="1:22" x14ac:dyDescent="0.25">
      <c r="A37">
        <v>66</v>
      </c>
      <c r="B37">
        <v>1</v>
      </c>
      <c r="C37">
        <v>1</v>
      </c>
      <c r="D37">
        <v>160</v>
      </c>
      <c r="E37">
        <v>246</v>
      </c>
      <c r="F37">
        <v>0</v>
      </c>
      <c r="G37">
        <v>1</v>
      </c>
      <c r="H37">
        <v>120</v>
      </c>
      <c r="I37">
        <v>1</v>
      </c>
      <c r="J37">
        <v>0</v>
      </c>
      <c r="K37">
        <v>1</v>
      </c>
      <c r="L37">
        <v>3</v>
      </c>
      <c r="M37">
        <v>1</v>
      </c>
      <c r="N37">
        <v>0</v>
      </c>
      <c r="O37" t="str">
        <f>IF(Table1[[#This Row],[sex]]=1,"Male","Female")</f>
        <v>Male</v>
      </c>
      <c r="P37" t="str">
        <f>IF(Table1[[#This Row],[cp]]=0,"Typical Angina",IF(Table1[[#This Row],[cp]]=1,"Atypical Angina",IF(Table1[[#This Row],[cp]]=2,"Non-Anginal Pain","Asymptomatic")))</f>
        <v>Atypical Angina</v>
      </c>
      <c r="Q37">
        <f>IF(Table1[[#This Row],[trestbps]]&gt;=130, 1, 0)</f>
        <v>1</v>
      </c>
      <c r="R37">
        <f>IF(AND(Table1[[#This Row],[target]]=1,OR(Table1[[#This Row],[cp]]=0,Table1[[#This Row],[cp]]=1,Table1[[#This Row],[cp]]=2,Table1[[#This Row],[cp]])),1,0)</f>
        <v>0</v>
      </c>
      <c r="S37">
        <f>IF(AND(Table1[[#This Row],[Chest Pain + Target]]=1,Table1[[#This Row],[trestbps]]&gt;=130),1,0)</f>
        <v>0</v>
      </c>
      <c r="T37">
        <f>IF(AND(Table1[[#This Row],[Add BP]]=1,Table1[[#This Row],[chol]]&gt;=200),1,0)</f>
        <v>0</v>
      </c>
      <c r="U37">
        <f>IF(AND(Table1[[#This Row],[Add Cholestrol]]=1,Table1[[#This Row],[slope]]&gt;=2),1,0)</f>
        <v>0</v>
      </c>
      <c r="V37">
        <f>COUNTIFS(Table1[target],1)</f>
        <v>165</v>
      </c>
    </row>
    <row r="38" spans="1:22" x14ac:dyDescent="0.25">
      <c r="A38">
        <v>46</v>
      </c>
      <c r="B38">
        <v>1</v>
      </c>
      <c r="C38">
        <v>0</v>
      </c>
      <c r="D38">
        <v>140</v>
      </c>
      <c r="E38">
        <v>311</v>
      </c>
      <c r="F38">
        <v>0</v>
      </c>
      <c r="G38">
        <v>1</v>
      </c>
      <c r="H38">
        <v>120</v>
      </c>
      <c r="I38">
        <v>1</v>
      </c>
      <c r="J38">
        <v>1.8</v>
      </c>
      <c r="K38">
        <v>1</v>
      </c>
      <c r="L38">
        <v>2</v>
      </c>
      <c r="M38">
        <v>3</v>
      </c>
      <c r="N38">
        <v>0</v>
      </c>
      <c r="O38" t="str">
        <f>IF(Table1[[#This Row],[sex]]=1,"Male","Female")</f>
        <v>Male</v>
      </c>
      <c r="P38" t="str">
        <f>IF(Table1[[#This Row],[cp]]=0,"Typical Angina",IF(Table1[[#This Row],[cp]]=1,"Atypical Angina",IF(Table1[[#This Row],[cp]]=2,"Non-Anginal Pain","Asymptomatic")))</f>
        <v>Typical Angina</v>
      </c>
      <c r="Q38">
        <f>IF(Table1[[#This Row],[trestbps]]&gt;=130, 1, 0)</f>
        <v>1</v>
      </c>
      <c r="R38">
        <f>IF(AND(Table1[[#This Row],[target]]=1,OR(Table1[[#This Row],[cp]]=0,Table1[[#This Row],[cp]]=1,Table1[[#This Row],[cp]]=2,Table1[[#This Row],[cp]])),1,0)</f>
        <v>0</v>
      </c>
      <c r="S38">
        <f>IF(AND(Table1[[#This Row],[Chest Pain + Target]]=1,Table1[[#This Row],[trestbps]]&gt;=130),1,0)</f>
        <v>0</v>
      </c>
      <c r="T38">
        <f>IF(AND(Table1[[#This Row],[Add BP]]=1,Table1[[#This Row],[chol]]&gt;=200),1,0)</f>
        <v>0</v>
      </c>
      <c r="U38">
        <f>IF(AND(Table1[[#This Row],[Add Cholestrol]]=1,Table1[[#This Row],[slope]]&gt;=2),1,0)</f>
        <v>0</v>
      </c>
      <c r="V38">
        <f>COUNTIFS(Table1[target],1)</f>
        <v>165</v>
      </c>
    </row>
    <row r="39" spans="1:22" x14ac:dyDescent="0.25">
      <c r="A39">
        <v>74</v>
      </c>
      <c r="B39">
        <v>0</v>
      </c>
      <c r="C39">
        <v>1</v>
      </c>
      <c r="D39">
        <v>120</v>
      </c>
      <c r="E39">
        <v>269</v>
      </c>
      <c r="F39">
        <v>0</v>
      </c>
      <c r="G39">
        <v>0</v>
      </c>
      <c r="H39">
        <v>121</v>
      </c>
      <c r="I39">
        <v>1</v>
      </c>
      <c r="J39">
        <v>0.2</v>
      </c>
      <c r="K39">
        <v>2</v>
      </c>
      <c r="L39">
        <v>1</v>
      </c>
      <c r="M39">
        <v>2</v>
      </c>
      <c r="N39">
        <v>1</v>
      </c>
      <c r="O39" t="str">
        <f>IF(Table1[[#This Row],[sex]]=1,"Male","Female")</f>
        <v>Female</v>
      </c>
      <c r="P39" t="str">
        <f>IF(Table1[[#This Row],[cp]]=0,"Typical Angina",IF(Table1[[#This Row],[cp]]=1,"Atypical Angina",IF(Table1[[#This Row],[cp]]=2,"Non-Anginal Pain","Asymptomatic")))</f>
        <v>Atypical Angina</v>
      </c>
      <c r="Q39">
        <f>IF(Table1[[#This Row],[trestbps]]&gt;=130, 1, 0)</f>
        <v>0</v>
      </c>
      <c r="R39">
        <f>IF(AND(Table1[[#This Row],[target]]=1,OR(Table1[[#This Row],[cp]]=0,Table1[[#This Row],[cp]]=1,Table1[[#This Row],[cp]]=2,Table1[[#This Row],[cp]])),1,0)</f>
        <v>1</v>
      </c>
      <c r="S39">
        <f>IF(AND(Table1[[#This Row],[Chest Pain + Target]]=1,Table1[[#This Row],[trestbps]]&gt;=130),1,0)</f>
        <v>0</v>
      </c>
      <c r="T39">
        <f>IF(AND(Table1[[#This Row],[Add BP]]=1,Table1[[#This Row],[chol]]&gt;=200),1,0)</f>
        <v>0</v>
      </c>
      <c r="U39">
        <f>IF(AND(Table1[[#This Row],[Add Cholestrol]]=1,Table1[[#This Row],[slope]]&gt;=2),1,0)</f>
        <v>0</v>
      </c>
      <c r="V39">
        <f>COUNTIFS(Table1[target],1)</f>
        <v>165</v>
      </c>
    </row>
    <row r="40" spans="1:22" x14ac:dyDescent="0.25">
      <c r="A40">
        <v>42</v>
      </c>
      <c r="B40">
        <v>0</v>
      </c>
      <c r="C40">
        <v>0</v>
      </c>
      <c r="D40">
        <v>102</v>
      </c>
      <c r="E40">
        <v>265</v>
      </c>
      <c r="F40">
        <v>0</v>
      </c>
      <c r="G40">
        <v>0</v>
      </c>
      <c r="H40">
        <v>122</v>
      </c>
      <c r="I40">
        <v>0</v>
      </c>
      <c r="J40">
        <v>0.6</v>
      </c>
      <c r="K40">
        <v>1</v>
      </c>
      <c r="L40">
        <v>0</v>
      </c>
      <c r="M40">
        <v>2</v>
      </c>
      <c r="N40">
        <v>1</v>
      </c>
      <c r="O40" t="str">
        <f>IF(Table1[[#This Row],[sex]]=1,"Male","Female")</f>
        <v>Female</v>
      </c>
      <c r="P40" t="str">
        <f>IF(Table1[[#This Row],[cp]]=0,"Typical Angina",IF(Table1[[#This Row],[cp]]=1,"Atypical Angina",IF(Table1[[#This Row],[cp]]=2,"Non-Anginal Pain","Asymptomatic")))</f>
        <v>Typical Angina</v>
      </c>
      <c r="Q40">
        <f>IF(Table1[[#This Row],[trestbps]]&gt;=130, 1, 0)</f>
        <v>0</v>
      </c>
      <c r="R40">
        <f>IF(AND(Table1[[#This Row],[target]]=1,OR(Table1[[#This Row],[cp]]=0,Table1[[#This Row],[cp]]=1,Table1[[#This Row],[cp]]=2,Table1[[#This Row],[cp]])),1,0)</f>
        <v>1</v>
      </c>
      <c r="S40">
        <f>IF(AND(Table1[[#This Row],[Chest Pain + Target]]=1,Table1[[#This Row],[trestbps]]&gt;=130),1,0)</f>
        <v>0</v>
      </c>
      <c r="T40">
        <f>IF(AND(Table1[[#This Row],[Add BP]]=1,Table1[[#This Row],[chol]]&gt;=200),1,0)</f>
        <v>0</v>
      </c>
      <c r="U40">
        <f>IF(AND(Table1[[#This Row],[Add Cholestrol]]=1,Table1[[#This Row],[slope]]&gt;=2),1,0)</f>
        <v>0</v>
      </c>
      <c r="V40">
        <f>COUNTIFS(Table1[target],1)</f>
        <v>165</v>
      </c>
    </row>
    <row r="41" spans="1:22" x14ac:dyDescent="0.25">
      <c r="A41">
        <v>58</v>
      </c>
      <c r="B41">
        <v>0</v>
      </c>
      <c r="C41">
        <v>0</v>
      </c>
      <c r="D41">
        <v>100</v>
      </c>
      <c r="E41">
        <v>248</v>
      </c>
      <c r="F41">
        <v>0</v>
      </c>
      <c r="G41">
        <v>0</v>
      </c>
      <c r="H41">
        <v>122</v>
      </c>
      <c r="I41">
        <v>0</v>
      </c>
      <c r="J41">
        <v>1</v>
      </c>
      <c r="K41">
        <v>1</v>
      </c>
      <c r="L41">
        <v>0</v>
      </c>
      <c r="M41">
        <v>2</v>
      </c>
      <c r="N41">
        <v>1</v>
      </c>
      <c r="O41" t="str">
        <f>IF(Table1[[#This Row],[sex]]=1,"Male","Female")</f>
        <v>Female</v>
      </c>
      <c r="P41" t="str">
        <f>IF(Table1[[#This Row],[cp]]=0,"Typical Angina",IF(Table1[[#This Row],[cp]]=1,"Atypical Angina",IF(Table1[[#This Row],[cp]]=2,"Non-Anginal Pain","Asymptomatic")))</f>
        <v>Typical Angina</v>
      </c>
      <c r="Q41">
        <f>IF(Table1[[#This Row],[trestbps]]&gt;=130, 1, 0)</f>
        <v>0</v>
      </c>
      <c r="R41">
        <f>IF(AND(Table1[[#This Row],[target]]=1,OR(Table1[[#This Row],[cp]]=0,Table1[[#This Row],[cp]]=1,Table1[[#This Row],[cp]]=2,Table1[[#This Row],[cp]])),1,0)</f>
        <v>1</v>
      </c>
      <c r="S41">
        <f>IF(AND(Table1[[#This Row],[Chest Pain + Target]]=1,Table1[[#This Row],[trestbps]]&gt;=130),1,0)</f>
        <v>0</v>
      </c>
      <c r="T41">
        <f>IF(AND(Table1[[#This Row],[Add BP]]=1,Table1[[#This Row],[chol]]&gt;=200),1,0)</f>
        <v>0</v>
      </c>
      <c r="U41">
        <f>IF(AND(Table1[[#This Row],[Add Cholestrol]]=1,Table1[[#This Row],[slope]]&gt;=2),1,0)</f>
        <v>0</v>
      </c>
      <c r="V41">
        <f>COUNTIFS(Table1[target],1)</f>
        <v>165</v>
      </c>
    </row>
    <row r="42" spans="1:22" x14ac:dyDescent="0.25">
      <c r="A42">
        <v>64</v>
      </c>
      <c r="B42">
        <v>0</v>
      </c>
      <c r="C42">
        <v>0</v>
      </c>
      <c r="D42">
        <v>130</v>
      </c>
      <c r="E42">
        <v>303</v>
      </c>
      <c r="F42">
        <v>0</v>
      </c>
      <c r="G42">
        <v>1</v>
      </c>
      <c r="H42">
        <v>122</v>
      </c>
      <c r="I42">
        <v>0</v>
      </c>
      <c r="J42">
        <v>2</v>
      </c>
      <c r="K42">
        <v>1</v>
      </c>
      <c r="L42">
        <v>2</v>
      </c>
      <c r="M42">
        <v>2</v>
      </c>
      <c r="N42">
        <v>1</v>
      </c>
      <c r="O42" t="str">
        <f>IF(Table1[[#This Row],[sex]]=1,"Male","Female")</f>
        <v>Female</v>
      </c>
      <c r="P42" t="str">
        <f>IF(Table1[[#This Row],[cp]]=0,"Typical Angina",IF(Table1[[#This Row],[cp]]=1,"Atypical Angina",IF(Table1[[#This Row],[cp]]=2,"Non-Anginal Pain","Asymptomatic")))</f>
        <v>Typical Angina</v>
      </c>
      <c r="Q42">
        <f>IF(Table1[[#This Row],[trestbps]]&gt;=130, 1, 0)</f>
        <v>1</v>
      </c>
      <c r="R42">
        <f>IF(AND(Table1[[#This Row],[target]]=1,OR(Table1[[#This Row],[cp]]=0,Table1[[#This Row],[cp]]=1,Table1[[#This Row],[cp]]=2,Table1[[#This Row],[cp]])),1,0)</f>
        <v>1</v>
      </c>
      <c r="S42">
        <f>IF(AND(Table1[[#This Row],[Chest Pain + Target]]=1,Table1[[#This Row],[trestbps]]&gt;=130),1,0)</f>
        <v>1</v>
      </c>
      <c r="T42">
        <f>IF(AND(Table1[[#This Row],[Add BP]]=1,Table1[[#This Row],[chol]]&gt;=200),1,0)</f>
        <v>1</v>
      </c>
      <c r="U42">
        <f>IF(AND(Table1[[#This Row],[Add Cholestrol]]=1,Table1[[#This Row],[slope]]&gt;=2),1,0)</f>
        <v>0</v>
      </c>
      <c r="V42">
        <f>COUNTIFS(Table1[target],1)</f>
        <v>165</v>
      </c>
    </row>
    <row r="43" spans="1:22" x14ac:dyDescent="0.25">
      <c r="A43">
        <v>51</v>
      </c>
      <c r="B43">
        <v>1</v>
      </c>
      <c r="C43">
        <v>0</v>
      </c>
      <c r="D43">
        <v>140</v>
      </c>
      <c r="E43">
        <v>298</v>
      </c>
      <c r="F43">
        <v>0</v>
      </c>
      <c r="G43">
        <v>1</v>
      </c>
      <c r="H43">
        <v>122</v>
      </c>
      <c r="I43">
        <v>1</v>
      </c>
      <c r="J43">
        <v>4.2</v>
      </c>
      <c r="K43">
        <v>1</v>
      </c>
      <c r="L43">
        <v>3</v>
      </c>
      <c r="M43">
        <v>3</v>
      </c>
      <c r="N43">
        <v>0</v>
      </c>
      <c r="O43" t="str">
        <f>IF(Table1[[#This Row],[sex]]=1,"Male","Female")</f>
        <v>Male</v>
      </c>
      <c r="P43" t="str">
        <f>IF(Table1[[#This Row],[cp]]=0,"Typical Angina",IF(Table1[[#This Row],[cp]]=1,"Atypical Angina",IF(Table1[[#This Row],[cp]]=2,"Non-Anginal Pain","Asymptomatic")))</f>
        <v>Typical Angina</v>
      </c>
      <c r="Q43">
        <f>IF(Table1[[#This Row],[trestbps]]&gt;=130, 1, 0)</f>
        <v>1</v>
      </c>
      <c r="R43">
        <f>IF(AND(Table1[[#This Row],[target]]=1,OR(Table1[[#This Row],[cp]]=0,Table1[[#This Row],[cp]]=1,Table1[[#This Row],[cp]]=2,Table1[[#This Row],[cp]])),1,0)</f>
        <v>0</v>
      </c>
      <c r="S43">
        <f>IF(AND(Table1[[#This Row],[Chest Pain + Target]]=1,Table1[[#This Row],[trestbps]]&gt;=130),1,0)</f>
        <v>0</v>
      </c>
      <c r="T43">
        <f>IF(AND(Table1[[#This Row],[Add BP]]=1,Table1[[#This Row],[chol]]&gt;=200),1,0)</f>
        <v>0</v>
      </c>
      <c r="U43">
        <f>IF(AND(Table1[[#This Row],[Add Cholestrol]]=1,Table1[[#This Row],[slope]]&gt;=2),1,0)</f>
        <v>0</v>
      </c>
      <c r="V43">
        <f>COUNTIFS(Table1[target],1)</f>
        <v>165</v>
      </c>
    </row>
    <row r="44" spans="1:22" x14ac:dyDescent="0.25">
      <c r="A44">
        <v>51</v>
      </c>
      <c r="B44">
        <v>1</v>
      </c>
      <c r="C44">
        <v>2</v>
      </c>
      <c r="D44">
        <v>110</v>
      </c>
      <c r="E44">
        <v>175</v>
      </c>
      <c r="F44">
        <v>0</v>
      </c>
      <c r="G44">
        <v>1</v>
      </c>
      <c r="H44">
        <v>123</v>
      </c>
      <c r="I44">
        <v>0</v>
      </c>
      <c r="J44">
        <v>0.6</v>
      </c>
      <c r="K44">
        <v>2</v>
      </c>
      <c r="L44">
        <v>0</v>
      </c>
      <c r="M44">
        <v>2</v>
      </c>
      <c r="N44">
        <v>1</v>
      </c>
      <c r="O44" t="str">
        <f>IF(Table1[[#This Row],[sex]]=1,"Male","Female")</f>
        <v>Male</v>
      </c>
      <c r="P44" t="str">
        <f>IF(Table1[[#This Row],[cp]]=0,"Typical Angina",IF(Table1[[#This Row],[cp]]=1,"Atypical Angina",IF(Table1[[#This Row],[cp]]=2,"Non-Anginal Pain","Asymptomatic")))</f>
        <v>Non-Anginal Pain</v>
      </c>
      <c r="Q44">
        <f>IF(Table1[[#This Row],[trestbps]]&gt;=130, 1, 0)</f>
        <v>0</v>
      </c>
      <c r="R44">
        <f>IF(AND(Table1[[#This Row],[target]]=1,OR(Table1[[#This Row],[cp]]=0,Table1[[#This Row],[cp]]=1,Table1[[#This Row],[cp]]=2,Table1[[#This Row],[cp]])),1,0)</f>
        <v>1</v>
      </c>
      <c r="S44">
        <f>IF(AND(Table1[[#This Row],[Chest Pain + Target]]=1,Table1[[#This Row],[trestbps]]&gt;=130),1,0)</f>
        <v>0</v>
      </c>
      <c r="T44">
        <f>IF(AND(Table1[[#This Row],[Add BP]]=1,Table1[[#This Row],[chol]]&gt;=200),1,0)</f>
        <v>0</v>
      </c>
      <c r="U44">
        <f>IF(AND(Table1[[#This Row],[Add Cholestrol]]=1,Table1[[#This Row],[slope]]&gt;=2),1,0)</f>
        <v>0</v>
      </c>
      <c r="V44">
        <f>COUNTIFS(Table1[target],1)</f>
        <v>165</v>
      </c>
    </row>
    <row r="45" spans="1:22" x14ac:dyDescent="0.25">
      <c r="A45">
        <v>57</v>
      </c>
      <c r="B45">
        <v>0</v>
      </c>
      <c r="C45">
        <v>0</v>
      </c>
      <c r="D45">
        <v>140</v>
      </c>
      <c r="E45">
        <v>241</v>
      </c>
      <c r="F45">
        <v>0</v>
      </c>
      <c r="G45">
        <v>1</v>
      </c>
      <c r="H45">
        <v>123</v>
      </c>
      <c r="I45">
        <v>1</v>
      </c>
      <c r="J45">
        <v>0.2</v>
      </c>
      <c r="K45">
        <v>1</v>
      </c>
      <c r="L45">
        <v>0</v>
      </c>
      <c r="M45">
        <v>3</v>
      </c>
      <c r="N45">
        <v>0</v>
      </c>
      <c r="O45" t="str">
        <f>IF(Table1[[#This Row],[sex]]=1,"Male","Female")</f>
        <v>Female</v>
      </c>
      <c r="P45" t="str">
        <f>IF(Table1[[#This Row],[cp]]=0,"Typical Angina",IF(Table1[[#This Row],[cp]]=1,"Atypical Angina",IF(Table1[[#This Row],[cp]]=2,"Non-Anginal Pain","Asymptomatic")))</f>
        <v>Typical Angina</v>
      </c>
      <c r="Q45">
        <f>IF(Table1[[#This Row],[trestbps]]&gt;=130, 1, 0)</f>
        <v>1</v>
      </c>
      <c r="R45">
        <f>IF(AND(Table1[[#This Row],[target]]=1,OR(Table1[[#This Row],[cp]]=0,Table1[[#This Row],[cp]]=1,Table1[[#This Row],[cp]]=2,Table1[[#This Row],[cp]])),1,0)</f>
        <v>0</v>
      </c>
      <c r="S45">
        <f>IF(AND(Table1[[#This Row],[Chest Pain + Target]]=1,Table1[[#This Row],[trestbps]]&gt;=130),1,0)</f>
        <v>0</v>
      </c>
      <c r="T45">
        <f>IF(AND(Table1[[#This Row],[Add BP]]=1,Table1[[#This Row],[chol]]&gt;=200),1,0)</f>
        <v>0</v>
      </c>
      <c r="U45">
        <f>IF(AND(Table1[[#This Row],[Add Cholestrol]]=1,Table1[[#This Row],[slope]]&gt;=2),1,0)</f>
        <v>0</v>
      </c>
      <c r="V45">
        <f>COUNTIFS(Table1[target],1)</f>
        <v>165</v>
      </c>
    </row>
    <row r="46" spans="1:22" x14ac:dyDescent="0.25">
      <c r="A46">
        <v>57</v>
      </c>
      <c r="B46">
        <v>1</v>
      </c>
      <c r="C46">
        <v>0</v>
      </c>
      <c r="D46">
        <v>165</v>
      </c>
      <c r="E46">
        <v>289</v>
      </c>
      <c r="F46">
        <v>1</v>
      </c>
      <c r="G46">
        <v>0</v>
      </c>
      <c r="H46">
        <v>124</v>
      </c>
      <c r="I46">
        <v>0</v>
      </c>
      <c r="J46">
        <v>1</v>
      </c>
      <c r="K46">
        <v>1</v>
      </c>
      <c r="L46">
        <v>3</v>
      </c>
      <c r="M46">
        <v>3</v>
      </c>
      <c r="N46">
        <v>0</v>
      </c>
      <c r="O46" t="str">
        <f>IF(Table1[[#This Row],[sex]]=1,"Male","Female")</f>
        <v>Male</v>
      </c>
      <c r="P46" t="str">
        <f>IF(Table1[[#This Row],[cp]]=0,"Typical Angina",IF(Table1[[#This Row],[cp]]=1,"Atypical Angina",IF(Table1[[#This Row],[cp]]=2,"Non-Anginal Pain","Asymptomatic")))</f>
        <v>Typical Angina</v>
      </c>
      <c r="Q46">
        <f>IF(Table1[[#This Row],[trestbps]]&gt;=130, 1, 0)</f>
        <v>1</v>
      </c>
      <c r="R46">
        <f>IF(AND(Table1[[#This Row],[target]]=1,OR(Table1[[#This Row],[cp]]=0,Table1[[#This Row],[cp]]=1,Table1[[#This Row],[cp]]=2,Table1[[#This Row],[cp]])),1,0)</f>
        <v>0</v>
      </c>
      <c r="S46">
        <f>IF(AND(Table1[[#This Row],[Chest Pain + Target]]=1,Table1[[#This Row],[trestbps]]&gt;=130),1,0)</f>
        <v>0</v>
      </c>
      <c r="T46">
        <f>IF(AND(Table1[[#This Row],[Add BP]]=1,Table1[[#This Row],[chol]]&gt;=200),1,0)</f>
        <v>0</v>
      </c>
      <c r="U46">
        <f>IF(AND(Table1[[#This Row],[Add Cholestrol]]=1,Table1[[#This Row],[slope]]&gt;=2),1,0)</f>
        <v>0</v>
      </c>
      <c r="V46">
        <f>COUNTIFS(Table1[target],1)</f>
        <v>165</v>
      </c>
    </row>
    <row r="47" spans="1:22" x14ac:dyDescent="0.25">
      <c r="A47">
        <v>51</v>
      </c>
      <c r="B47">
        <v>1</v>
      </c>
      <c r="C47">
        <v>3</v>
      </c>
      <c r="D47">
        <v>125</v>
      </c>
      <c r="E47">
        <v>213</v>
      </c>
      <c r="F47">
        <v>0</v>
      </c>
      <c r="G47">
        <v>0</v>
      </c>
      <c r="H47">
        <v>125</v>
      </c>
      <c r="I47">
        <v>1</v>
      </c>
      <c r="J47">
        <v>1.4</v>
      </c>
      <c r="K47">
        <v>2</v>
      </c>
      <c r="L47">
        <v>1</v>
      </c>
      <c r="M47">
        <v>2</v>
      </c>
      <c r="N47">
        <v>1</v>
      </c>
      <c r="O47" t="str">
        <f>IF(Table1[[#This Row],[sex]]=1,"Male","Female")</f>
        <v>Male</v>
      </c>
      <c r="P47" t="str">
        <f>IF(Table1[[#This Row],[cp]]=0,"Typical Angina",IF(Table1[[#This Row],[cp]]=1,"Atypical Angina",IF(Table1[[#This Row],[cp]]=2,"Non-Anginal Pain","Asymptomatic")))</f>
        <v>Asymptomatic</v>
      </c>
      <c r="Q47">
        <f>IF(Table1[[#This Row],[trestbps]]&gt;=130, 1, 0)</f>
        <v>0</v>
      </c>
      <c r="R47">
        <f>IF(AND(Table1[[#This Row],[target]]=1,OR(Table1[[#This Row],[cp]]=0,Table1[[#This Row],[cp]]=1,Table1[[#This Row],[cp]]=2,Table1[[#This Row],[cp]])),1,0)</f>
        <v>1</v>
      </c>
      <c r="S47">
        <f>IF(AND(Table1[[#This Row],[Chest Pain + Target]]=1,Table1[[#This Row],[trestbps]]&gt;=130),1,0)</f>
        <v>0</v>
      </c>
      <c r="T47">
        <f>IF(AND(Table1[[#This Row],[Add BP]]=1,Table1[[#This Row],[chol]]&gt;=200),1,0)</f>
        <v>0</v>
      </c>
      <c r="U47">
        <f>IF(AND(Table1[[#This Row],[Add Cholestrol]]=1,Table1[[#This Row],[slope]]&gt;=2),1,0)</f>
        <v>0</v>
      </c>
      <c r="V47">
        <f>COUNTIFS(Table1[target],1)</f>
        <v>165</v>
      </c>
    </row>
    <row r="48" spans="1:22" x14ac:dyDescent="0.25">
      <c r="A48">
        <v>71</v>
      </c>
      <c r="B48">
        <v>0</v>
      </c>
      <c r="C48">
        <v>0</v>
      </c>
      <c r="D48">
        <v>112</v>
      </c>
      <c r="E48">
        <v>149</v>
      </c>
      <c r="F48">
        <v>0</v>
      </c>
      <c r="G48">
        <v>1</v>
      </c>
      <c r="H48">
        <v>125</v>
      </c>
      <c r="I48">
        <v>0</v>
      </c>
      <c r="J48">
        <v>1.6</v>
      </c>
      <c r="K48">
        <v>1</v>
      </c>
      <c r="L48">
        <v>0</v>
      </c>
      <c r="M48">
        <v>2</v>
      </c>
      <c r="N48">
        <v>1</v>
      </c>
      <c r="O48" t="str">
        <f>IF(Table1[[#This Row],[sex]]=1,"Male","Female")</f>
        <v>Female</v>
      </c>
      <c r="P48" t="str">
        <f>IF(Table1[[#This Row],[cp]]=0,"Typical Angina",IF(Table1[[#This Row],[cp]]=1,"Atypical Angina",IF(Table1[[#This Row],[cp]]=2,"Non-Anginal Pain","Asymptomatic")))</f>
        <v>Typical Angina</v>
      </c>
      <c r="Q48">
        <f>IF(Table1[[#This Row],[trestbps]]&gt;=130, 1, 0)</f>
        <v>0</v>
      </c>
      <c r="R48">
        <f>IF(AND(Table1[[#This Row],[target]]=1,OR(Table1[[#This Row],[cp]]=0,Table1[[#This Row],[cp]]=1,Table1[[#This Row],[cp]]=2,Table1[[#This Row],[cp]])),1,0)</f>
        <v>1</v>
      </c>
      <c r="S48">
        <f>IF(AND(Table1[[#This Row],[Chest Pain + Target]]=1,Table1[[#This Row],[trestbps]]&gt;=130),1,0)</f>
        <v>0</v>
      </c>
      <c r="T48">
        <f>IF(AND(Table1[[#This Row],[Add BP]]=1,Table1[[#This Row],[chol]]&gt;=200),1,0)</f>
        <v>0</v>
      </c>
      <c r="U48">
        <f>IF(AND(Table1[[#This Row],[Add Cholestrol]]=1,Table1[[#This Row],[slope]]&gt;=2),1,0)</f>
        <v>0</v>
      </c>
      <c r="V48">
        <f>COUNTIFS(Table1[target],1)</f>
        <v>165</v>
      </c>
    </row>
    <row r="49" spans="1:22" x14ac:dyDescent="0.25">
      <c r="A49">
        <v>70</v>
      </c>
      <c r="B49">
        <v>1</v>
      </c>
      <c r="C49">
        <v>0</v>
      </c>
      <c r="D49">
        <v>145</v>
      </c>
      <c r="E49">
        <v>174</v>
      </c>
      <c r="F49">
        <v>0</v>
      </c>
      <c r="G49">
        <v>1</v>
      </c>
      <c r="H49">
        <v>125</v>
      </c>
      <c r="I49">
        <v>1</v>
      </c>
      <c r="J49">
        <v>2.6</v>
      </c>
      <c r="K49">
        <v>0</v>
      </c>
      <c r="L49">
        <v>0</v>
      </c>
      <c r="M49">
        <v>3</v>
      </c>
      <c r="N49">
        <v>0</v>
      </c>
      <c r="O49" t="str">
        <f>IF(Table1[[#This Row],[sex]]=1,"Male","Female")</f>
        <v>Male</v>
      </c>
      <c r="P49" t="str">
        <f>IF(Table1[[#This Row],[cp]]=0,"Typical Angina",IF(Table1[[#This Row],[cp]]=1,"Atypical Angina",IF(Table1[[#This Row],[cp]]=2,"Non-Anginal Pain","Asymptomatic")))</f>
        <v>Typical Angina</v>
      </c>
      <c r="Q49">
        <f>IF(Table1[[#This Row],[trestbps]]&gt;=130, 1, 0)</f>
        <v>1</v>
      </c>
      <c r="R49">
        <f>IF(AND(Table1[[#This Row],[target]]=1,OR(Table1[[#This Row],[cp]]=0,Table1[[#This Row],[cp]]=1,Table1[[#This Row],[cp]]=2,Table1[[#This Row],[cp]])),1,0)</f>
        <v>0</v>
      </c>
      <c r="S49">
        <f>IF(AND(Table1[[#This Row],[Chest Pain + Target]]=1,Table1[[#This Row],[trestbps]]&gt;=130),1,0)</f>
        <v>0</v>
      </c>
      <c r="T49">
        <f>IF(AND(Table1[[#This Row],[Add BP]]=1,Table1[[#This Row],[chol]]&gt;=200),1,0)</f>
        <v>0</v>
      </c>
      <c r="U49">
        <f>IF(AND(Table1[[#This Row],[Add Cholestrol]]=1,Table1[[#This Row],[slope]]&gt;=2),1,0)</f>
        <v>0</v>
      </c>
      <c r="V49">
        <f>COUNTIFS(Table1[target],1)</f>
        <v>165</v>
      </c>
    </row>
    <row r="50" spans="1:22" x14ac:dyDescent="0.25">
      <c r="A50">
        <v>67</v>
      </c>
      <c r="B50">
        <v>1</v>
      </c>
      <c r="C50">
        <v>0</v>
      </c>
      <c r="D50">
        <v>100</v>
      </c>
      <c r="E50">
        <v>299</v>
      </c>
      <c r="F50">
        <v>0</v>
      </c>
      <c r="G50">
        <v>0</v>
      </c>
      <c r="H50">
        <v>125</v>
      </c>
      <c r="I50">
        <v>1</v>
      </c>
      <c r="J50">
        <v>0.9</v>
      </c>
      <c r="K50">
        <v>1</v>
      </c>
      <c r="L50">
        <v>2</v>
      </c>
      <c r="M50">
        <v>2</v>
      </c>
      <c r="N50">
        <v>0</v>
      </c>
      <c r="O50" t="str">
        <f>IF(Table1[[#This Row],[sex]]=1,"Male","Female")</f>
        <v>Male</v>
      </c>
      <c r="P50" t="str">
        <f>IF(Table1[[#This Row],[cp]]=0,"Typical Angina",IF(Table1[[#This Row],[cp]]=1,"Atypical Angina",IF(Table1[[#This Row],[cp]]=2,"Non-Anginal Pain","Asymptomatic")))</f>
        <v>Typical Angina</v>
      </c>
      <c r="Q50">
        <f>IF(Table1[[#This Row],[trestbps]]&gt;=130, 1, 0)</f>
        <v>0</v>
      </c>
      <c r="R50">
        <f>IF(AND(Table1[[#This Row],[target]]=1,OR(Table1[[#This Row],[cp]]=0,Table1[[#This Row],[cp]]=1,Table1[[#This Row],[cp]]=2,Table1[[#This Row],[cp]])),1,0)</f>
        <v>0</v>
      </c>
      <c r="S50">
        <f>IF(AND(Table1[[#This Row],[Chest Pain + Target]]=1,Table1[[#This Row],[trestbps]]&gt;=130),1,0)</f>
        <v>0</v>
      </c>
      <c r="T50">
        <f>IF(AND(Table1[[#This Row],[Add BP]]=1,Table1[[#This Row],[chol]]&gt;=200),1,0)</f>
        <v>0</v>
      </c>
      <c r="U50">
        <f>IF(AND(Table1[[#This Row],[Add Cholestrol]]=1,Table1[[#This Row],[slope]]&gt;=2),1,0)</f>
        <v>0</v>
      </c>
      <c r="V50">
        <f>COUNTIFS(Table1[target],1)</f>
        <v>165</v>
      </c>
    </row>
    <row r="51" spans="1:22" x14ac:dyDescent="0.25">
      <c r="A51">
        <v>59</v>
      </c>
      <c r="B51">
        <v>1</v>
      </c>
      <c r="C51">
        <v>3</v>
      </c>
      <c r="D51">
        <v>160</v>
      </c>
      <c r="E51">
        <v>273</v>
      </c>
      <c r="F51">
        <v>0</v>
      </c>
      <c r="G51">
        <v>0</v>
      </c>
      <c r="H51">
        <v>125</v>
      </c>
      <c r="I51">
        <v>0</v>
      </c>
      <c r="J51">
        <v>0</v>
      </c>
      <c r="K51">
        <v>2</v>
      </c>
      <c r="L51">
        <v>0</v>
      </c>
      <c r="M51">
        <v>2</v>
      </c>
      <c r="N51">
        <v>0</v>
      </c>
      <c r="O51" t="str">
        <f>IF(Table1[[#This Row],[sex]]=1,"Male","Female")</f>
        <v>Male</v>
      </c>
      <c r="P51" t="str">
        <f>IF(Table1[[#This Row],[cp]]=0,"Typical Angina",IF(Table1[[#This Row],[cp]]=1,"Atypical Angina",IF(Table1[[#This Row],[cp]]=2,"Non-Anginal Pain","Asymptomatic")))</f>
        <v>Asymptomatic</v>
      </c>
      <c r="Q51">
        <f>IF(Table1[[#This Row],[trestbps]]&gt;=130, 1, 0)</f>
        <v>1</v>
      </c>
      <c r="R51">
        <f>IF(AND(Table1[[#This Row],[target]]=1,OR(Table1[[#This Row],[cp]]=0,Table1[[#This Row],[cp]]=1,Table1[[#This Row],[cp]]=2,Table1[[#This Row],[cp]])),1,0)</f>
        <v>0</v>
      </c>
      <c r="S51">
        <f>IF(AND(Table1[[#This Row],[Chest Pain + Target]]=1,Table1[[#This Row],[trestbps]]&gt;=130),1,0)</f>
        <v>0</v>
      </c>
      <c r="T51">
        <f>IF(AND(Table1[[#This Row],[Add BP]]=1,Table1[[#This Row],[chol]]&gt;=200),1,0)</f>
        <v>0</v>
      </c>
      <c r="U51">
        <f>IF(AND(Table1[[#This Row],[Add Cholestrol]]=1,Table1[[#This Row],[slope]]&gt;=2),1,0)</f>
        <v>0</v>
      </c>
      <c r="V51">
        <f>COUNTIFS(Table1[target],1)</f>
        <v>165</v>
      </c>
    </row>
    <row r="52" spans="1:22" x14ac:dyDescent="0.25">
      <c r="A52">
        <v>61</v>
      </c>
      <c r="B52">
        <v>1</v>
      </c>
      <c r="C52">
        <v>0</v>
      </c>
      <c r="D52">
        <v>138</v>
      </c>
      <c r="E52">
        <v>166</v>
      </c>
      <c r="F52">
        <v>0</v>
      </c>
      <c r="G52">
        <v>0</v>
      </c>
      <c r="H52">
        <v>125</v>
      </c>
      <c r="I52">
        <v>1</v>
      </c>
      <c r="J52">
        <v>3.6</v>
      </c>
      <c r="K52">
        <v>1</v>
      </c>
      <c r="L52">
        <v>1</v>
      </c>
      <c r="M52">
        <v>2</v>
      </c>
      <c r="N52">
        <v>0</v>
      </c>
      <c r="O52" t="str">
        <f>IF(Table1[[#This Row],[sex]]=1,"Male","Female")</f>
        <v>Male</v>
      </c>
      <c r="P52" t="str">
        <f>IF(Table1[[#This Row],[cp]]=0,"Typical Angina",IF(Table1[[#This Row],[cp]]=1,"Atypical Angina",IF(Table1[[#This Row],[cp]]=2,"Non-Anginal Pain","Asymptomatic")))</f>
        <v>Typical Angina</v>
      </c>
      <c r="Q52">
        <f>IF(Table1[[#This Row],[trestbps]]&gt;=130, 1, 0)</f>
        <v>1</v>
      </c>
      <c r="R52">
        <f>IF(AND(Table1[[#This Row],[target]]=1,OR(Table1[[#This Row],[cp]]=0,Table1[[#This Row],[cp]]=1,Table1[[#This Row],[cp]]=2,Table1[[#This Row],[cp]])),1,0)</f>
        <v>0</v>
      </c>
      <c r="S52">
        <f>IF(AND(Table1[[#This Row],[Chest Pain + Target]]=1,Table1[[#This Row],[trestbps]]&gt;=130),1,0)</f>
        <v>0</v>
      </c>
      <c r="T52">
        <f>IF(AND(Table1[[#This Row],[Add BP]]=1,Table1[[#This Row],[chol]]&gt;=200),1,0)</f>
        <v>0</v>
      </c>
      <c r="U52">
        <f>IF(AND(Table1[[#This Row],[Add Cholestrol]]=1,Table1[[#This Row],[slope]]&gt;=2),1,0)</f>
        <v>0</v>
      </c>
      <c r="V52">
        <f>COUNTIFS(Table1[target],1)</f>
        <v>165</v>
      </c>
    </row>
    <row r="53" spans="1:22" x14ac:dyDescent="0.25">
      <c r="A53">
        <v>42</v>
      </c>
      <c r="B53">
        <v>1</v>
      </c>
      <c r="C53">
        <v>0</v>
      </c>
      <c r="D53">
        <v>136</v>
      </c>
      <c r="E53">
        <v>315</v>
      </c>
      <c r="F53">
        <v>0</v>
      </c>
      <c r="G53">
        <v>1</v>
      </c>
      <c r="H53">
        <v>125</v>
      </c>
      <c r="I53">
        <v>1</v>
      </c>
      <c r="J53">
        <v>1.8</v>
      </c>
      <c r="K53">
        <v>1</v>
      </c>
      <c r="L53">
        <v>0</v>
      </c>
      <c r="M53">
        <v>1</v>
      </c>
      <c r="N53">
        <v>0</v>
      </c>
      <c r="O53" t="str">
        <f>IF(Table1[[#This Row],[sex]]=1,"Male","Female")</f>
        <v>Male</v>
      </c>
      <c r="P53" t="str">
        <f>IF(Table1[[#This Row],[cp]]=0,"Typical Angina",IF(Table1[[#This Row],[cp]]=1,"Atypical Angina",IF(Table1[[#This Row],[cp]]=2,"Non-Anginal Pain","Asymptomatic")))</f>
        <v>Typical Angina</v>
      </c>
      <c r="Q53">
        <f>IF(Table1[[#This Row],[trestbps]]&gt;=130, 1, 0)</f>
        <v>1</v>
      </c>
      <c r="R53">
        <f>IF(AND(Table1[[#This Row],[target]]=1,OR(Table1[[#This Row],[cp]]=0,Table1[[#This Row],[cp]]=1,Table1[[#This Row],[cp]]=2,Table1[[#This Row],[cp]])),1,0)</f>
        <v>0</v>
      </c>
      <c r="S53">
        <f>IF(AND(Table1[[#This Row],[Chest Pain + Target]]=1,Table1[[#This Row],[trestbps]]&gt;=130),1,0)</f>
        <v>0</v>
      </c>
      <c r="T53">
        <f>IF(AND(Table1[[#This Row],[Add BP]]=1,Table1[[#This Row],[chol]]&gt;=200),1,0)</f>
        <v>0</v>
      </c>
      <c r="U53">
        <f>IF(AND(Table1[[#This Row],[Add Cholestrol]]=1,Table1[[#This Row],[slope]]&gt;=2),1,0)</f>
        <v>0</v>
      </c>
      <c r="V53">
        <f>COUNTIFS(Table1[target],1)</f>
        <v>165</v>
      </c>
    </row>
    <row r="54" spans="1:22" x14ac:dyDescent="0.25">
      <c r="A54">
        <v>57</v>
      </c>
      <c r="B54">
        <v>1</v>
      </c>
      <c r="C54">
        <v>0</v>
      </c>
      <c r="D54">
        <v>110</v>
      </c>
      <c r="E54">
        <v>201</v>
      </c>
      <c r="F54">
        <v>0</v>
      </c>
      <c r="G54">
        <v>1</v>
      </c>
      <c r="H54">
        <v>126</v>
      </c>
      <c r="I54">
        <v>1</v>
      </c>
      <c r="J54">
        <v>1.5</v>
      </c>
      <c r="K54">
        <v>1</v>
      </c>
      <c r="L54">
        <v>0</v>
      </c>
      <c r="M54">
        <v>1</v>
      </c>
      <c r="N54">
        <v>1</v>
      </c>
      <c r="O54" t="str">
        <f>IF(Table1[[#This Row],[sex]]=1,"Male","Female")</f>
        <v>Male</v>
      </c>
      <c r="P54" t="str">
        <f>IF(Table1[[#This Row],[cp]]=0,"Typical Angina",IF(Table1[[#This Row],[cp]]=1,"Atypical Angina",IF(Table1[[#This Row],[cp]]=2,"Non-Anginal Pain","Asymptomatic")))</f>
        <v>Typical Angina</v>
      </c>
      <c r="Q54">
        <f>IF(Table1[[#This Row],[trestbps]]&gt;=130, 1, 0)</f>
        <v>0</v>
      </c>
      <c r="R54">
        <f>IF(AND(Table1[[#This Row],[target]]=1,OR(Table1[[#This Row],[cp]]=0,Table1[[#This Row],[cp]]=1,Table1[[#This Row],[cp]]=2,Table1[[#This Row],[cp]])),1,0)</f>
        <v>1</v>
      </c>
      <c r="S54">
        <f>IF(AND(Table1[[#This Row],[Chest Pain + Target]]=1,Table1[[#This Row],[trestbps]]&gt;=130),1,0)</f>
        <v>0</v>
      </c>
      <c r="T54">
        <f>IF(AND(Table1[[#This Row],[Add BP]]=1,Table1[[#This Row],[chol]]&gt;=200),1,0)</f>
        <v>0</v>
      </c>
      <c r="U54">
        <f>IF(AND(Table1[[#This Row],[Add Cholestrol]]=1,Table1[[#This Row],[slope]]&gt;=2),1,0)</f>
        <v>0</v>
      </c>
      <c r="V54">
        <f>COUNTIFS(Table1[target],1)</f>
        <v>165</v>
      </c>
    </row>
    <row r="55" spans="1:22" x14ac:dyDescent="0.25">
      <c r="A55">
        <v>54</v>
      </c>
      <c r="B55">
        <v>1</v>
      </c>
      <c r="C55">
        <v>0</v>
      </c>
      <c r="D55">
        <v>110</v>
      </c>
      <c r="E55">
        <v>239</v>
      </c>
      <c r="F55">
        <v>0</v>
      </c>
      <c r="G55">
        <v>1</v>
      </c>
      <c r="H55">
        <v>126</v>
      </c>
      <c r="I55">
        <v>1</v>
      </c>
      <c r="J55">
        <v>2.8</v>
      </c>
      <c r="K55">
        <v>1</v>
      </c>
      <c r="L55">
        <v>1</v>
      </c>
      <c r="M55">
        <v>3</v>
      </c>
      <c r="N55">
        <v>0</v>
      </c>
      <c r="O55" t="str">
        <f>IF(Table1[[#This Row],[sex]]=1,"Male","Female")</f>
        <v>Male</v>
      </c>
      <c r="P55" t="str">
        <f>IF(Table1[[#This Row],[cp]]=0,"Typical Angina",IF(Table1[[#This Row],[cp]]=1,"Atypical Angina",IF(Table1[[#This Row],[cp]]=2,"Non-Anginal Pain","Asymptomatic")))</f>
        <v>Typical Angina</v>
      </c>
      <c r="Q55">
        <f>IF(Table1[[#This Row],[trestbps]]&gt;=130, 1, 0)</f>
        <v>0</v>
      </c>
      <c r="R55">
        <f>IF(AND(Table1[[#This Row],[target]]=1,OR(Table1[[#This Row],[cp]]=0,Table1[[#This Row],[cp]]=1,Table1[[#This Row],[cp]]=2,Table1[[#This Row],[cp]])),1,0)</f>
        <v>0</v>
      </c>
      <c r="S55">
        <f>IF(AND(Table1[[#This Row],[Chest Pain + Target]]=1,Table1[[#This Row],[trestbps]]&gt;=130),1,0)</f>
        <v>0</v>
      </c>
      <c r="T55">
        <f>IF(AND(Table1[[#This Row],[Add BP]]=1,Table1[[#This Row],[chol]]&gt;=200),1,0)</f>
        <v>0</v>
      </c>
      <c r="U55">
        <f>IF(AND(Table1[[#This Row],[Add Cholestrol]]=1,Table1[[#This Row],[slope]]&gt;=2),1,0)</f>
        <v>0</v>
      </c>
      <c r="V55">
        <f>COUNTIFS(Table1[target],1)</f>
        <v>165</v>
      </c>
    </row>
    <row r="56" spans="1:22" x14ac:dyDescent="0.25">
      <c r="A56">
        <v>50</v>
      </c>
      <c r="B56">
        <v>1</v>
      </c>
      <c r="C56">
        <v>0</v>
      </c>
      <c r="D56">
        <v>144</v>
      </c>
      <c r="E56">
        <v>200</v>
      </c>
      <c r="F56">
        <v>0</v>
      </c>
      <c r="G56">
        <v>0</v>
      </c>
      <c r="H56">
        <v>126</v>
      </c>
      <c r="I56">
        <v>1</v>
      </c>
      <c r="J56">
        <v>0.9</v>
      </c>
      <c r="K56">
        <v>1</v>
      </c>
      <c r="L56">
        <v>0</v>
      </c>
      <c r="M56">
        <v>3</v>
      </c>
      <c r="N56">
        <v>0</v>
      </c>
      <c r="O56" t="str">
        <f>IF(Table1[[#This Row],[sex]]=1,"Male","Female")</f>
        <v>Male</v>
      </c>
      <c r="P56" t="str">
        <f>IF(Table1[[#This Row],[cp]]=0,"Typical Angina",IF(Table1[[#This Row],[cp]]=1,"Atypical Angina",IF(Table1[[#This Row],[cp]]=2,"Non-Anginal Pain","Asymptomatic")))</f>
        <v>Typical Angina</v>
      </c>
      <c r="Q56">
        <f>IF(Table1[[#This Row],[trestbps]]&gt;=130, 1, 0)</f>
        <v>1</v>
      </c>
      <c r="R56">
        <f>IF(AND(Table1[[#This Row],[target]]=1,OR(Table1[[#This Row],[cp]]=0,Table1[[#This Row],[cp]]=1,Table1[[#This Row],[cp]]=2,Table1[[#This Row],[cp]])),1,0)</f>
        <v>0</v>
      </c>
      <c r="S56">
        <f>IF(AND(Table1[[#This Row],[Chest Pain + Target]]=1,Table1[[#This Row],[trestbps]]&gt;=130),1,0)</f>
        <v>0</v>
      </c>
      <c r="T56">
        <f>IF(AND(Table1[[#This Row],[Add BP]]=1,Table1[[#This Row],[chol]]&gt;=200),1,0)</f>
        <v>0</v>
      </c>
      <c r="U56">
        <f>IF(AND(Table1[[#This Row],[Add Cholestrol]]=1,Table1[[#This Row],[slope]]&gt;=2),1,0)</f>
        <v>0</v>
      </c>
      <c r="V56">
        <f>COUNTIFS(Table1[target],1)</f>
        <v>165</v>
      </c>
    </row>
    <row r="57" spans="1:22" x14ac:dyDescent="0.25">
      <c r="A57">
        <v>49</v>
      </c>
      <c r="B57">
        <v>1</v>
      </c>
      <c r="C57">
        <v>2</v>
      </c>
      <c r="D57">
        <v>118</v>
      </c>
      <c r="E57">
        <v>149</v>
      </c>
      <c r="F57">
        <v>0</v>
      </c>
      <c r="G57">
        <v>0</v>
      </c>
      <c r="H57">
        <v>126</v>
      </c>
      <c r="I57">
        <v>0</v>
      </c>
      <c r="J57">
        <v>0.8</v>
      </c>
      <c r="K57">
        <v>2</v>
      </c>
      <c r="L57">
        <v>3</v>
      </c>
      <c r="M57">
        <v>2</v>
      </c>
      <c r="N57">
        <v>0</v>
      </c>
      <c r="O57" t="str">
        <f>IF(Table1[[#This Row],[sex]]=1,"Male","Female")</f>
        <v>Male</v>
      </c>
      <c r="P57" t="str">
        <f>IF(Table1[[#This Row],[cp]]=0,"Typical Angina",IF(Table1[[#This Row],[cp]]=1,"Atypical Angina",IF(Table1[[#This Row],[cp]]=2,"Non-Anginal Pain","Asymptomatic")))</f>
        <v>Non-Anginal Pain</v>
      </c>
      <c r="Q57">
        <f>IF(Table1[[#This Row],[trestbps]]&gt;=130, 1, 0)</f>
        <v>0</v>
      </c>
      <c r="R57">
        <f>IF(AND(Table1[[#This Row],[target]]=1,OR(Table1[[#This Row],[cp]]=0,Table1[[#This Row],[cp]]=1,Table1[[#This Row],[cp]]=2,Table1[[#This Row],[cp]])),1,0)</f>
        <v>0</v>
      </c>
      <c r="S57">
        <f>IF(AND(Table1[[#This Row],[Chest Pain + Target]]=1,Table1[[#This Row],[trestbps]]&gt;=130),1,0)</f>
        <v>0</v>
      </c>
      <c r="T57">
        <f>IF(AND(Table1[[#This Row],[Add BP]]=1,Table1[[#This Row],[chol]]&gt;=200),1,0)</f>
        <v>0</v>
      </c>
      <c r="U57">
        <f>IF(AND(Table1[[#This Row],[Add Cholestrol]]=1,Table1[[#This Row],[slope]]&gt;=2),1,0)</f>
        <v>0</v>
      </c>
      <c r="V57">
        <f>COUNTIFS(Table1[target],1)</f>
        <v>165</v>
      </c>
    </row>
    <row r="58" spans="1:22" x14ac:dyDescent="0.25">
      <c r="A58">
        <v>65</v>
      </c>
      <c r="B58">
        <v>1</v>
      </c>
      <c r="C58">
        <v>0</v>
      </c>
      <c r="D58">
        <v>135</v>
      </c>
      <c r="E58">
        <v>254</v>
      </c>
      <c r="F58">
        <v>0</v>
      </c>
      <c r="G58">
        <v>0</v>
      </c>
      <c r="H58">
        <v>127</v>
      </c>
      <c r="I58">
        <v>0</v>
      </c>
      <c r="J58">
        <v>2.8</v>
      </c>
      <c r="K58">
        <v>1</v>
      </c>
      <c r="L58">
        <v>1</v>
      </c>
      <c r="M58">
        <v>3</v>
      </c>
      <c r="N58">
        <v>0</v>
      </c>
      <c r="O58" t="str">
        <f>IF(Table1[[#This Row],[sex]]=1,"Male","Female")</f>
        <v>Male</v>
      </c>
      <c r="P58" t="str">
        <f>IF(Table1[[#This Row],[cp]]=0,"Typical Angina",IF(Table1[[#This Row],[cp]]=1,"Atypical Angina",IF(Table1[[#This Row],[cp]]=2,"Non-Anginal Pain","Asymptomatic")))</f>
        <v>Typical Angina</v>
      </c>
      <c r="Q58">
        <f>IF(Table1[[#This Row],[trestbps]]&gt;=130, 1, 0)</f>
        <v>1</v>
      </c>
      <c r="R58">
        <f>IF(AND(Table1[[#This Row],[target]]=1,OR(Table1[[#This Row],[cp]]=0,Table1[[#This Row],[cp]]=1,Table1[[#This Row],[cp]]=2,Table1[[#This Row],[cp]])),1,0)</f>
        <v>0</v>
      </c>
      <c r="S58">
        <f>IF(AND(Table1[[#This Row],[Chest Pain + Target]]=1,Table1[[#This Row],[trestbps]]&gt;=130),1,0)</f>
        <v>0</v>
      </c>
      <c r="T58">
        <f>IF(AND(Table1[[#This Row],[Add BP]]=1,Table1[[#This Row],[chol]]&gt;=200),1,0)</f>
        <v>0</v>
      </c>
      <c r="U58">
        <f>IF(AND(Table1[[#This Row],[Add Cholestrol]]=1,Table1[[#This Row],[slope]]&gt;=2),1,0)</f>
        <v>0</v>
      </c>
      <c r="V58">
        <f>COUNTIFS(Table1[target],1)</f>
        <v>165</v>
      </c>
    </row>
    <row r="59" spans="1:22" x14ac:dyDescent="0.25">
      <c r="A59">
        <v>50</v>
      </c>
      <c r="B59">
        <v>1</v>
      </c>
      <c r="C59">
        <v>0</v>
      </c>
      <c r="D59">
        <v>150</v>
      </c>
      <c r="E59">
        <v>243</v>
      </c>
      <c r="F59">
        <v>0</v>
      </c>
      <c r="G59">
        <v>0</v>
      </c>
      <c r="H59">
        <v>128</v>
      </c>
      <c r="I59">
        <v>0</v>
      </c>
      <c r="J59">
        <v>2.6</v>
      </c>
      <c r="K59">
        <v>1</v>
      </c>
      <c r="L59">
        <v>0</v>
      </c>
      <c r="M59">
        <v>3</v>
      </c>
      <c r="N59">
        <v>0</v>
      </c>
      <c r="O59" t="str">
        <f>IF(Table1[[#This Row],[sex]]=1,"Male","Female")</f>
        <v>Male</v>
      </c>
      <c r="P59" t="str">
        <f>IF(Table1[[#This Row],[cp]]=0,"Typical Angina",IF(Table1[[#This Row],[cp]]=1,"Atypical Angina",IF(Table1[[#This Row],[cp]]=2,"Non-Anginal Pain","Asymptomatic")))</f>
        <v>Typical Angina</v>
      </c>
      <c r="Q59">
        <f>IF(Table1[[#This Row],[trestbps]]&gt;=130, 1, 0)</f>
        <v>1</v>
      </c>
      <c r="R59">
        <f>IF(AND(Table1[[#This Row],[target]]=1,OR(Table1[[#This Row],[cp]]=0,Table1[[#This Row],[cp]]=1,Table1[[#This Row],[cp]]=2,Table1[[#This Row],[cp]])),1,0)</f>
        <v>0</v>
      </c>
      <c r="S59">
        <f>IF(AND(Table1[[#This Row],[Chest Pain + Target]]=1,Table1[[#This Row],[trestbps]]&gt;=130),1,0)</f>
        <v>0</v>
      </c>
      <c r="T59">
        <f>IF(AND(Table1[[#This Row],[Add BP]]=1,Table1[[#This Row],[chol]]&gt;=200),1,0)</f>
        <v>0</v>
      </c>
      <c r="U59">
        <f>IF(AND(Table1[[#This Row],[Add Cholestrol]]=1,Table1[[#This Row],[slope]]&gt;=2),1,0)</f>
        <v>0</v>
      </c>
      <c r="V59">
        <f>COUNTIFS(Table1[target],1)</f>
        <v>165</v>
      </c>
    </row>
    <row r="60" spans="1:22" x14ac:dyDescent="0.25">
      <c r="A60">
        <v>67</v>
      </c>
      <c r="B60">
        <v>1</v>
      </c>
      <c r="C60">
        <v>0</v>
      </c>
      <c r="D60">
        <v>120</v>
      </c>
      <c r="E60">
        <v>229</v>
      </c>
      <c r="F60">
        <v>0</v>
      </c>
      <c r="G60">
        <v>0</v>
      </c>
      <c r="H60">
        <v>129</v>
      </c>
      <c r="I60">
        <v>1</v>
      </c>
      <c r="J60">
        <v>2.6</v>
      </c>
      <c r="K60">
        <v>1</v>
      </c>
      <c r="L60">
        <v>2</v>
      </c>
      <c r="M60">
        <v>3</v>
      </c>
      <c r="N60">
        <v>0</v>
      </c>
      <c r="O60" t="str">
        <f>IF(Table1[[#This Row],[sex]]=1,"Male","Female")</f>
        <v>Male</v>
      </c>
      <c r="P60" t="str">
        <f>IF(Table1[[#This Row],[cp]]=0,"Typical Angina",IF(Table1[[#This Row],[cp]]=1,"Atypical Angina",IF(Table1[[#This Row],[cp]]=2,"Non-Anginal Pain","Asymptomatic")))</f>
        <v>Typical Angina</v>
      </c>
      <c r="Q60">
        <f>IF(Table1[[#This Row],[trestbps]]&gt;=130, 1, 0)</f>
        <v>0</v>
      </c>
      <c r="R60">
        <f>IF(AND(Table1[[#This Row],[target]]=1,OR(Table1[[#This Row],[cp]]=0,Table1[[#This Row],[cp]]=1,Table1[[#This Row],[cp]]=2,Table1[[#This Row],[cp]])),1,0)</f>
        <v>0</v>
      </c>
      <c r="S60">
        <f>IF(AND(Table1[[#This Row],[Chest Pain + Target]]=1,Table1[[#This Row],[trestbps]]&gt;=130),1,0)</f>
        <v>0</v>
      </c>
      <c r="T60">
        <f>IF(AND(Table1[[#This Row],[Add BP]]=1,Table1[[#This Row],[chol]]&gt;=200),1,0)</f>
        <v>0</v>
      </c>
      <c r="U60">
        <f>IF(AND(Table1[[#This Row],[Add Cholestrol]]=1,Table1[[#This Row],[slope]]&gt;=2),1,0)</f>
        <v>0</v>
      </c>
      <c r="V60">
        <f>COUNTIFS(Table1[target],1)</f>
        <v>165</v>
      </c>
    </row>
    <row r="61" spans="1:22" x14ac:dyDescent="0.25">
      <c r="A61">
        <v>71</v>
      </c>
      <c r="B61">
        <v>0</v>
      </c>
      <c r="C61">
        <v>2</v>
      </c>
      <c r="D61">
        <v>110</v>
      </c>
      <c r="E61">
        <v>265</v>
      </c>
      <c r="F61">
        <v>1</v>
      </c>
      <c r="G61">
        <v>0</v>
      </c>
      <c r="H61">
        <v>130</v>
      </c>
      <c r="I61">
        <v>0</v>
      </c>
      <c r="J61">
        <v>0</v>
      </c>
      <c r="K61">
        <v>2</v>
      </c>
      <c r="L61">
        <v>1</v>
      </c>
      <c r="M61">
        <v>2</v>
      </c>
      <c r="N61">
        <v>1</v>
      </c>
      <c r="O61" t="str">
        <f>IF(Table1[[#This Row],[sex]]=1,"Male","Female")</f>
        <v>Female</v>
      </c>
      <c r="P61" t="str">
        <f>IF(Table1[[#This Row],[cp]]=0,"Typical Angina",IF(Table1[[#This Row],[cp]]=1,"Atypical Angina",IF(Table1[[#This Row],[cp]]=2,"Non-Anginal Pain","Asymptomatic")))</f>
        <v>Non-Anginal Pain</v>
      </c>
      <c r="Q61">
        <f>IF(Table1[[#This Row],[trestbps]]&gt;=130, 1, 0)</f>
        <v>0</v>
      </c>
      <c r="R61">
        <f>IF(AND(Table1[[#This Row],[target]]=1,OR(Table1[[#This Row],[cp]]=0,Table1[[#This Row],[cp]]=1,Table1[[#This Row],[cp]]=2,Table1[[#This Row],[cp]])),1,0)</f>
        <v>1</v>
      </c>
      <c r="S61">
        <f>IF(AND(Table1[[#This Row],[Chest Pain + Target]]=1,Table1[[#This Row],[trestbps]]&gt;=130),1,0)</f>
        <v>0</v>
      </c>
      <c r="T61">
        <f>IF(AND(Table1[[#This Row],[Add BP]]=1,Table1[[#This Row],[chol]]&gt;=200),1,0)</f>
        <v>0</v>
      </c>
      <c r="U61">
        <f>IF(AND(Table1[[#This Row],[Add Cholestrol]]=1,Table1[[#This Row],[slope]]&gt;=2),1,0)</f>
        <v>0</v>
      </c>
      <c r="V61">
        <f>COUNTIFS(Table1[target],1)</f>
        <v>165</v>
      </c>
    </row>
    <row r="62" spans="1:22" x14ac:dyDescent="0.25">
      <c r="A62">
        <v>35</v>
      </c>
      <c r="B62">
        <v>1</v>
      </c>
      <c r="C62">
        <v>0</v>
      </c>
      <c r="D62">
        <v>120</v>
      </c>
      <c r="E62">
        <v>198</v>
      </c>
      <c r="F62">
        <v>0</v>
      </c>
      <c r="G62">
        <v>1</v>
      </c>
      <c r="H62">
        <v>130</v>
      </c>
      <c r="I62">
        <v>1</v>
      </c>
      <c r="J62">
        <v>1.6</v>
      </c>
      <c r="K62">
        <v>1</v>
      </c>
      <c r="L62">
        <v>0</v>
      </c>
      <c r="M62">
        <v>3</v>
      </c>
      <c r="N62">
        <v>0</v>
      </c>
      <c r="O62" t="str">
        <f>IF(Table1[[#This Row],[sex]]=1,"Male","Female")</f>
        <v>Male</v>
      </c>
      <c r="P62" t="str">
        <f>IF(Table1[[#This Row],[cp]]=0,"Typical Angina",IF(Table1[[#This Row],[cp]]=1,"Atypical Angina",IF(Table1[[#This Row],[cp]]=2,"Non-Anginal Pain","Asymptomatic")))</f>
        <v>Typical Angina</v>
      </c>
      <c r="Q62">
        <f>IF(Table1[[#This Row],[trestbps]]&gt;=130, 1, 0)</f>
        <v>0</v>
      </c>
      <c r="R62">
        <f>IF(AND(Table1[[#This Row],[target]]=1,OR(Table1[[#This Row],[cp]]=0,Table1[[#This Row],[cp]]=1,Table1[[#This Row],[cp]]=2,Table1[[#This Row],[cp]])),1,0)</f>
        <v>0</v>
      </c>
      <c r="S62">
        <f>IF(AND(Table1[[#This Row],[Chest Pain + Target]]=1,Table1[[#This Row],[trestbps]]&gt;=130),1,0)</f>
        <v>0</v>
      </c>
      <c r="T62">
        <f>IF(AND(Table1[[#This Row],[Add BP]]=1,Table1[[#This Row],[chol]]&gt;=200),1,0)</f>
        <v>0</v>
      </c>
      <c r="U62">
        <f>IF(AND(Table1[[#This Row],[Add Cholestrol]]=1,Table1[[#This Row],[slope]]&gt;=2),1,0)</f>
        <v>0</v>
      </c>
      <c r="V62">
        <f>COUNTIFS(Table1[target],1)</f>
        <v>165</v>
      </c>
    </row>
    <row r="63" spans="1:22" x14ac:dyDescent="0.25">
      <c r="A63">
        <v>58</v>
      </c>
      <c r="B63">
        <v>1</v>
      </c>
      <c r="C63">
        <v>0</v>
      </c>
      <c r="D63">
        <v>128</v>
      </c>
      <c r="E63">
        <v>259</v>
      </c>
      <c r="F63">
        <v>0</v>
      </c>
      <c r="G63">
        <v>0</v>
      </c>
      <c r="H63">
        <v>130</v>
      </c>
      <c r="I63">
        <v>1</v>
      </c>
      <c r="J63">
        <v>3</v>
      </c>
      <c r="K63">
        <v>1</v>
      </c>
      <c r="L63">
        <v>2</v>
      </c>
      <c r="M63">
        <v>3</v>
      </c>
      <c r="N63">
        <v>0</v>
      </c>
      <c r="O63" t="str">
        <f>IF(Table1[[#This Row],[sex]]=1,"Male","Female")</f>
        <v>Male</v>
      </c>
      <c r="P63" t="str">
        <f>IF(Table1[[#This Row],[cp]]=0,"Typical Angina",IF(Table1[[#This Row],[cp]]=1,"Atypical Angina",IF(Table1[[#This Row],[cp]]=2,"Non-Anginal Pain","Asymptomatic")))</f>
        <v>Typical Angina</v>
      </c>
      <c r="Q63">
        <f>IF(Table1[[#This Row],[trestbps]]&gt;=130, 1, 0)</f>
        <v>0</v>
      </c>
      <c r="R63">
        <f>IF(AND(Table1[[#This Row],[target]]=1,OR(Table1[[#This Row],[cp]]=0,Table1[[#This Row],[cp]]=1,Table1[[#This Row],[cp]]=2,Table1[[#This Row],[cp]])),1,0)</f>
        <v>0</v>
      </c>
      <c r="S63">
        <f>IF(AND(Table1[[#This Row],[Chest Pain + Target]]=1,Table1[[#This Row],[trestbps]]&gt;=130),1,0)</f>
        <v>0</v>
      </c>
      <c r="T63">
        <f>IF(AND(Table1[[#This Row],[Add BP]]=1,Table1[[#This Row],[chol]]&gt;=200),1,0)</f>
        <v>0</v>
      </c>
      <c r="U63">
        <f>IF(AND(Table1[[#This Row],[Add Cholestrol]]=1,Table1[[#This Row],[slope]]&gt;=2),1,0)</f>
        <v>0</v>
      </c>
      <c r="V63">
        <f>COUNTIFS(Table1[target],1)</f>
        <v>165</v>
      </c>
    </row>
    <row r="64" spans="1:22" x14ac:dyDescent="0.25">
      <c r="A64">
        <v>55</v>
      </c>
      <c r="B64">
        <v>0</v>
      </c>
      <c r="C64">
        <v>0</v>
      </c>
      <c r="D64">
        <v>128</v>
      </c>
      <c r="E64">
        <v>205</v>
      </c>
      <c r="F64">
        <v>0</v>
      </c>
      <c r="G64">
        <v>2</v>
      </c>
      <c r="H64">
        <v>130</v>
      </c>
      <c r="I64">
        <v>1</v>
      </c>
      <c r="J64">
        <v>2</v>
      </c>
      <c r="K64">
        <v>1</v>
      </c>
      <c r="L64">
        <v>1</v>
      </c>
      <c r="M64">
        <v>3</v>
      </c>
      <c r="N64">
        <v>0</v>
      </c>
      <c r="O64" t="str">
        <f>IF(Table1[[#This Row],[sex]]=1,"Male","Female")</f>
        <v>Female</v>
      </c>
      <c r="P64" t="str">
        <f>IF(Table1[[#This Row],[cp]]=0,"Typical Angina",IF(Table1[[#This Row],[cp]]=1,"Atypical Angina",IF(Table1[[#This Row],[cp]]=2,"Non-Anginal Pain","Asymptomatic")))</f>
        <v>Typical Angina</v>
      </c>
      <c r="Q64">
        <f>IF(Table1[[#This Row],[trestbps]]&gt;=130, 1, 0)</f>
        <v>0</v>
      </c>
      <c r="R64">
        <f>IF(AND(Table1[[#This Row],[target]]=1,OR(Table1[[#This Row],[cp]]=0,Table1[[#This Row],[cp]]=1,Table1[[#This Row],[cp]]=2,Table1[[#This Row],[cp]])),1,0)</f>
        <v>0</v>
      </c>
      <c r="S64">
        <f>IF(AND(Table1[[#This Row],[Chest Pain + Target]]=1,Table1[[#This Row],[trestbps]]&gt;=130),1,0)</f>
        <v>0</v>
      </c>
      <c r="T64">
        <f>IF(AND(Table1[[#This Row],[Add BP]]=1,Table1[[#This Row],[chol]]&gt;=200),1,0)</f>
        <v>0</v>
      </c>
      <c r="U64">
        <f>IF(AND(Table1[[#This Row],[Add Cholestrol]]=1,Table1[[#This Row],[slope]]&gt;=2),1,0)</f>
        <v>0</v>
      </c>
      <c r="V64">
        <f>COUNTIFS(Table1[target],1)</f>
        <v>165</v>
      </c>
    </row>
    <row r="65" spans="1:22" x14ac:dyDescent="0.25">
      <c r="A65">
        <v>69</v>
      </c>
      <c r="B65">
        <v>1</v>
      </c>
      <c r="C65">
        <v>3</v>
      </c>
      <c r="D65">
        <v>160</v>
      </c>
      <c r="E65">
        <v>234</v>
      </c>
      <c r="F65">
        <v>1</v>
      </c>
      <c r="G65">
        <v>0</v>
      </c>
      <c r="H65">
        <v>131</v>
      </c>
      <c r="I65">
        <v>0</v>
      </c>
      <c r="J65">
        <v>0.1</v>
      </c>
      <c r="K65">
        <v>1</v>
      </c>
      <c r="L65">
        <v>1</v>
      </c>
      <c r="M65">
        <v>2</v>
      </c>
      <c r="N65">
        <v>1</v>
      </c>
      <c r="O65" t="str">
        <f>IF(Table1[[#This Row],[sex]]=1,"Male","Female")</f>
        <v>Male</v>
      </c>
      <c r="P65" t="str">
        <f>IF(Table1[[#This Row],[cp]]=0,"Typical Angina",IF(Table1[[#This Row],[cp]]=1,"Atypical Angina",IF(Table1[[#This Row],[cp]]=2,"Non-Anginal Pain","Asymptomatic")))</f>
        <v>Asymptomatic</v>
      </c>
      <c r="Q65">
        <f>IF(Table1[[#This Row],[trestbps]]&gt;=130, 1, 0)</f>
        <v>1</v>
      </c>
      <c r="R65">
        <f>IF(AND(Table1[[#This Row],[target]]=1,OR(Table1[[#This Row],[cp]]=0,Table1[[#This Row],[cp]]=1,Table1[[#This Row],[cp]]=2,Table1[[#This Row],[cp]])),1,0)</f>
        <v>1</v>
      </c>
      <c r="S65">
        <f>IF(AND(Table1[[#This Row],[Chest Pain + Target]]=1,Table1[[#This Row],[trestbps]]&gt;=130),1,0)</f>
        <v>1</v>
      </c>
      <c r="T65">
        <f>IF(AND(Table1[[#This Row],[Add BP]]=1,Table1[[#This Row],[chol]]&gt;=200),1,0)</f>
        <v>1</v>
      </c>
      <c r="U65">
        <f>IF(AND(Table1[[#This Row],[Add Cholestrol]]=1,Table1[[#This Row],[slope]]&gt;=2),1,0)</f>
        <v>0</v>
      </c>
      <c r="V65">
        <f>COUNTIFS(Table1[target],1)</f>
        <v>165</v>
      </c>
    </row>
    <row r="66" spans="1:22" x14ac:dyDescent="0.25">
      <c r="A66">
        <v>58</v>
      </c>
      <c r="B66">
        <v>0</v>
      </c>
      <c r="C66">
        <v>0</v>
      </c>
      <c r="D66">
        <v>130</v>
      </c>
      <c r="E66">
        <v>197</v>
      </c>
      <c r="F66">
        <v>0</v>
      </c>
      <c r="G66">
        <v>1</v>
      </c>
      <c r="H66">
        <v>131</v>
      </c>
      <c r="I66">
        <v>0</v>
      </c>
      <c r="J66">
        <v>0.6</v>
      </c>
      <c r="K66">
        <v>1</v>
      </c>
      <c r="L66">
        <v>0</v>
      </c>
      <c r="M66">
        <v>2</v>
      </c>
      <c r="N66">
        <v>1</v>
      </c>
      <c r="O66" t="str">
        <f>IF(Table1[[#This Row],[sex]]=1,"Male","Female")</f>
        <v>Female</v>
      </c>
      <c r="P66" t="str">
        <f>IF(Table1[[#This Row],[cp]]=0,"Typical Angina",IF(Table1[[#This Row],[cp]]=1,"Atypical Angina",IF(Table1[[#This Row],[cp]]=2,"Non-Anginal Pain","Asymptomatic")))</f>
        <v>Typical Angina</v>
      </c>
      <c r="Q66">
        <f>IF(Table1[[#This Row],[trestbps]]&gt;=130, 1, 0)</f>
        <v>1</v>
      </c>
      <c r="R66">
        <f>IF(AND(Table1[[#This Row],[target]]=1,OR(Table1[[#This Row],[cp]]=0,Table1[[#This Row],[cp]]=1,Table1[[#This Row],[cp]]=2,Table1[[#This Row],[cp]])),1,0)</f>
        <v>1</v>
      </c>
      <c r="S66">
        <f>IF(AND(Table1[[#This Row],[Chest Pain + Target]]=1,Table1[[#This Row],[trestbps]]&gt;=130),1,0)</f>
        <v>1</v>
      </c>
      <c r="T66">
        <f>IF(AND(Table1[[#This Row],[Add BP]]=1,Table1[[#This Row],[chol]]&gt;=200),1,0)</f>
        <v>0</v>
      </c>
      <c r="U66">
        <f>IF(AND(Table1[[#This Row],[Add Cholestrol]]=1,Table1[[#This Row],[slope]]&gt;=2),1,0)</f>
        <v>0</v>
      </c>
      <c r="V66">
        <f>COUNTIFS(Table1[target],1)</f>
        <v>165</v>
      </c>
    </row>
    <row r="67" spans="1:22" x14ac:dyDescent="0.25">
      <c r="A67">
        <v>58</v>
      </c>
      <c r="B67">
        <v>1</v>
      </c>
      <c r="C67">
        <v>0</v>
      </c>
      <c r="D67">
        <v>128</v>
      </c>
      <c r="E67">
        <v>216</v>
      </c>
      <c r="F67">
        <v>0</v>
      </c>
      <c r="G67">
        <v>0</v>
      </c>
      <c r="H67">
        <v>131</v>
      </c>
      <c r="I67">
        <v>1</v>
      </c>
      <c r="J67">
        <v>2.2000000000000002</v>
      </c>
      <c r="K67">
        <v>1</v>
      </c>
      <c r="L67">
        <v>3</v>
      </c>
      <c r="M67">
        <v>3</v>
      </c>
      <c r="N67">
        <v>0</v>
      </c>
      <c r="O67" t="str">
        <f>IF(Table1[[#This Row],[sex]]=1,"Male","Female")</f>
        <v>Male</v>
      </c>
      <c r="P67" t="str">
        <f>IF(Table1[[#This Row],[cp]]=0,"Typical Angina",IF(Table1[[#This Row],[cp]]=1,"Atypical Angina",IF(Table1[[#This Row],[cp]]=2,"Non-Anginal Pain","Asymptomatic")))</f>
        <v>Typical Angina</v>
      </c>
      <c r="Q67">
        <f>IF(Table1[[#This Row],[trestbps]]&gt;=130, 1, 0)</f>
        <v>0</v>
      </c>
      <c r="R67">
        <f>IF(AND(Table1[[#This Row],[target]]=1,OR(Table1[[#This Row],[cp]]=0,Table1[[#This Row],[cp]]=1,Table1[[#This Row],[cp]]=2,Table1[[#This Row],[cp]])),1,0)</f>
        <v>0</v>
      </c>
      <c r="S67">
        <f>IF(AND(Table1[[#This Row],[Chest Pain + Target]]=1,Table1[[#This Row],[trestbps]]&gt;=130),1,0)</f>
        <v>0</v>
      </c>
      <c r="T67">
        <f>IF(AND(Table1[[#This Row],[Add BP]]=1,Table1[[#This Row],[chol]]&gt;=200),1,0)</f>
        <v>0</v>
      </c>
      <c r="U67">
        <f>IF(AND(Table1[[#This Row],[Add Cholestrol]]=1,Table1[[#This Row],[slope]]&gt;=2),1,0)</f>
        <v>0</v>
      </c>
      <c r="V67">
        <f>COUNTIFS(Table1[target],1)</f>
        <v>165</v>
      </c>
    </row>
    <row r="68" spans="1:22" x14ac:dyDescent="0.25">
      <c r="A68">
        <v>64</v>
      </c>
      <c r="B68">
        <v>1</v>
      </c>
      <c r="C68">
        <v>2</v>
      </c>
      <c r="D68">
        <v>125</v>
      </c>
      <c r="E68">
        <v>309</v>
      </c>
      <c r="F68">
        <v>0</v>
      </c>
      <c r="G68">
        <v>1</v>
      </c>
      <c r="H68">
        <v>131</v>
      </c>
      <c r="I68">
        <v>1</v>
      </c>
      <c r="J68">
        <v>1.8</v>
      </c>
      <c r="K68">
        <v>1</v>
      </c>
      <c r="L68">
        <v>0</v>
      </c>
      <c r="M68">
        <v>3</v>
      </c>
      <c r="N68">
        <v>0</v>
      </c>
      <c r="O68" t="str">
        <f>IF(Table1[[#This Row],[sex]]=1,"Male","Female")</f>
        <v>Male</v>
      </c>
      <c r="P68" t="str">
        <f>IF(Table1[[#This Row],[cp]]=0,"Typical Angina",IF(Table1[[#This Row],[cp]]=1,"Atypical Angina",IF(Table1[[#This Row],[cp]]=2,"Non-Anginal Pain","Asymptomatic")))</f>
        <v>Non-Anginal Pain</v>
      </c>
      <c r="Q68">
        <f>IF(Table1[[#This Row],[trestbps]]&gt;=130, 1, 0)</f>
        <v>0</v>
      </c>
      <c r="R68">
        <f>IF(AND(Table1[[#This Row],[target]]=1,OR(Table1[[#This Row],[cp]]=0,Table1[[#This Row],[cp]]=1,Table1[[#This Row],[cp]]=2,Table1[[#This Row],[cp]])),1,0)</f>
        <v>0</v>
      </c>
      <c r="S68">
        <f>IF(AND(Table1[[#This Row],[Chest Pain + Target]]=1,Table1[[#This Row],[trestbps]]&gt;=130),1,0)</f>
        <v>0</v>
      </c>
      <c r="T68">
        <f>IF(AND(Table1[[#This Row],[Add BP]]=1,Table1[[#This Row],[chol]]&gt;=200),1,0)</f>
        <v>0</v>
      </c>
      <c r="U68">
        <f>IF(AND(Table1[[#This Row],[Add Cholestrol]]=1,Table1[[#This Row],[slope]]&gt;=2),1,0)</f>
        <v>0</v>
      </c>
      <c r="V68">
        <f>COUNTIFS(Table1[target],1)</f>
        <v>165</v>
      </c>
    </row>
    <row r="69" spans="1:22" x14ac:dyDescent="0.25">
      <c r="A69">
        <v>41</v>
      </c>
      <c r="B69">
        <v>1</v>
      </c>
      <c r="C69">
        <v>1</v>
      </c>
      <c r="D69">
        <v>135</v>
      </c>
      <c r="E69">
        <v>203</v>
      </c>
      <c r="F69">
        <v>0</v>
      </c>
      <c r="G69">
        <v>1</v>
      </c>
      <c r="H69">
        <v>132</v>
      </c>
      <c r="I69">
        <v>0</v>
      </c>
      <c r="J69">
        <v>0</v>
      </c>
      <c r="K69">
        <v>1</v>
      </c>
      <c r="L69">
        <v>0</v>
      </c>
      <c r="M69">
        <v>1</v>
      </c>
      <c r="N69">
        <v>1</v>
      </c>
      <c r="O69" t="str">
        <f>IF(Table1[[#This Row],[sex]]=1,"Male","Female")</f>
        <v>Male</v>
      </c>
      <c r="P69" t="str">
        <f>IF(Table1[[#This Row],[cp]]=0,"Typical Angina",IF(Table1[[#This Row],[cp]]=1,"Atypical Angina",IF(Table1[[#This Row],[cp]]=2,"Non-Anginal Pain","Asymptomatic")))</f>
        <v>Atypical Angina</v>
      </c>
      <c r="Q69">
        <f>IF(Table1[[#This Row],[trestbps]]&gt;=130, 1, 0)</f>
        <v>1</v>
      </c>
      <c r="R69">
        <f>IF(AND(Table1[[#This Row],[target]]=1,OR(Table1[[#This Row],[cp]]=0,Table1[[#This Row],[cp]]=1,Table1[[#This Row],[cp]]=2,Table1[[#This Row],[cp]])),1,0)</f>
        <v>1</v>
      </c>
      <c r="S69">
        <f>IF(AND(Table1[[#This Row],[Chest Pain + Target]]=1,Table1[[#This Row],[trestbps]]&gt;=130),1,0)</f>
        <v>1</v>
      </c>
      <c r="T69">
        <f>IF(AND(Table1[[#This Row],[Add BP]]=1,Table1[[#This Row],[chol]]&gt;=200),1,0)</f>
        <v>1</v>
      </c>
      <c r="U69">
        <f>IF(AND(Table1[[#This Row],[Add Cholestrol]]=1,Table1[[#This Row],[slope]]&gt;=2),1,0)</f>
        <v>0</v>
      </c>
      <c r="V69">
        <f>COUNTIFS(Table1[target],1)</f>
        <v>165</v>
      </c>
    </row>
    <row r="70" spans="1:22" x14ac:dyDescent="0.25">
      <c r="A70">
        <v>60</v>
      </c>
      <c r="B70">
        <v>1</v>
      </c>
      <c r="C70">
        <v>0</v>
      </c>
      <c r="D70">
        <v>130</v>
      </c>
      <c r="E70">
        <v>206</v>
      </c>
      <c r="F70">
        <v>0</v>
      </c>
      <c r="G70">
        <v>0</v>
      </c>
      <c r="H70">
        <v>132</v>
      </c>
      <c r="I70">
        <v>1</v>
      </c>
      <c r="J70">
        <v>2.4</v>
      </c>
      <c r="K70">
        <v>1</v>
      </c>
      <c r="L70">
        <v>2</v>
      </c>
      <c r="M70">
        <v>3</v>
      </c>
      <c r="N70">
        <v>0</v>
      </c>
      <c r="O70" t="str">
        <f>IF(Table1[[#This Row],[sex]]=1,"Male","Female")</f>
        <v>Male</v>
      </c>
      <c r="P70" t="str">
        <f>IF(Table1[[#This Row],[cp]]=0,"Typical Angina",IF(Table1[[#This Row],[cp]]=1,"Atypical Angina",IF(Table1[[#This Row],[cp]]=2,"Non-Anginal Pain","Asymptomatic")))</f>
        <v>Typical Angina</v>
      </c>
      <c r="Q70">
        <f>IF(Table1[[#This Row],[trestbps]]&gt;=130, 1, 0)</f>
        <v>1</v>
      </c>
      <c r="R70">
        <f>IF(AND(Table1[[#This Row],[target]]=1,OR(Table1[[#This Row],[cp]]=0,Table1[[#This Row],[cp]]=1,Table1[[#This Row],[cp]]=2,Table1[[#This Row],[cp]])),1,0)</f>
        <v>0</v>
      </c>
      <c r="S70">
        <f>IF(AND(Table1[[#This Row],[Chest Pain + Target]]=1,Table1[[#This Row],[trestbps]]&gt;=130),1,0)</f>
        <v>0</v>
      </c>
      <c r="T70">
        <f>IF(AND(Table1[[#This Row],[Add BP]]=1,Table1[[#This Row],[chol]]&gt;=200),1,0)</f>
        <v>0</v>
      </c>
      <c r="U70">
        <f>IF(AND(Table1[[#This Row],[Add Cholestrol]]=1,Table1[[#This Row],[slope]]&gt;=2),1,0)</f>
        <v>0</v>
      </c>
      <c r="V70">
        <f>COUNTIFS(Table1[target],1)</f>
        <v>165</v>
      </c>
    </row>
    <row r="71" spans="1:22" x14ac:dyDescent="0.25">
      <c r="A71">
        <v>55</v>
      </c>
      <c r="B71">
        <v>1</v>
      </c>
      <c r="C71">
        <v>0</v>
      </c>
      <c r="D71">
        <v>132</v>
      </c>
      <c r="E71">
        <v>353</v>
      </c>
      <c r="F71">
        <v>0</v>
      </c>
      <c r="G71">
        <v>1</v>
      </c>
      <c r="H71">
        <v>132</v>
      </c>
      <c r="I71">
        <v>1</v>
      </c>
      <c r="J71">
        <v>1.2</v>
      </c>
      <c r="K71">
        <v>1</v>
      </c>
      <c r="L71">
        <v>1</v>
      </c>
      <c r="M71">
        <v>3</v>
      </c>
      <c r="N71">
        <v>0</v>
      </c>
      <c r="O71" t="str">
        <f>IF(Table1[[#This Row],[sex]]=1,"Male","Female")</f>
        <v>Male</v>
      </c>
      <c r="P71" t="str">
        <f>IF(Table1[[#This Row],[cp]]=0,"Typical Angina",IF(Table1[[#This Row],[cp]]=1,"Atypical Angina",IF(Table1[[#This Row],[cp]]=2,"Non-Anginal Pain","Asymptomatic")))</f>
        <v>Typical Angina</v>
      </c>
      <c r="Q71">
        <f>IF(Table1[[#This Row],[trestbps]]&gt;=130, 1, 0)</f>
        <v>1</v>
      </c>
      <c r="R71">
        <f>IF(AND(Table1[[#This Row],[target]]=1,OR(Table1[[#This Row],[cp]]=0,Table1[[#This Row],[cp]]=1,Table1[[#This Row],[cp]]=2,Table1[[#This Row],[cp]])),1,0)</f>
        <v>0</v>
      </c>
      <c r="S71">
        <f>IF(AND(Table1[[#This Row],[Chest Pain + Target]]=1,Table1[[#This Row],[trestbps]]&gt;=130),1,0)</f>
        <v>0</v>
      </c>
      <c r="T71">
        <f>IF(AND(Table1[[#This Row],[Add BP]]=1,Table1[[#This Row],[chol]]&gt;=200),1,0)</f>
        <v>0</v>
      </c>
      <c r="U71">
        <f>IF(AND(Table1[[#This Row],[Add Cholestrol]]=1,Table1[[#This Row],[slope]]&gt;=2),1,0)</f>
        <v>0</v>
      </c>
      <c r="V71">
        <f>COUNTIFS(Table1[target],1)</f>
        <v>165</v>
      </c>
    </row>
    <row r="72" spans="1:22" x14ac:dyDescent="0.25">
      <c r="A72">
        <v>63</v>
      </c>
      <c r="B72">
        <v>1</v>
      </c>
      <c r="C72">
        <v>0</v>
      </c>
      <c r="D72">
        <v>130</v>
      </c>
      <c r="E72">
        <v>330</v>
      </c>
      <c r="F72">
        <v>1</v>
      </c>
      <c r="G72">
        <v>0</v>
      </c>
      <c r="H72">
        <v>132</v>
      </c>
      <c r="I72">
        <v>1</v>
      </c>
      <c r="J72">
        <v>1.8</v>
      </c>
      <c r="K72">
        <v>2</v>
      </c>
      <c r="L72">
        <v>3</v>
      </c>
      <c r="M72">
        <v>3</v>
      </c>
      <c r="N72">
        <v>0</v>
      </c>
      <c r="O72" t="str">
        <f>IF(Table1[[#This Row],[sex]]=1,"Male","Female")</f>
        <v>Male</v>
      </c>
      <c r="P72" t="str">
        <f>IF(Table1[[#This Row],[cp]]=0,"Typical Angina",IF(Table1[[#This Row],[cp]]=1,"Atypical Angina",IF(Table1[[#This Row],[cp]]=2,"Non-Anginal Pain","Asymptomatic")))</f>
        <v>Typical Angina</v>
      </c>
      <c r="Q72">
        <f>IF(Table1[[#This Row],[trestbps]]&gt;=130, 1, 0)</f>
        <v>1</v>
      </c>
      <c r="R72">
        <f>IF(AND(Table1[[#This Row],[target]]=1,OR(Table1[[#This Row],[cp]]=0,Table1[[#This Row],[cp]]=1,Table1[[#This Row],[cp]]=2,Table1[[#This Row],[cp]])),1,0)</f>
        <v>0</v>
      </c>
      <c r="S72">
        <f>IF(AND(Table1[[#This Row],[Chest Pain + Target]]=1,Table1[[#This Row],[trestbps]]&gt;=130),1,0)</f>
        <v>0</v>
      </c>
      <c r="T72">
        <f>IF(AND(Table1[[#This Row],[Add BP]]=1,Table1[[#This Row],[chol]]&gt;=200),1,0)</f>
        <v>0</v>
      </c>
      <c r="U72">
        <f>IF(AND(Table1[[#This Row],[Add Cholestrol]]=1,Table1[[#This Row],[slope]]&gt;=2),1,0)</f>
        <v>0</v>
      </c>
      <c r="V72">
        <f>COUNTIFS(Table1[target],1)</f>
        <v>165</v>
      </c>
    </row>
    <row r="73" spans="1:22" x14ac:dyDescent="0.25">
      <c r="A73">
        <v>64</v>
      </c>
      <c r="B73">
        <v>1</v>
      </c>
      <c r="C73">
        <v>0</v>
      </c>
      <c r="D73">
        <v>145</v>
      </c>
      <c r="E73">
        <v>212</v>
      </c>
      <c r="F73">
        <v>0</v>
      </c>
      <c r="G73">
        <v>0</v>
      </c>
      <c r="H73">
        <v>132</v>
      </c>
      <c r="I73">
        <v>0</v>
      </c>
      <c r="J73">
        <v>2</v>
      </c>
      <c r="K73">
        <v>1</v>
      </c>
      <c r="L73">
        <v>2</v>
      </c>
      <c r="M73">
        <v>1</v>
      </c>
      <c r="N73">
        <v>0</v>
      </c>
      <c r="O73" t="str">
        <f>IF(Table1[[#This Row],[sex]]=1,"Male","Female")</f>
        <v>Male</v>
      </c>
      <c r="P73" t="str">
        <f>IF(Table1[[#This Row],[cp]]=0,"Typical Angina",IF(Table1[[#This Row],[cp]]=1,"Atypical Angina",IF(Table1[[#This Row],[cp]]=2,"Non-Anginal Pain","Asymptomatic")))</f>
        <v>Typical Angina</v>
      </c>
      <c r="Q73">
        <f>IF(Table1[[#This Row],[trestbps]]&gt;=130, 1, 0)</f>
        <v>1</v>
      </c>
      <c r="R73">
        <f>IF(AND(Table1[[#This Row],[target]]=1,OR(Table1[[#This Row],[cp]]=0,Table1[[#This Row],[cp]]=1,Table1[[#This Row],[cp]]=2,Table1[[#This Row],[cp]])),1,0)</f>
        <v>0</v>
      </c>
      <c r="S73">
        <f>IF(AND(Table1[[#This Row],[Chest Pain + Target]]=1,Table1[[#This Row],[trestbps]]&gt;=130),1,0)</f>
        <v>0</v>
      </c>
      <c r="T73">
        <f>IF(AND(Table1[[#This Row],[Add BP]]=1,Table1[[#This Row],[chol]]&gt;=200),1,0)</f>
        <v>0</v>
      </c>
      <c r="U73">
        <f>IF(AND(Table1[[#This Row],[Add Cholestrol]]=1,Table1[[#This Row],[slope]]&gt;=2),1,0)</f>
        <v>0</v>
      </c>
      <c r="V73">
        <f>COUNTIFS(Table1[target],1)</f>
        <v>165</v>
      </c>
    </row>
    <row r="74" spans="1:22" x14ac:dyDescent="0.25">
      <c r="A74">
        <v>66</v>
      </c>
      <c r="B74">
        <v>1</v>
      </c>
      <c r="C74">
        <v>0</v>
      </c>
      <c r="D74">
        <v>112</v>
      </c>
      <c r="E74">
        <v>212</v>
      </c>
      <c r="F74">
        <v>0</v>
      </c>
      <c r="G74">
        <v>0</v>
      </c>
      <c r="H74">
        <v>132</v>
      </c>
      <c r="I74">
        <v>1</v>
      </c>
      <c r="J74">
        <v>0.1</v>
      </c>
      <c r="K74">
        <v>2</v>
      </c>
      <c r="L74">
        <v>1</v>
      </c>
      <c r="M74">
        <v>2</v>
      </c>
      <c r="N74">
        <v>0</v>
      </c>
      <c r="O74" t="str">
        <f>IF(Table1[[#This Row],[sex]]=1,"Male","Female")</f>
        <v>Male</v>
      </c>
      <c r="P74" t="str">
        <f>IF(Table1[[#This Row],[cp]]=0,"Typical Angina",IF(Table1[[#This Row],[cp]]=1,"Atypical Angina",IF(Table1[[#This Row],[cp]]=2,"Non-Anginal Pain","Asymptomatic")))</f>
        <v>Typical Angina</v>
      </c>
      <c r="Q74">
        <f>IF(Table1[[#This Row],[trestbps]]&gt;=130, 1, 0)</f>
        <v>0</v>
      </c>
      <c r="R74">
        <f>IF(AND(Table1[[#This Row],[target]]=1,OR(Table1[[#This Row],[cp]]=0,Table1[[#This Row],[cp]]=1,Table1[[#This Row],[cp]]=2,Table1[[#This Row],[cp]])),1,0)</f>
        <v>0</v>
      </c>
      <c r="S74">
        <f>IF(AND(Table1[[#This Row],[Chest Pain + Target]]=1,Table1[[#This Row],[trestbps]]&gt;=130),1,0)</f>
        <v>0</v>
      </c>
      <c r="T74">
        <f>IF(AND(Table1[[#This Row],[Add BP]]=1,Table1[[#This Row],[chol]]&gt;=200),1,0)</f>
        <v>0</v>
      </c>
      <c r="U74">
        <f>IF(AND(Table1[[#This Row],[Add Cholestrol]]=1,Table1[[#This Row],[slope]]&gt;=2),1,0)</f>
        <v>0</v>
      </c>
      <c r="V74">
        <f>COUNTIFS(Table1[target],1)</f>
        <v>165</v>
      </c>
    </row>
    <row r="75" spans="1:22" x14ac:dyDescent="0.25">
      <c r="A75">
        <v>45</v>
      </c>
      <c r="B75">
        <v>1</v>
      </c>
      <c r="C75">
        <v>3</v>
      </c>
      <c r="D75">
        <v>110</v>
      </c>
      <c r="E75">
        <v>264</v>
      </c>
      <c r="F75">
        <v>0</v>
      </c>
      <c r="G75">
        <v>1</v>
      </c>
      <c r="H75">
        <v>132</v>
      </c>
      <c r="I75">
        <v>0</v>
      </c>
      <c r="J75">
        <v>1.2</v>
      </c>
      <c r="K75">
        <v>1</v>
      </c>
      <c r="L75">
        <v>0</v>
      </c>
      <c r="M75">
        <v>3</v>
      </c>
      <c r="N75">
        <v>0</v>
      </c>
      <c r="O75" t="str">
        <f>IF(Table1[[#This Row],[sex]]=1,"Male","Female")</f>
        <v>Male</v>
      </c>
      <c r="P75" t="str">
        <f>IF(Table1[[#This Row],[cp]]=0,"Typical Angina",IF(Table1[[#This Row],[cp]]=1,"Atypical Angina",IF(Table1[[#This Row],[cp]]=2,"Non-Anginal Pain","Asymptomatic")))</f>
        <v>Asymptomatic</v>
      </c>
      <c r="Q75">
        <f>IF(Table1[[#This Row],[trestbps]]&gt;=130, 1, 0)</f>
        <v>0</v>
      </c>
      <c r="R75">
        <f>IF(AND(Table1[[#This Row],[target]]=1,OR(Table1[[#This Row],[cp]]=0,Table1[[#This Row],[cp]]=1,Table1[[#This Row],[cp]]=2,Table1[[#This Row],[cp]])),1,0)</f>
        <v>0</v>
      </c>
      <c r="S75">
        <f>IF(AND(Table1[[#This Row],[Chest Pain + Target]]=1,Table1[[#This Row],[trestbps]]&gt;=130),1,0)</f>
        <v>0</v>
      </c>
      <c r="T75">
        <f>IF(AND(Table1[[#This Row],[Add BP]]=1,Table1[[#This Row],[chol]]&gt;=200),1,0)</f>
        <v>0</v>
      </c>
      <c r="U75">
        <f>IF(AND(Table1[[#This Row],[Add Cholestrol]]=1,Table1[[#This Row],[slope]]&gt;=2),1,0)</f>
        <v>0</v>
      </c>
      <c r="V75">
        <f>COUNTIFS(Table1[target],1)</f>
        <v>165</v>
      </c>
    </row>
    <row r="76" spans="1:22" x14ac:dyDescent="0.25">
      <c r="A76">
        <v>64</v>
      </c>
      <c r="B76">
        <v>0</v>
      </c>
      <c r="C76">
        <v>2</v>
      </c>
      <c r="D76">
        <v>140</v>
      </c>
      <c r="E76">
        <v>313</v>
      </c>
      <c r="F76">
        <v>0</v>
      </c>
      <c r="G76">
        <v>1</v>
      </c>
      <c r="H76">
        <v>133</v>
      </c>
      <c r="I76">
        <v>0</v>
      </c>
      <c r="J76">
        <v>0.2</v>
      </c>
      <c r="K76">
        <v>2</v>
      </c>
      <c r="L76">
        <v>0</v>
      </c>
      <c r="M76">
        <v>3</v>
      </c>
      <c r="N76">
        <v>1</v>
      </c>
      <c r="O76" t="str">
        <f>IF(Table1[[#This Row],[sex]]=1,"Male","Female")</f>
        <v>Female</v>
      </c>
      <c r="P76" t="str">
        <f>IF(Table1[[#This Row],[cp]]=0,"Typical Angina",IF(Table1[[#This Row],[cp]]=1,"Atypical Angina",IF(Table1[[#This Row],[cp]]=2,"Non-Anginal Pain","Asymptomatic")))</f>
        <v>Non-Anginal Pain</v>
      </c>
      <c r="Q76">
        <f>IF(Table1[[#This Row],[trestbps]]&gt;=130, 1, 0)</f>
        <v>1</v>
      </c>
      <c r="R76">
        <f>IF(AND(Table1[[#This Row],[target]]=1,OR(Table1[[#This Row],[cp]]=0,Table1[[#This Row],[cp]]=1,Table1[[#This Row],[cp]]=2,Table1[[#This Row],[cp]])),1,0)</f>
        <v>1</v>
      </c>
      <c r="S76">
        <f>IF(AND(Table1[[#This Row],[Chest Pain + Target]]=1,Table1[[#This Row],[trestbps]]&gt;=130),1,0)</f>
        <v>1</v>
      </c>
      <c r="T76">
        <f>IF(AND(Table1[[#This Row],[Add BP]]=1,Table1[[#This Row],[chol]]&gt;=200),1,0)</f>
        <v>1</v>
      </c>
      <c r="U76">
        <f>IF(AND(Table1[[#This Row],[Add Cholestrol]]=1,Table1[[#This Row],[slope]]&gt;=2),1,0)</f>
        <v>1</v>
      </c>
      <c r="V76">
        <f>COUNTIFS(Table1[target],1)</f>
        <v>165</v>
      </c>
    </row>
    <row r="77" spans="1:22" x14ac:dyDescent="0.25">
      <c r="A77">
        <v>56</v>
      </c>
      <c r="B77">
        <v>0</v>
      </c>
      <c r="C77">
        <v>0</v>
      </c>
      <c r="D77">
        <v>200</v>
      </c>
      <c r="E77">
        <v>288</v>
      </c>
      <c r="F77">
        <v>1</v>
      </c>
      <c r="G77">
        <v>0</v>
      </c>
      <c r="H77">
        <v>133</v>
      </c>
      <c r="I77">
        <v>1</v>
      </c>
      <c r="J77">
        <v>4</v>
      </c>
      <c r="K77">
        <v>0</v>
      </c>
      <c r="L77">
        <v>2</v>
      </c>
      <c r="M77">
        <v>3</v>
      </c>
      <c r="N77">
        <v>0</v>
      </c>
      <c r="O77" t="str">
        <f>IF(Table1[[#This Row],[sex]]=1,"Male","Female")</f>
        <v>Female</v>
      </c>
      <c r="P77" t="str">
        <f>IF(Table1[[#This Row],[cp]]=0,"Typical Angina",IF(Table1[[#This Row],[cp]]=1,"Atypical Angina",IF(Table1[[#This Row],[cp]]=2,"Non-Anginal Pain","Asymptomatic")))</f>
        <v>Typical Angina</v>
      </c>
      <c r="Q77">
        <f>IF(Table1[[#This Row],[trestbps]]&gt;=130, 1, 0)</f>
        <v>1</v>
      </c>
      <c r="R77">
        <f>IF(AND(Table1[[#This Row],[target]]=1,OR(Table1[[#This Row],[cp]]=0,Table1[[#This Row],[cp]]=1,Table1[[#This Row],[cp]]=2,Table1[[#This Row],[cp]])),1,0)</f>
        <v>0</v>
      </c>
      <c r="S77">
        <f>IF(AND(Table1[[#This Row],[Chest Pain + Target]]=1,Table1[[#This Row],[trestbps]]&gt;=130),1,0)</f>
        <v>0</v>
      </c>
      <c r="T77">
        <f>IF(AND(Table1[[#This Row],[Add BP]]=1,Table1[[#This Row],[chol]]&gt;=200),1,0)</f>
        <v>0</v>
      </c>
      <c r="U77">
        <f>IF(AND(Table1[[#This Row],[Add Cholestrol]]=1,Table1[[#This Row],[slope]]&gt;=2),1,0)</f>
        <v>0</v>
      </c>
      <c r="V77">
        <f>COUNTIFS(Table1[target],1)</f>
        <v>165</v>
      </c>
    </row>
    <row r="78" spans="1:22" x14ac:dyDescent="0.25">
      <c r="A78">
        <v>59</v>
      </c>
      <c r="B78">
        <v>1</v>
      </c>
      <c r="C78">
        <v>2</v>
      </c>
      <c r="D78">
        <v>126</v>
      </c>
      <c r="E78">
        <v>218</v>
      </c>
      <c r="F78">
        <v>1</v>
      </c>
      <c r="G78">
        <v>1</v>
      </c>
      <c r="H78">
        <v>134</v>
      </c>
      <c r="I78">
        <v>0</v>
      </c>
      <c r="J78">
        <v>2.2000000000000002</v>
      </c>
      <c r="K78">
        <v>1</v>
      </c>
      <c r="L78">
        <v>1</v>
      </c>
      <c r="M78">
        <v>1</v>
      </c>
      <c r="N78">
        <v>0</v>
      </c>
      <c r="O78" t="str">
        <f>IF(Table1[[#This Row],[sex]]=1,"Male","Female")</f>
        <v>Male</v>
      </c>
      <c r="P78" t="str">
        <f>IF(Table1[[#This Row],[cp]]=0,"Typical Angina",IF(Table1[[#This Row],[cp]]=1,"Atypical Angina",IF(Table1[[#This Row],[cp]]=2,"Non-Anginal Pain","Asymptomatic")))</f>
        <v>Non-Anginal Pain</v>
      </c>
      <c r="Q78">
        <f>IF(Table1[[#This Row],[trestbps]]&gt;=130, 1, 0)</f>
        <v>0</v>
      </c>
      <c r="R78">
        <f>IF(AND(Table1[[#This Row],[target]]=1,OR(Table1[[#This Row],[cp]]=0,Table1[[#This Row],[cp]]=1,Table1[[#This Row],[cp]]=2,Table1[[#This Row],[cp]])),1,0)</f>
        <v>0</v>
      </c>
      <c r="S78">
        <f>IF(AND(Table1[[#This Row],[Chest Pain + Target]]=1,Table1[[#This Row],[trestbps]]&gt;=130),1,0)</f>
        <v>0</v>
      </c>
      <c r="T78">
        <f>IF(AND(Table1[[#This Row],[Add BP]]=1,Table1[[#This Row],[chol]]&gt;=200),1,0)</f>
        <v>0</v>
      </c>
      <c r="U78">
        <f>IF(AND(Table1[[#This Row],[Add Cholestrol]]=1,Table1[[#This Row],[slope]]&gt;=2),1,0)</f>
        <v>0</v>
      </c>
      <c r="V78">
        <f>COUNTIFS(Table1[target],1)</f>
        <v>165</v>
      </c>
    </row>
    <row r="79" spans="1:22" x14ac:dyDescent="0.25">
      <c r="A79">
        <v>43</v>
      </c>
      <c r="B79">
        <v>0</v>
      </c>
      <c r="C79">
        <v>0</v>
      </c>
      <c r="D79">
        <v>132</v>
      </c>
      <c r="E79">
        <v>341</v>
      </c>
      <c r="F79">
        <v>1</v>
      </c>
      <c r="G79">
        <v>0</v>
      </c>
      <c r="H79">
        <v>136</v>
      </c>
      <c r="I79">
        <v>1</v>
      </c>
      <c r="J79">
        <v>3</v>
      </c>
      <c r="K79">
        <v>1</v>
      </c>
      <c r="L79">
        <v>0</v>
      </c>
      <c r="M79">
        <v>3</v>
      </c>
      <c r="N79">
        <v>0</v>
      </c>
      <c r="O79" t="str">
        <f>IF(Table1[[#This Row],[sex]]=1,"Male","Female")</f>
        <v>Female</v>
      </c>
      <c r="P79" t="str">
        <f>IF(Table1[[#This Row],[cp]]=0,"Typical Angina",IF(Table1[[#This Row],[cp]]=1,"Atypical Angina",IF(Table1[[#This Row],[cp]]=2,"Non-Anginal Pain","Asymptomatic")))</f>
        <v>Typical Angina</v>
      </c>
      <c r="Q79">
        <f>IF(Table1[[#This Row],[trestbps]]&gt;=130, 1, 0)</f>
        <v>1</v>
      </c>
      <c r="R79">
        <f>IF(AND(Table1[[#This Row],[target]]=1,OR(Table1[[#This Row],[cp]]=0,Table1[[#This Row],[cp]]=1,Table1[[#This Row],[cp]]=2,Table1[[#This Row],[cp]])),1,0)</f>
        <v>0</v>
      </c>
      <c r="S79">
        <f>IF(AND(Table1[[#This Row],[Chest Pain + Target]]=1,Table1[[#This Row],[trestbps]]&gt;=130),1,0)</f>
        <v>0</v>
      </c>
      <c r="T79">
        <f>IF(AND(Table1[[#This Row],[Add BP]]=1,Table1[[#This Row],[chol]]&gt;=200),1,0)</f>
        <v>0</v>
      </c>
      <c r="U79">
        <f>IF(AND(Table1[[#This Row],[Add Cholestrol]]=1,Table1[[#This Row],[slope]]&gt;=2),1,0)</f>
        <v>0</v>
      </c>
      <c r="V79">
        <f>COUNTIFS(Table1[target],1)</f>
        <v>165</v>
      </c>
    </row>
    <row r="80" spans="1:22" x14ac:dyDescent="0.25">
      <c r="A80">
        <v>63</v>
      </c>
      <c r="B80">
        <v>0</v>
      </c>
      <c r="C80">
        <v>0</v>
      </c>
      <c r="D80">
        <v>124</v>
      </c>
      <c r="E80">
        <v>197</v>
      </c>
      <c r="F80">
        <v>0</v>
      </c>
      <c r="G80">
        <v>1</v>
      </c>
      <c r="H80">
        <v>136</v>
      </c>
      <c r="I80">
        <v>1</v>
      </c>
      <c r="J80">
        <v>0</v>
      </c>
      <c r="K80">
        <v>1</v>
      </c>
      <c r="L80">
        <v>0</v>
      </c>
      <c r="M80">
        <v>2</v>
      </c>
      <c r="N80">
        <v>0</v>
      </c>
      <c r="O80" t="str">
        <f>IF(Table1[[#This Row],[sex]]=1,"Male","Female")</f>
        <v>Female</v>
      </c>
      <c r="P80" t="str">
        <f>IF(Table1[[#This Row],[cp]]=0,"Typical Angina",IF(Table1[[#This Row],[cp]]=1,"Atypical Angina",IF(Table1[[#This Row],[cp]]=2,"Non-Anginal Pain","Asymptomatic")))</f>
        <v>Typical Angina</v>
      </c>
      <c r="Q80">
        <f>IF(Table1[[#This Row],[trestbps]]&gt;=130, 1, 0)</f>
        <v>0</v>
      </c>
      <c r="R80">
        <f>IF(AND(Table1[[#This Row],[target]]=1,OR(Table1[[#This Row],[cp]]=0,Table1[[#This Row],[cp]]=1,Table1[[#This Row],[cp]]=2,Table1[[#This Row],[cp]])),1,0)</f>
        <v>0</v>
      </c>
      <c r="S80">
        <f>IF(AND(Table1[[#This Row],[Chest Pain + Target]]=1,Table1[[#This Row],[trestbps]]&gt;=130),1,0)</f>
        <v>0</v>
      </c>
      <c r="T80">
        <f>IF(AND(Table1[[#This Row],[Add BP]]=1,Table1[[#This Row],[chol]]&gt;=200),1,0)</f>
        <v>0</v>
      </c>
      <c r="U80">
        <f>IF(AND(Table1[[#This Row],[Add Cholestrol]]=1,Table1[[#This Row],[slope]]&gt;=2),1,0)</f>
        <v>0</v>
      </c>
      <c r="V80">
        <f>COUNTIFS(Table1[target],1)</f>
        <v>165</v>
      </c>
    </row>
    <row r="81" spans="1:22" x14ac:dyDescent="0.25">
      <c r="A81">
        <v>61</v>
      </c>
      <c r="B81">
        <v>1</v>
      </c>
      <c r="C81">
        <v>2</v>
      </c>
      <c r="D81">
        <v>150</v>
      </c>
      <c r="E81">
        <v>243</v>
      </c>
      <c r="F81">
        <v>1</v>
      </c>
      <c r="G81">
        <v>1</v>
      </c>
      <c r="H81">
        <v>137</v>
      </c>
      <c r="I81">
        <v>1</v>
      </c>
      <c r="J81">
        <v>1</v>
      </c>
      <c r="K81">
        <v>1</v>
      </c>
      <c r="L81">
        <v>0</v>
      </c>
      <c r="M81">
        <v>2</v>
      </c>
      <c r="N81">
        <v>1</v>
      </c>
      <c r="O81" t="str">
        <f>IF(Table1[[#This Row],[sex]]=1,"Male","Female")</f>
        <v>Male</v>
      </c>
      <c r="P81" t="str">
        <f>IF(Table1[[#This Row],[cp]]=0,"Typical Angina",IF(Table1[[#This Row],[cp]]=1,"Atypical Angina",IF(Table1[[#This Row],[cp]]=2,"Non-Anginal Pain","Asymptomatic")))</f>
        <v>Non-Anginal Pain</v>
      </c>
      <c r="Q81">
        <f>IF(Table1[[#This Row],[trestbps]]&gt;=130, 1, 0)</f>
        <v>1</v>
      </c>
      <c r="R81">
        <f>IF(AND(Table1[[#This Row],[target]]=1,OR(Table1[[#This Row],[cp]]=0,Table1[[#This Row],[cp]]=1,Table1[[#This Row],[cp]]=2,Table1[[#This Row],[cp]])),1,0)</f>
        <v>1</v>
      </c>
      <c r="S81">
        <f>IF(AND(Table1[[#This Row],[Chest Pain + Target]]=1,Table1[[#This Row],[trestbps]]&gt;=130),1,0)</f>
        <v>1</v>
      </c>
      <c r="T81">
        <f>IF(AND(Table1[[#This Row],[Add BP]]=1,Table1[[#This Row],[chol]]&gt;=200),1,0)</f>
        <v>1</v>
      </c>
      <c r="U81">
        <f>IF(AND(Table1[[#This Row],[Add Cholestrol]]=1,Table1[[#This Row],[slope]]&gt;=2),1,0)</f>
        <v>0</v>
      </c>
      <c r="V81">
        <f>COUNTIFS(Table1[target],1)</f>
        <v>165</v>
      </c>
    </row>
    <row r="82" spans="1:22" x14ac:dyDescent="0.25">
      <c r="A82">
        <v>45</v>
      </c>
      <c r="B82">
        <v>0</v>
      </c>
      <c r="C82">
        <v>1</v>
      </c>
      <c r="D82">
        <v>112</v>
      </c>
      <c r="E82">
        <v>160</v>
      </c>
      <c r="F82">
        <v>0</v>
      </c>
      <c r="G82">
        <v>1</v>
      </c>
      <c r="H82">
        <v>138</v>
      </c>
      <c r="I82">
        <v>0</v>
      </c>
      <c r="J82">
        <v>0</v>
      </c>
      <c r="K82">
        <v>1</v>
      </c>
      <c r="L82">
        <v>0</v>
      </c>
      <c r="M82">
        <v>2</v>
      </c>
      <c r="N82">
        <v>1</v>
      </c>
      <c r="O82" t="str">
        <f>IF(Table1[[#This Row],[sex]]=1,"Male","Female")</f>
        <v>Female</v>
      </c>
      <c r="P82" t="str">
        <f>IF(Table1[[#This Row],[cp]]=0,"Typical Angina",IF(Table1[[#This Row],[cp]]=1,"Atypical Angina",IF(Table1[[#This Row],[cp]]=2,"Non-Anginal Pain","Asymptomatic")))</f>
        <v>Atypical Angina</v>
      </c>
      <c r="Q82">
        <f>IF(Table1[[#This Row],[trestbps]]&gt;=130, 1, 0)</f>
        <v>0</v>
      </c>
      <c r="R82">
        <f>IF(AND(Table1[[#This Row],[target]]=1,OR(Table1[[#This Row],[cp]]=0,Table1[[#This Row],[cp]]=1,Table1[[#This Row],[cp]]=2,Table1[[#This Row],[cp]])),1,0)</f>
        <v>1</v>
      </c>
      <c r="S82">
        <f>IF(AND(Table1[[#This Row],[Chest Pain + Target]]=1,Table1[[#This Row],[trestbps]]&gt;=130),1,0)</f>
        <v>0</v>
      </c>
      <c r="T82">
        <f>IF(AND(Table1[[#This Row],[Add BP]]=1,Table1[[#This Row],[chol]]&gt;=200),1,0)</f>
        <v>0</v>
      </c>
      <c r="U82">
        <f>IF(AND(Table1[[#This Row],[Add Cholestrol]]=1,Table1[[#This Row],[slope]]&gt;=2),1,0)</f>
        <v>0</v>
      </c>
      <c r="V82">
        <f>COUNTIFS(Table1[target],1)</f>
        <v>165</v>
      </c>
    </row>
    <row r="83" spans="1:22" x14ac:dyDescent="0.25">
      <c r="A83">
        <v>66</v>
      </c>
      <c r="B83">
        <v>1</v>
      </c>
      <c r="C83">
        <v>0</v>
      </c>
      <c r="D83">
        <v>160</v>
      </c>
      <c r="E83">
        <v>228</v>
      </c>
      <c r="F83">
        <v>0</v>
      </c>
      <c r="G83">
        <v>0</v>
      </c>
      <c r="H83">
        <v>138</v>
      </c>
      <c r="I83">
        <v>0</v>
      </c>
      <c r="J83">
        <v>2.2999999999999998</v>
      </c>
      <c r="K83">
        <v>2</v>
      </c>
      <c r="L83">
        <v>0</v>
      </c>
      <c r="M83">
        <v>1</v>
      </c>
      <c r="N83">
        <v>1</v>
      </c>
      <c r="O83" t="str">
        <f>IF(Table1[[#This Row],[sex]]=1,"Male","Female")</f>
        <v>Male</v>
      </c>
      <c r="P83" t="str">
        <f>IF(Table1[[#This Row],[cp]]=0,"Typical Angina",IF(Table1[[#This Row],[cp]]=1,"Atypical Angina",IF(Table1[[#This Row],[cp]]=2,"Non-Anginal Pain","Asymptomatic")))</f>
        <v>Typical Angina</v>
      </c>
      <c r="Q83">
        <f>IF(Table1[[#This Row],[trestbps]]&gt;=130, 1, 0)</f>
        <v>1</v>
      </c>
      <c r="R83">
        <f>IF(AND(Table1[[#This Row],[target]]=1,OR(Table1[[#This Row],[cp]]=0,Table1[[#This Row],[cp]]=1,Table1[[#This Row],[cp]]=2,Table1[[#This Row],[cp]])),1,0)</f>
        <v>1</v>
      </c>
      <c r="S83">
        <f>IF(AND(Table1[[#This Row],[Chest Pain + Target]]=1,Table1[[#This Row],[trestbps]]&gt;=130),1,0)</f>
        <v>1</v>
      </c>
      <c r="T83">
        <f>IF(AND(Table1[[#This Row],[Add BP]]=1,Table1[[#This Row],[chol]]&gt;=200),1,0)</f>
        <v>1</v>
      </c>
      <c r="U83">
        <f>IF(AND(Table1[[#This Row],[Add Cholestrol]]=1,Table1[[#This Row],[slope]]&gt;=2),1,0)</f>
        <v>1</v>
      </c>
      <c r="V83">
        <f>COUNTIFS(Table1[target],1)</f>
        <v>165</v>
      </c>
    </row>
    <row r="84" spans="1:22" x14ac:dyDescent="0.25">
      <c r="A84">
        <v>61</v>
      </c>
      <c r="B84">
        <v>1</v>
      </c>
      <c r="C84">
        <v>0</v>
      </c>
      <c r="D84">
        <v>140</v>
      </c>
      <c r="E84">
        <v>207</v>
      </c>
      <c r="F84">
        <v>0</v>
      </c>
      <c r="G84">
        <v>0</v>
      </c>
      <c r="H84">
        <v>138</v>
      </c>
      <c r="I84">
        <v>1</v>
      </c>
      <c r="J84">
        <v>1.9</v>
      </c>
      <c r="K84">
        <v>2</v>
      </c>
      <c r="L84">
        <v>1</v>
      </c>
      <c r="M84">
        <v>3</v>
      </c>
      <c r="N84">
        <v>0</v>
      </c>
      <c r="O84" t="str">
        <f>IF(Table1[[#This Row],[sex]]=1,"Male","Female")</f>
        <v>Male</v>
      </c>
      <c r="P84" t="str">
        <f>IF(Table1[[#This Row],[cp]]=0,"Typical Angina",IF(Table1[[#This Row],[cp]]=1,"Atypical Angina",IF(Table1[[#This Row],[cp]]=2,"Non-Anginal Pain","Asymptomatic")))</f>
        <v>Typical Angina</v>
      </c>
      <c r="Q84">
        <f>IF(Table1[[#This Row],[trestbps]]&gt;=130, 1, 0)</f>
        <v>1</v>
      </c>
      <c r="R84">
        <f>IF(AND(Table1[[#This Row],[target]]=1,OR(Table1[[#This Row],[cp]]=0,Table1[[#This Row],[cp]]=1,Table1[[#This Row],[cp]]=2,Table1[[#This Row],[cp]])),1,0)</f>
        <v>0</v>
      </c>
      <c r="S84">
        <f>IF(AND(Table1[[#This Row],[Chest Pain + Target]]=1,Table1[[#This Row],[trestbps]]&gt;=130),1,0)</f>
        <v>0</v>
      </c>
      <c r="T84">
        <f>IF(AND(Table1[[#This Row],[Add BP]]=1,Table1[[#This Row],[chol]]&gt;=200),1,0)</f>
        <v>0</v>
      </c>
      <c r="U84">
        <f>IF(AND(Table1[[#This Row],[Add Cholestrol]]=1,Table1[[#This Row],[slope]]&gt;=2),1,0)</f>
        <v>0</v>
      </c>
      <c r="V84">
        <f>COUNTIFS(Table1[target],1)</f>
        <v>165</v>
      </c>
    </row>
    <row r="85" spans="1:22" x14ac:dyDescent="0.25">
      <c r="A85">
        <v>48</v>
      </c>
      <c r="B85">
        <v>0</v>
      </c>
      <c r="C85">
        <v>2</v>
      </c>
      <c r="D85">
        <v>130</v>
      </c>
      <c r="E85">
        <v>275</v>
      </c>
      <c r="F85">
        <v>0</v>
      </c>
      <c r="G85">
        <v>1</v>
      </c>
      <c r="H85">
        <v>139</v>
      </c>
      <c r="I85">
        <v>0</v>
      </c>
      <c r="J85">
        <v>0.2</v>
      </c>
      <c r="K85">
        <v>2</v>
      </c>
      <c r="L85">
        <v>0</v>
      </c>
      <c r="M85">
        <v>2</v>
      </c>
      <c r="N85">
        <v>1</v>
      </c>
      <c r="O85" t="str">
        <f>IF(Table1[[#This Row],[sex]]=1,"Male","Female")</f>
        <v>Female</v>
      </c>
      <c r="P85" t="str">
        <f>IF(Table1[[#This Row],[cp]]=0,"Typical Angina",IF(Table1[[#This Row],[cp]]=1,"Atypical Angina",IF(Table1[[#This Row],[cp]]=2,"Non-Anginal Pain","Asymptomatic")))</f>
        <v>Non-Anginal Pain</v>
      </c>
      <c r="Q85">
        <f>IF(Table1[[#This Row],[trestbps]]&gt;=130, 1, 0)</f>
        <v>1</v>
      </c>
      <c r="R85">
        <f>IF(AND(Table1[[#This Row],[target]]=1,OR(Table1[[#This Row],[cp]]=0,Table1[[#This Row],[cp]]=1,Table1[[#This Row],[cp]]=2,Table1[[#This Row],[cp]])),1,0)</f>
        <v>1</v>
      </c>
      <c r="S85">
        <f>IF(AND(Table1[[#This Row],[Chest Pain + Target]]=1,Table1[[#This Row],[trestbps]]&gt;=130),1,0)</f>
        <v>1</v>
      </c>
      <c r="T85">
        <f>IF(AND(Table1[[#This Row],[Add BP]]=1,Table1[[#This Row],[chol]]&gt;=200),1,0)</f>
        <v>1</v>
      </c>
      <c r="U85">
        <f>IF(AND(Table1[[#This Row],[Add Cholestrol]]=1,Table1[[#This Row],[slope]]&gt;=2),1,0)</f>
        <v>1</v>
      </c>
      <c r="V85">
        <f>COUNTIFS(Table1[target],1)</f>
        <v>165</v>
      </c>
    </row>
    <row r="86" spans="1:22" x14ac:dyDescent="0.25">
      <c r="A86">
        <v>49</v>
      </c>
      <c r="B86">
        <v>1</v>
      </c>
      <c r="C86">
        <v>2</v>
      </c>
      <c r="D86">
        <v>120</v>
      </c>
      <c r="E86">
        <v>188</v>
      </c>
      <c r="F86">
        <v>0</v>
      </c>
      <c r="G86">
        <v>1</v>
      </c>
      <c r="H86">
        <v>139</v>
      </c>
      <c r="I86">
        <v>0</v>
      </c>
      <c r="J86">
        <v>2</v>
      </c>
      <c r="K86">
        <v>1</v>
      </c>
      <c r="L86">
        <v>3</v>
      </c>
      <c r="M86">
        <v>3</v>
      </c>
      <c r="N86">
        <v>0</v>
      </c>
      <c r="O86" t="str">
        <f>IF(Table1[[#This Row],[sex]]=1,"Male","Female")</f>
        <v>Male</v>
      </c>
      <c r="P86" t="str">
        <f>IF(Table1[[#This Row],[cp]]=0,"Typical Angina",IF(Table1[[#This Row],[cp]]=1,"Atypical Angina",IF(Table1[[#This Row],[cp]]=2,"Non-Anginal Pain","Asymptomatic")))</f>
        <v>Non-Anginal Pain</v>
      </c>
      <c r="Q86">
        <f>IF(Table1[[#This Row],[trestbps]]&gt;=130, 1, 0)</f>
        <v>0</v>
      </c>
      <c r="R86">
        <f>IF(AND(Table1[[#This Row],[target]]=1,OR(Table1[[#This Row],[cp]]=0,Table1[[#This Row],[cp]]=1,Table1[[#This Row],[cp]]=2,Table1[[#This Row],[cp]])),1,0)</f>
        <v>0</v>
      </c>
      <c r="S86">
        <f>IF(AND(Table1[[#This Row],[Chest Pain + Target]]=1,Table1[[#This Row],[trestbps]]&gt;=130),1,0)</f>
        <v>0</v>
      </c>
      <c r="T86">
        <f>IF(AND(Table1[[#This Row],[Add BP]]=1,Table1[[#This Row],[chol]]&gt;=200),1,0)</f>
        <v>0</v>
      </c>
      <c r="U86">
        <f>IF(AND(Table1[[#This Row],[Add Cholestrol]]=1,Table1[[#This Row],[slope]]&gt;=2),1,0)</f>
        <v>0</v>
      </c>
      <c r="V86">
        <f>COUNTIFS(Table1[target],1)</f>
        <v>165</v>
      </c>
    </row>
    <row r="87" spans="1:22" x14ac:dyDescent="0.25">
      <c r="A87">
        <v>65</v>
      </c>
      <c r="B87">
        <v>1</v>
      </c>
      <c r="C87">
        <v>0</v>
      </c>
      <c r="D87">
        <v>120</v>
      </c>
      <c r="E87">
        <v>177</v>
      </c>
      <c r="F87">
        <v>0</v>
      </c>
      <c r="G87">
        <v>1</v>
      </c>
      <c r="H87">
        <v>140</v>
      </c>
      <c r="I87">
        <v>0</v>
      </c>
      <c r="J87">
        <v>0.4</v>
      </c>
      <c r="K87">
        <v>2</v>
      </c>
      <c r="L87">
        <v>0</v>
      </c>
      <c r="M87">
        <v>3</v>
      </c>
      <c r="N87">
        <v>1</v>
      </c>
      <c r="O87" t="str">
        <f>IF(Table1[[#This Row],[sex]]=1,"Male","Female")</f>
        <v>Male</v>
      </c>
      <c r="P87" t="str">
        <f>IF(Table1[[#This Row],[cp]]=0,"Typical Angina",IF(Table1[[#This Row],[cp]]=1,"Atypical Angina",IF(Table1[[#This Row],[cp]]=2,"Non-Anginal Pain","Asymptomatic")))</f>
        <v>Typical Angina</v>
      </c>
      <c r="Q87">
        <f>IF(Table1[[#This Row],[trestbps]]&gt;=130, 1, 0)</f>
        <v>0</v>
      </c>
      <c r="R87">
        <f>IF(AND(Table1[[#This Row],[target]]=1,OR(Table1[[#This Row],[cp]]=0,Table1[[#This Row],[cp]]=1,Table1[[#This Row],[cp]]=2,Table1[[#This Row],[cp]])),1,0)</f>
        <v>1</v>
      </c>
      <c r="S87">
        <f>IF(AND(Table1[[#This Row],[Chest Pain + Target]]=1,Table1[[#This Row],[trestbps]]&gt;=130),1,0)</f>
        <v>0</v>
      </c>
      <c r="T87">
        <f>IF(AND(Table1[[#This Row],[Add BP]]=1,Table1[[#This Row],[chol]]&gt;=200),1,0)</f>
        <v>0</v>
      </c>
      <c r="U87">
        <f>IF(AND(Table1[[#This Row],[Add Cholestrol]]=1,Table1[[#This Row],[slope]]&gt;=2),1,0)</f>
        <v>0</v>
      </c>
      <c r="V87">
        <f>COUNTIFS(Table1[target],1)</f>
        <v>165</v>
      </c>
    </row>
    <row r="88" spans="1:22" x14ac:dyDescent="0.25">
      <c r="A88">
        <v>62</v>
      </c>
      <c r="B88">
        <v>1</v>
      </c>
      <c r="C88">
        <v>1</v>
      </c>
      <c r="D88">
        <v>128</v>
      </c>
      <c r="E88">
        <v>208</v>
      </c>
      <c r="F88">
        <v>1</v>
      </c>
      <c r="G88">
        <v>0</v>
      </c>
      <c r="H88">
        <v>140</v>
      </c>
      <c r="I88">
        <v>0</v>
      </c>
      <c r="J88">
        <v>0</v>
      </c>
      <c r="K88">
        <v>2</v>
      </c>
      <c r="L88">
        <v>0</v>
      </c>
      <c r="M88">
        <v>2</v>
      </c>
      <c r="N88">
        <v>1</v>
      </c>
      <c r="O88" t="str">
        <f>IF(Table1[[#This Row],[sex]]=1,"Male","Female")</f>
        <v>Male</v>
      </c>
      <c r="P88" t="str">
        <f>IF(Table1[[#This Row],[cp]]=0,"Typical Angina",IF(Table1[[#This Row],[cp]]=1,"Atypical Angina",IF(Table1[[#This Row],[cp]]=2,"Non-Anginal Pain","Asymptomatic")))</f>
        <v>Atypical Angina</v>
      </c>
      <c r="Q88">
        <f>IF(Table1[[#This Row],[trestbps]]&gt;=130, 1, 0)</f>
        <v>0</v>
      </c>
      <c r="R88">
        <f>IF(AND(Table1[[#This Row],[target]]=1,OR(Table1[[#This Row],[cp]]=0,Table1[[#This Row],[cp]]=1,Table1[[#This Row],[cp]]=2,Table1[[#This Row],[cp]])),1,0)</f>
        <v>1</v>
      </c>
      <c r="S88">
        <f>IF(AND(Table1[[#This Row],[Chest Pain + Target]]=1,Table1[[#This Row],[trestbps]]&gt;=130),1,0)</f>
        <v>0</v>
      </c>
      <c r="T88">
        <f>IF(AND(Table1[[#This Row],[Add BP]]=1,Table1[[#This Row],[chol]]&gt;=200),1,0)</f>
        <v>0</v>
      </c>
      <c r="U88">
        <f>IF(AND(Table1[[#This Row],[Add Cholestrol]]=1,Table1[[#This Row],[slope]]&gt;=2),1,0)</f>
        <v>0</v>
      </c>
      <c r="V88">
        <f>COUNTIFS(Table1[target],1)</f>
        <v>165</v>
      </c>
    </row>
    <row r="89" spans="1:22" x14ac:dyDescent="0.25">
      <c r="A89">
        <v>59</v>
      </c>
      <c r="B89">
        <v>1</v>
      </c>
      <c r="C89">
        <v>0</v>
      </c>
      <c r="D89">
        <v>170</v>
      </c>
      <c r="E89">
        <v>326</v>
      </c>
      <c r="F89">
        <v>0</v>
      </c>
      <c r="G89">
        <v>0</v>
      </c>
      <c r="H89">
        <v>140</v>
      </c>
      <c r="I89">
        <v>1</v>
      </c>
      <c r="J89">
        <v>3.4</v>
      </c>
      <c r="K89">
        <v>0</v>
      </c>
      <c r="L89">
        <v>0</v>
      </c>
      <c r="M89">
        <v>3</v>
      </c>
      <c r="N89">
        <v>0</v>
      </c>
      <c r="O89" t="str">
        <f>IF(Table1[[#This Row],[sex]]=1,"Male","Female")</f>
        <v>Male</v>
      </c>
      <c r="P89" t="str">
        <f>IF(Table1[[#This Row],[cp]]=0,"Typical Angina",IF(Table1[[#This Row],[cp]]=1,"Atypical Angina",IF(Table1[[#This Row],[cp]]=2,"Non-Anginal Pain","Asymptomatic")))</f>
        <v>Typical Angina</v>
      </c>
      <c r="Q89">
        <f>IF(Table1[[#This Row],[trestbps]]&gt;=130, 1, 0)</f>
        <v>1</v>
      </c>
      <c r="R89">
        <f>IF(AND(Table1[[#This Row],[target]]=1,OR(Table1[[#This Row],[cp]]=0,Table1[[#This Row],[cp]]=1,Table1[[#This Row],[cp]]=2,Table1[[#This Row],[cp]])),1,0)</f>
        <v>0</v>
      </c>
      <c r="S89">
        <f>IF(AND(Table1[[#This Row],[Chest Pain + Target]]=1,Table1[[#This Row],[trestbps]]&gt;=130),1,0)</f>
        <v>0</v>
      </c>
      <c r="T89">
        <f>IF(AND(Table1[[#This Row],[Add BP]]=1,Table1[[#This Row],[chol]]&gt;=200),1,0)</f>
        <v>0</v>
      </c>
      <c r="U89">
        <f>IF(AND(Table1[[#This Row],[Add Cholestrol]]=1,Table1[[#This Row],[slope]]&gt;=2),1,0)</f>
        <v>0</v>
      </c>
      <c r="V89">
        <f>COUNTIFS(Table1[target],1)</f>
        <v>165</v>
      </c>
    </row>
    <row r="90" spans="1:22" x14ac:dyDescent="0.25">
      <c r="A90">
        <v>61</v>
      </c>
      <c r="B90">
        <v>1</v>
      </c>
      <c r="C90">
        <v>0</v>
      </c>
      <c r="D90">
        <v>120</v>
      </c>
      <c r="E90">
        <v>260</v>
      </c>
      <c r="F90">
        <v>0</v>
      </c>
      <c r="G90">
        <v>1</v>
      </c>
      <c r="H90">
        <v>140</v>
      </c>
      <c r="I90">
        <v>1</v>
      </c>
      <c r="J90">
        <v>3.6</v>
      </c>
      <c r="K90">
        <v>1</v>
      </c>
      <c r="L90">
        <v>1</v>
      </c>
      <c r="M90">
        <v>3</v>
      </c>
      <c r="N90">
        <v>0</v>
      </c>
      <c r="O90" t="str">
        <f>IF(Table1[[#This Row],[sex]]=1,"Male","Female")</f>
        <v>Male</v>
      </c>
      <c r="P90" t="str">
        <f>IF(Table1[[#This Row],[cp]]=0,"Typical Angina",IF(Table1[[#This Row],[cp]]=1,"Atypical Angina",IF(Table1[[#This Row],[cp]]=2,"Non-Anginal Pain","Asymptomatic")))</f>
        <v>Typical Angina</v>
      </c>
      <c r="Q90">
        <f>IF(Table1[[#This Row],[trestbps]]&gt;=130, 1, 0)</f>
        <v>0</v>
      </c>
      <c r="R90">
        <f>IF(AND(Table1[[#This Row],[target]]=1,OR(Table1[[#This Row],[cp]]=0,Table1[[#This Row],[cp]]=1,Table1[[#This Row],[cp]]=2,Table1[[#This Row],[cp]])),1,0)</f>
        <v>0</v>
      </c>
      <c r="S90">
        <f>IF(AND(Table1[[#This Row],[Chest Pain + Target]]=1,Table1[[#This Row],[trestbps]]&gt;=130),1,0)</f>
        <v>0</v>
      </c>
      <c r="T90">
        <f>IF(AND(Table1[[#This Row],[Add BP]]=1,Table1[[#This Row],[chol]]&gt;=200),1,0)</f>
        <v>0</v>
      </c>
      <c r="U90">
        <f>IF(AND(Table1[[#This Row],[Add Cholestrol]]=1,Table1[[#This Row],[slope]]&gt;=2),1,0)</f>
        <v>0</v>
      </c>
      <c r="V90">
        <f>COUNTIFS(Table1[target],1)</f>
        <v>165</v>
      </c>
    </row>
    <row r="91" spans="1:22" x14ac:dyDescent="0.25">
      <c r="A91">
        <v>39</v>
      </c>
      <c r="B91">
        <v>1</v>
      </c>
      <c r="C91">
        <v>0</v>
      </c>
      <c r="D91">
        <v>118</v>
      </c>
      <c r="E91">
        <v>219</v>
      </c>
      <c r="F91">
        <v>0</v>
      </c>
      <c r="G91">
        <v>1</v>
      </c>
      <c r="H91">
        <v>140</v>
      </c>
      <c r="I91">
        <v>0</v>
      </c>
      <c r="J91">
        <v>1.2</v>
      </c>
      <c r="K91">
        <v>1</v>
      </c>
      <c r="L91">
        <v>0</v>
      </c>
      <c r="M91">
        <v>3</v>
      </c>
      <c r="N91">
        <v>0</v>
      </c>
      <c r="O91" t="str">
        <f>IF(Table1[[#This Row],[sex]]=1,"Male","Female")</f>
        <v>Male</v>
      </c>
      <c r="P91" t="str">
        <f>IF(Table1[[#This Row],[cp]]=0,"Typical Angina",IF(Table1[[#This Row],[cp]]=1,"Atypical Angina",IF(Table1[[#This Row],[cp]]=2,"Non-Anginal Pain","Asymptomatic")))</f>
        <v>Typical Angina</v>
      </c>
      <c r="Q91">
        <f>IF(Table1[[#This Row],[trestbps]]&gt;=130, 1, 0)</f>
        <v>0</v>
      </c>
      <c r="R91">
        <f>IF(AND(Table1[[#This Row],[target]]=1,OR(Table1[[#This Row],[cp]]=0,Table1[[#This Row],[cp]]=1,Table1[[#This Row],[cp]]=2,Table1[[#This Row],[cp]])),1,0)</f>
        <v>0</v>
      </c>
      <c r="S91">
        <f>IF(AND(Table1[[#This Row],[Chest Pain + Target]]=1,Table1[[#This Row],[trestbps]]&gt;=130),1,0)</f>
        <v>0</v>
      </c>
      <c r="T91">
        <f>IF(AND(Table1[[#This Row],[Add BP]]=1,Table1[[#This Row],[chol]]&gt;=200),1,0)</f>
        <v>0</v>
      </c>
      <c r="U91">
        <f>IF(AND(Table1[[#This Row],[Add Cholestrol]]=1,Table1[[#This Row],[slope]]&gt;=2),1,0)</f>
        <v>0</v>
      </c>
      <c r="V91">
        <f>COUNTIFS(Table1[target],1)</f>
        <v>165</v>
      </c>
    </row>
    <row r="92" spans="1:22" x14ac:dyDescent="0.25">
      <c r="A92">
        <v>58</v>
      </c>
      <c r="B92">
        <v>1</v>
      </c>
      <c r="C92">
        <v>0</v>
      </c>
      <c r="D92">
        <v>114</v>
      </c>
      <c r="E92">
        <v>318</v>
      </c>
      <c r="F92">
        <v>0</v>
      </c>
      <c r="G92">
        <v>2</v>
      </c>
      <c r="H92">
        <v>140</v>
      </c>
      <c r="I92">
        <v>0</v>
      </c>
      <c r="J92">
        <v>4.4000000000000004</v>
      </c>
      <c r="K92">
        <v>0</v>
      </c>
      <c r="L92">
        <v>3</v>
      </c>
      <c r="M92">
        <v>1</v>
      </c>
      <c r="N92">
        <v>0</v>
      </c>
      <c r="O92" t="str">
        <f>IF(Table1[[#This Row],[sex]]=1,"Male","Female")</f>
        <v>Male</v>
      </c>
      <c r="P92" t="str">
        <f>IF(Table1[[#This Row],[cp]]=0,"Typical Angina",IF(Table1[[#This Row],[cp]]=1,"Atypical Angina",IF(Table1[[#This Row],[cp]]=2,"Non-Anginal Pain","Asymptomatic")))</f>
        <v>Typical Angina</v>
      </c>
      <c r="Q92">
        <f>IF(Table1[[#This Row],[trestbps]]&gt;=130, 1, 0)</f>
        <v>0</v>
      </c>
      <c r="R92">
        <f>IF(AND(Table1[[#This Row],[target]]=1,OR(Table1[[#This Row],[cp]]=0,Table1[[#This Row],[cp]]=1,Table1[[#This Row],[cp]]=2,Table1[[#This Row],[cp]])),1,0)</f>
        <v>0</v>
      </c>
      <c r="S92">
        <f>IF(AND(Table1[[#This Row],[Chest Pain + Target]]=1,Table1[[#This Row],[trestbps]]&gt;=130),1,0)</f>
        <v>0</v>
      </c>
      <c r="T92">
        <f>IF(AND(Table1[[#This Row],[Add BP]]=1,Table1[[#This Row],[chol]]&gt;=200),1,0)</f>
        <v>0</v>
      </c>
      <c r="U92">
        <f>IF(AND(Table1[[#This Row],[Add Cholestrol]]=1,Table1[[#This Row],[slope]]&gt;=2),1,0)</f>
        <v>0</v>
      </c>
      <c r="V92">
        <f>COUNTIFS(Table1[target],1)</f>
        <v>165</v>
      </c>
    </row>
    <row r="93" spans="1:22" x14ac:dyDescent="0.25">
      <c r="A93">
        <v>60</v>
      </c>
      <c r="B93">
        <v>1</v>
      </c>
      <c r="C93">
        <v>0</v>
      </c>
      <c r="D93">
        <v>125</v>
      </c>
      <c r="E93">
        <v>258</v>
      </c>
      <c r="F93">
        <v>0</v>
      </c>
      <c r="G93">
        <v>0</v>
      </c>
      <c r="H93">
        <v>141</v>
      </c>
      <c r="I93">
        <v>1</v>
      </c>
      <c r="J93">
        <v>2.8</v>
      </c>
      <c r="K93">
        <v>1</v>
      </c>
      <c r="L93">
        <v>1</v>
      </c>
      <c r="M93">
        <v>3</v>
      </c>
      <c r="N93">
        <v>0</v>
      </c>
      <c r="O93" t="str">
        <f>IF(Table1[[#This Row],[sex]]=1,"Male","Female")</f>
        <v>Male</v>
      </c>
      <c r="P93" t="str">
        <f>IF(Table1[[#This Row],[cp]]=0,"Typical Angina",IF(Table1[[#This Row],[cp]]=1,"Atypical Angina",IF(Table1[[#This Row],[cp]]=2,"Non-Anginal Pain","Asymptomatic")))</f>
        <v>Typical Angina</v>
      </c>
      <c r="Q93">
        <f>IF(Table1[[#This Row],[trestbps]]&gt;=130, 1, 0)</f>
        <v>0</v>
      </c>
      <c r="R93">
        <f>IF(AND(Table1[[#This Row],[target]]=1,OR(Table1[[#This Row],[cp]]=0,Table1[[#This Row],[cp]]=1,Table1[[#This Row],[cp]]=2,Table1[[#This Row],[cp]])),1,0)</f>
        <v>0</v>
      </c>
      <c r="S93">
        <f>IF(AND(Table1[[#This Row],[Chest Pain + Target]]=1,Table1[[#This Row],[trestbps]]&gt;=130),1,0)</f>
        <v>0</v>
      </c>
      <c r="T93">
        <f>IF(AND(Table1[[#This Row],[Add BP]]=1,Table1[[#This Row],[chol]]&gt;=200),1,0)</f>
        <v>0</v>
      </c>
      <c r="U93">
        <f>IF(AND(Table1[[#This Row],[Add Cholestrol]]=1,Table1[[#This Row],[slope]]&gt;=2),1,0)</f>
        <v>0</v>
      </c>
      <c r="V93">
        <f>COUNTIFS(Table1[target],1)</f>
        <v>165</v>
      </c>
    </row>
    <row r="94" spans="1:22" x14ac:dyDescent="0.25">
      <c r="A94">
        <v>57</v>
      </c>
      <c r="B94">
        <v>1</v>
      </c>
      <c r="C94">
        <v>1</v>
      </c>
      <c r="D94">
        <v>124</v>
      </c>
      <c r="E94">
        <v>261</v>
      </c>
      <c r="F94">
        <v>0</v>
      </c>
      <c r="G94">
        <v>1</v>
      </c>
      <c r="H94">
        <v>141</v>
      </c>
      <c r="I94">
        <v>0</v>
      </c>
      <c r="J94">
        <v>0.3</v>
      </c>
      <c r="K94">
        <v>2</v>
      </c>
      <c r="L94">
        <v>0</v>
      </c>
      <c r="M94">
        <v>3</v>
      </c>
      <c r="N94">
        <v>0</v>
      </c>
      <c r="O94" t="str">
        <f>IF(Table1[[#This Row],[sex]]=1,"Male","Female")</f>
        <v>Male</v>
      </c>
      <c r="P94" t="str">
        <f>IF(Table1[[#This Row],[cp]]=0,"Typical Angina",IF(Table1[[#This Row],[cp]]=1,"Atypical Angina",IF(Table1[[#This Row],[cp]]=2,"Non-Anginal Pain","Asymptomatic")))</f>
        <v>Atypical Angina</v>
      </c>
      <c r="Q94">
        <f>IF(Table1[[#This Row],[trestbps]]&gt;=130, 1, 0)</f>
        <v>0</v>
      </c>
      <c r="R94">
        <f>IF(AND(Table1[[#This Row],[target]]=1,OR(Table1[[#This Row],[cp]]=0,Table1[[#This Row],[cp]]=1,Table1[[#This Row],[cp]]=2,Table1[[#This Row],[cp]])),1,0)</f>
        <v>0</v>
      </c>
      <c r="S94">
        <f>IF(AND(Table1[[#This Row],[Chest Pain + Target]]=1,Table1[[#This Row],[trestbps]]&gt;=130),1,0)</f>
        <v>0</v>
      </c>
      <c r="T94">
        <f>IF(AND(Table1[[#This Row],[Add BP]]=1,Table1[[#This Row],[chol]]&gt;=200),1,0)</f>
        <v>0</v>
      </c>
      <c r="U94">
        <f>IF(AND(Table1[[#This Row],[Add Cholestrol]]=1,Table1[[#This Row],[slope]]&gt;=2),1,0)</f>
        <v>0</v>
      </c>
      <c r="V94">
        <f>COUNTIFS(Table1[target],1)</f>
        <v>165</v>
      </c>
    </row>
    <row r="95" spans="1:22" x14ac:dyDescent="0.25">
      <c r="A95">
        <v>68</v>
      </c>
      <c r="B95">
        <v>1</v>
      </c>
      <c r="C95">
        <v>0</v>
      </c>
      <c r="D95">
        <v>144</v>
      </c>
      <c r="E95">
        <v>193</v>
      </c>
      <c r="F95">
        <v>1</v>
      </c>
      <c r="G95">
        <v>1</v>
      </c>
      <c r="H95">
        <v>141</v>
      </c>
      <c r="I95">
        <v>0</v>
      </c>
      <c r="J95">
        <v>3.4</v>
      </c>
      <c r="K95">
        <v>1</v>
      </c>
      <c r="L95">
        <v>2</v>
      </c>
      <c r="M95">
        <v>3</v>
      </c>
      <c r="N95">
        <v>0</v>
      </c>
      <c r="O95" t="str">
        <f>IF(Table1[[#This Row],[sex]]=1,"Male","Female")</f>
        <v>Male</v>
      </c>
      <c r="P95" t="str">
        <f>IF(Table1[[#This Row],[cp]]=0,"Typical Angina",IF(Table1[[#This Row],[cp]]=1,"Atypical Angina",IF(Table1[[#This Row],[cp]]=2,"Non-Anginal Pain","Asymptomatic")))</f>
        <v>Typical Angina</v>
      </c>
      <c r="Q95">
        <f>IF(Table1[[#This Row],[trestbps]]&gt;=130, 1, 0)</f>
        <v>1</v>
      </c>
      <c r="R95">
        <f>IF(AND(Table1[[#This Row],[target]]=1,OR(Table1[[#This Row],[cp]]=0,Table1[[#This Row],[cp]]=1,Table1[[#This Row],[cp]]=2,Table1[[#This Row],[cp]])),1,0)</f>
        <v>0</v>
      </c>
      <c r="S95">
        <f>IF(AND(Table1[[#This Row],[Chest Pain + Target]]=1,Table1[[#This Row],[trestbps]]&gt;=130),1,0)</f>
        <v>0</v>
      </c>
      <c r="T95">
        <f>IF(AND(Table1[[#This Row],[Add BP]]=1,Table1[[#This Row],[chol]]&gt;=200),1,0)</f>
        <v>0</v>
      </c>
      <c r="U95">
        <f>IF(AND(Table1[[#This Row],[Add Cholestrol]]=1,Table1[[#This Row],[slope]]&gt;=2),1,0)</f>
        <v>0</v>
      </c>
      <c r="V95">
        <f>COUNTIFS(Table1[target],1)</f>
        <v>165</v>
      </c>
    </row>
    <row r="96" spans="1:22" x14ac:dyDescent="0.25">
      <c r="A96">
        <v>51</v>
      </c>
      <c r="B96">
        <v>0</v>
      </c>
      <c r="C96">
        <v>2</v>
      </c>
      <c r="D96">
        <v>140</v>
      </c>
      <c r="E96">
        <v>308</v>
      </c>
      <c r="F96">
        <v>0</v>
      </c>
      <c r="G96">
        <v>0</v>
      </c>
      <c r="H96">
        <v>142</v>
      </c>
      <c r="I96">
        <v>0</v>
      </c>
      <c r="J96">
        <v>1.5</v>
      </c>
      <c r="K96">
        <v>2</v>
      </c>
      <c r="L96">
        <v>1</v>
      </c>
      <c r="M96">
        <v>2</v>
      </c>
      <c r="N96">
        <v>1</v>
      </c>
      <c r="O96" t="str">
        <f>IF(Table1[[#This Row],[sex]]=1,"Male","Female")</f>
        <v>Female</v>
      </c>
      <c r="P96" t="str">
        <f>IF(Table1[[#This Row],[cp]]=0,"Typical Angina",IF(Table1[[#This Row],[cp]]=1,"Atypical Angina",IF(Table1[[#This Row],[cp]]=2,"Non-Anginal Pain","Asymptomatic")))</f>
        <v>Non-Anginal Pain</v>
      </c>
      <c r="Q96">
        <f>IF(Table1[[#This Row],[trestbps]]&gt;=130, 1, 0)</f>
        <v>1</v>
      </c>
      <c r="R96">
        <f>IF(AND(Table1[[#This Row],[target]]=1,OR(Table1[[#This Row],[cp]]=0,Table1[[#This Row],[cp]]=1,Table1[[#This Row],[cp]]=2,Table1[[#This Row],[cp]])),1,0)</f>
        <v>1</v>
      </c>
      <c r="S96">
        <f>IF(AND(Table1[[#This Row],[Chest Pain + Target]]=1,Table1[[#This Row],[trestbps]]&gt;=130),1,0)</f>
        <v>1</v>
      </c>
      <c r="T96">
        <f>IF(AND(Table1[[#This Row],[Add BP]]=1,Table1[[#This Row],[chol]]&gt;=200),1,0)</f>
        <v>1</v>
      </c>
      <c r="U96">
        <f>IF(AND(Table1[[#This Row],[Add Cholestrol]]=1,Table1[[#This Row],[slope]]&gt;=2),1,0)</f>
        <v>1</v>
      </c>
      <c r="V96">
        <f>COUNTIFS(Table1[target],1)</f>
        <v>165</v>
      </c>
    </row>
    <row r="97" spans="1:22" x14ac:dyDescent="0.25">
      <c r="A97">
        <v>67</v>
      </c>
      <c r="B97">
        <v>0</v>
      </c>
      <c r="C97">
        <v>0</v>
      </c>
      <c r="D97">
        <v>106</v>
      </c>
      <c r="E97">
        <v>223</v>
      </c>
      <c r="F97">
        <v>0</v>
      </c>
      <c r="G97">
        <v>1</v>
      </c>
      <c r="H97">
        <v>142</v>
      </c>
      <c r="I97">
        <v>0</v>
      </c>
      <c r="J97">
        <v>0.3</v>
      </c>
      <c r="K97">
        <v>2</v>
      </c>
      <c r="L97">
        <v>2</v>
      </c>
      <c r="M97">
        <v>2</v>
      </c>
      <c r="N97">
        <v>1</v>
      </c>
      <c r="O97" t="str">
        <f>IF(Table1[[#This Row],[sex]]=1,"Male","Female")</f>
        <v>Female</v>
      </c>
      <c r="P97" t="str">
        <f>IF(Table1[[#This Row],[cp]]=0,"Typical Angina",IF(Table1[[#This Row],[cp]]=1,"Atypical Angina",IF(Table1[[#This Row],[cp]]=2,"Non-Anginal Pain","Asymptomatic")))</f>
        <v>Typical Angina</v>
      </c>
      <c r="Q97">
        <f>IF(Table1[[#This Row],[trestbps]]&gt;=130, 1, 0)</f>
        <v>0</v>
      </c>
      <c r="R97">
        <f>IF(AND(Table1[[#This Row],[target]]=1,OR(Table1[[#This Row],[cp]]=0,Table1[[#This Row],[cp]]=1,Table1[[#This Row],[cp]]=2,Table1[[#This Row],[cp]])),1,0)</f>
        <v>1</v>
      </c>
      <c r="S97">
        <f>IF(AND(Table1[[#This Row],[Chest Pain + Target]]=1,Table1[[#This Row],[trestbps]]&gt;=130),1,0)</f>
        <v>0</v>
      </c>
      <c r="T97">
        <f>IF(AND(Table1[[#This Row],[Add BP]]=1,Table1[[#This Row],[chol]]&gt;=200),1,0)</f>
        <v>0</v>
      </c>
      <c r="U97">
        <f>IF(AND(Table1[[#This Row],[Add Cholestrol]]=1,Table1[[#This Row],[slope]]&gt;=2),1,0)</f>
        <v>0</v>
      </c>
      <c r="V97">
        <f>COUNTIFS(Table1[target],1)</f>
        <v>165</v>
      </c>
    </row>
    <row r="98" spans="1:22" x14ac:dyDescent="0.25">
      <c r="A98">
        <v>56</v>
      </c>
      <c r="B98">
        <v>1</v>
      </c>
      <c r="C98">
        <v>2</v>
      </c>
      <c r="D98">
        <v>130</v>
      </c>
      <c r="E98">
        <v>256</v>
      </c>
      <c r="F98">
        <v>1</v>
      </c>
      <c r="G98">
        <v>0</v>
      </c>
      <c r="H98">
        <v>142</v>
      </c>
      <c r="I98">
        <v>1</v>
      </c>
      <c r="J98">
        <v>0.6</v>
      </c>
      <c r="K98">
        <v>1</v>
      </c>
      <c r="L98">
        <v>1</v>
      </c>
      <c r="M98">
        <v>1</v>
      </c>
      <c r="N98">
        <v>0</v>
      </c>
      <c r="O98" t="str">
        <f>IF(Table1[[#This Row],[sex]]=1,"Male","Female")</f>
        <v>Male</v>
      </c>
      <c r="P98" t="str">
        <f>IF(Table1[[#This Row],[cp]]=0,"Typical Angina",IF(Table1[[#This Row],[cp]]=1,"Atypical Angina",IF(Table1[[#This Row],[cp]]=2,"Non-Anginal Pain","Asymptomatic")))</f>
        <v>Non-Anginal Pain</v>
      </c>
      <c r="Q98">
        <f>IF(Table1[[#This Row],[trestbps]]&gt;=130, 1, 0)</f>
        <v>1</v>
      </c>
      <c r="R98">
        <f>IF(AND(Table1[[#This Row],[target]]=1,OR(Table1[[#This Row],[cp]]=0,Table1[[#This Row],[cp]]=1,Table1[[#This Row],[cp]]=2,Table1[[#This Row],[cp]])),1,0)</f>
        <v>0</v>
      </c>
      <c r="S98">
        <f>IF(AND(Table1[[#This Row],[Chest Pain + Target]]=1,Table1[[#This Row],[trestbps]]&gt;=130),1,0)</f>
        <v>0</v>
      </c>
      <c r="T98">
        <f>IF(AND(Table1[[#This Row],[Add BP]]=1,Table1[[#This Row],[chol]]&gt;=200),1,0)</f>
        <v>0</v>
      </c>
      <c r="U98">
        <f>IF(AND(Table1[[#This Row],[Add Cholestrol]]=1,Table1[[#This Row],[slope]]&gt;=2),1,0)</f>
        <v>0</v>
      </c>
      <c r="V98">
        <f>COUNTIFS(Table1[target],1)</f>
        <v>165</v>
      </c>
    </row>
    <row r="99" spans="1:22" x14ac:dyDescent="0.25">
      <c r="A99">
        <v>51</v>
      </c>
      <c r="B99">
        <v>0</v>
      </c>
      <c r="C99">
        <v>0</v>
      </c>
      <c r="D99">
        <v>130</v>
      </c>
      <c r="E99">
        <v>305</v>
      </c>
      <c r="F99">
        <v>0</v>
      </c>
      <c r="G99">
        <v>1</v>
      </c>
      <c r="H99">
        <v>142</v>
      </c>
      <c r="I99">
        <v>1</v>
      </c>
      <c r="J99">
        <v>1.2</v>
      </c>
      <c r="K99">
        <v>1</v>
      </c>
      <c r="L99">
        <v>0</v>
      </c>
      <c r="M99">
        <v>3</v>
      </c>
      <c r="N99">
        <v>0</v>
      </c>
      <c r="O99" t="str">
        <f>IF(Table1[[#This Row],[sex]]=1,"Male","Female")</f>
        <v>Female</v>
      </c>
      <c r="P99" t="str">
        <f>IF(Table1[[#This Row],[cp]]=0,"Typical Angina",IF(Table1[[#This Row],[cp]]=1,"Atypical Angina",IF(Table1[[#This Row],[cp]]=2,"Non-Anginal Pain","Asymptomatic")))</f>
        <v>Typical Angina</v>
      </c>
      <c r="Q99">
        <f>IF(Table1[[#This Row],[trestbps]]&gt;=130, 1, 0)</f>
        <v>1</v>
      </c>
      <c r="R99">
        <f>IF(AND(Table1[[#This Row],[target]]=1,OR(Table1[[#This Row],[cp]]=0,Table1[[#This Row],[cp]]=1,Table1[[#This Row],[cp]]=2,Table1[[#This Row],[cp]])),1,0)</f>
        <v>0</v>
      </c>
      <c r="S99">
        <f>IF(AND(Table1[[#This Row],[Chest Pain + Target]]=1,Table1[[#This Row],[trestbps]]&gt;=130),1,0)</f>
        <v>0</v>
      </c>
      <c r="T99">
        <f>IF(AND(Table1[[#This Row],[Add BP]]=1,Table1[[#This Row],[chol]]&gt;=200),1,0)</f>
        <v>0</v>
      </c>
      <c r="U99">
        <f>IF(AND(Table1[[#This Row],[Add Cholestrol]]=1,Table1[[#This Row],[slope]]&gt;=2),1,0)</f>
        <v>0</v>
      </c>
      <c r="V99">
        <f>COUNTIFS(Table1[target],1)</f>
        <v>165</v>
      </c>
    </row>
    <row r="100" spans="1:22" x14ac:dyDescent="0.25">
      <c r="A100">
        <v>60</v>
      </c>
      <c r="B100">
        <v>1</v>
      </c>
      <c r="C100">
        <v>0</v>
      </c>
      <c r="D100">
        <v>145</v>
      </c>
      <c r="E100">
        <v>282</v>
      </c>
      <c r="F100">
        <v>0</v>
      </c>
      <c r="G100">
        <v>0</v>
      </c>
      <c r="H100">
        <v>142</v>
      </c>
      <c r="I100">
        <v>1</v>
      </c>
      <c r="J100">
        <v>2.8</v>
      </c>
      <c r="K100">
        <v>1</v>
      </c>
      <c r="L100">
        <v>2</v>
      </c>
      <c r="M100">
        <v>3</v>
      </c>
      <c r="N100">
        <v>0</v>
      </c>
      <c r="O100" t="str">
        <f>IF(Table1[[#This Row],[sex]]=1,"Male","Female")</f>
        <v>Male</v>
      </c>
      <c r="P100" t="str">
        <f>IF(Table1[[#This Row],[cp]]=0,"Typical Angina",IF(Table1[[#This Row],[cp]]=1,"Atypical Angina",IF(Table1[[#This Row],[cp]]=2,"Non-Anginal Pain","Asymptomatic")))</f>
        <v>Typical Angina</v>
      </c>
      <c r="Q100">
        <f>IF(Table1[[#This Row],[trestbps]]&gt;=130, 1, 0)</f>
        <v>1</v>
      </c>
      <c r="R100">
        <f>IF(AND(Table1[[#This Row],[target]]=1,OR(Table1[[#This Row],[cp]]=0,Table1[[#This Row],[cp]]=1,Table1[[#This Row],[cp]]=2,Table1[[#This Row],[cp]])),1,0)</f>
        <v>0</v>
      </c>
      <c r="S100">
        <f>IF(AND(Table1[[#This Row],[Chest Pain + Target]]=1,Table1[[#This Row],[trestbps]]&gt;=130),1,0)</f>
        <v>0</v>
      </c>
      <c r="T100">
        <f>IF(AND(Table1[[#This Row],[Add BP]]=1,Table1[[#This Row],[chol]]&gt;=200),1,0)</f>
        <v>0</v>
      </c>
      <c r="U100">
        <f>IF(AND(Table1[[#This Row],[Add Cholestrol]]=1,Table1[[#This Row],[slope]]&gt;=2),1,0)</f>
        <v>0</v>
      </c>
      <c r="V100">
        <f>COUNTIFS(Table1[target],1)</f>
        <v>165</v>
      </c>
    </row>
    <row r="101" spans="1:22" x14ac:dyDescent="0.25">
      <c r="A101">
        <v>59</v>
      </c>
      <c r="B101">
        <v>1</v>
      </c>
      <c r="C101">
        <v>0</v>
      </c>
      <c r="D101">
        <v>110</v>
      </c>
      <c r="E101">
        <v>239</v>
      </c>
      <c r="F101">
        <v>0</v>
      </c>
      <c r="G101">
        <v>0</v>
      </c>
      <c r="H101">
        <v>142</v>
      </c>
      <c r="I101">
        <v>1</v>
      </c>
      <c r="J101">
        <v>1.2</v>
      </c>
      <c r="K101">
        <v>1</v>
      </c>
      <c r="L101">
        <v>1</v>
      </c>
      <c r="M101">
        <v>3</v>
      </c>
      <c r="N101">
        <v>0</v>
      </c>
      <c r="O101" t="str">
        <f>IF(Table1[[#This Row],[sex]]=1,"Male","Female")</f>
        <v>Male</v>
      </c>
      <c r="P101" t="str">
        <f>IF(Table1[[#This Row],[cp]]=0,"Typical Angina",IF(Table1[[#This Row],[cp]]=1,"Atypical Angina",IF(Table1[[#This Row],[cp]]=2,"Non-Anginal Pain","Asymptomatic")))</f>
        <v>Typical Angina</v>
      </c>
      <c r="Q101">
        <f>IF(Table1[[#This Row],[trestbps]]&gt;=130, 1, 0)</f>
        <v>0</v>
      </c>
      <c r="R101">
        <f>IF(AND(Table1[[#This Row],[target]]=1,OR(Table1[[#This Row],[cp]]=0,Table1[[#This Row],[cp]]=1,Table1[[#This Row],[cp]]=2,Table1[[#This Row],[cp]])),1,0)</f>
        <v>0</v>
      </c>
      <c r="S101">
        <f>IF(AND(Table1[[#This Row],[Chest Pain + Target]]=1,Table1[[#This Row],[trestbps]]&gt;=130),1,0)</f>
        <v>0</v>
      </c>
      <c r="T101">
        <f>IF(AND(Table1[[#This Row],[Add BP]]=1,Table1[[#This Row],[chol]]&gt;=200),1,0)</f>
        <v>0</v>
      </c>
      <c r="U101">
        <f>IF(AND(Table1[[#This Row],[Add Cholestrol]]=1,Table1[[#This Row],[slope]]&gt;=2),1,0)</f>
        <v>0</v>
      </c>
      <c r="V101">
        <f>COUNTIFS(Table1[target],1)</f>
        <v>165</v>
      </c>
    </row>
    <row r="102" spans="1:22" x14ac:dyDescent="0.25">
      <c r="A102">
        <v>53</v>
      </c>
      <c r="B102">
        <v>0</v>
      </c>
      <c r="C102">
        <v>0</v>
      </c>
      <c r="D102">
        <v>130</v>
      </c>
      <c r="E102">
        <v>264</v>
      </c>
      <c r="F102">
        <v>0</v>
      </c>
      <c r="G102">
        <v>0</v>
      </c>
      <c r="H102">
        <v>143</v>
      </c>
      <c r="I102">
        <v>0</v>
      </c>
      <c r="J102">
        <v>0.4</v>
      </c>
      <c r="K102">
        <v>1</v>
      </c>
      <c r="L102">
        <v>0</v>
      </c>
      <c r="M102">
        <v>2</v>
      </c>
      <c r="N102">
        <v>1</v>
      </c>
      <c r="O102" t="str">
        <f>IF(Table1[[#This Row],[sex]]=1,"Male","Female")</f>
        <v>Female</v>
      </c>
      <c r="P102" t="str">
        <f>IF(Table1[[#This Row],[cp]]=0,"Typical Angina",IF(Table1[[#This Row],[cp]]=1,"Atypical Angina",IF(Table1[[#This Row],[cp]]=2,"Non-Anginal Pain","Asymptomatic")))</f>
        <v>Typical Angina</v>
      </c>
      <c r="Q102">
        <f>IF(Table1[[#This Row],[trestbps]]&gt;=130, 1, 0)</f>
        <v>1</v>
      </c>
      <c r="R102">
        <f>IF(AND(Table1[[#This Row],[target]]=1,OR(Table1[[#This Row],[cp]]=0,Table1[[#This Row],[cp]]=1,Table1[[#This Row],[cp]]=2,Table1[[#This Row],[cp]])),1,0)</f>
        <v>1</v>
      </c>
      <c r="S102">
        <f>IF(AND(Table1[[#This Row],[Chest Pain + Target]]=1,Table1[[#This Row],[trestbps]]&gt;=130),1,0)</f>
        <v>1</v>
      </c>
      <c r="T102">
        <f>IF(AND(Table1[[#This Row],[Add BP]]=1,Table1[[#This Row],[chol]]&gt;=200),1,0)</f>
        <v>1</v>
      </c>
      <c r="U102">
        <f>IF(AND(Table1[[#This Row],[Add Cholestrol]]=1,Table1[[#This Row],[slope]]&gt;=2),1,0)</f>
        <v>0</v>
      </c>
      <c r="V102">
        <f>COUNTIFS(Table1[target],1)</f>
        <v>165</v>
      </c>
    </row>
    <row r="103" spans="1:22" x14ac:dyDescent="0.25">
      <c r="A103">
        <v>51</v>
      </c>
      <c r="B103">
        <v>1</v>
      </c>
      <c r="C103">
        <v>2</v>
      </c>
      <c r="D103">
        <v>100</v>
      </c>
      <c r="E103">
        <v>222</v>
      </c>
      <c r="F103">
        <v>0</v>
      </c>
      <c r="G103">
        <v>1</v>
      </c>
      <c r="H103">
        <v>143</v>
      </c>
      <c r="I103">
        <v>1</v>
      </c>
      <c r="J103">
        <v>1.2</v>
      </c>
      <c r="K103">
        <v>1</v>
      </c>
      <c r="L103">
        <v>0</v>
      </c>
      <c r="M103">
        <v>2</v>
      </c>
      <c r="N103">
        <v>1</v>
      </c>
      <c r="O103" t="str">
        <f>IF(Table1[[#This Row],[sex]]=1,"Male","Female")</f>
        <v>Male</v>
      </c>
      <c r="P103" t="str">
        <f>IF(Table1[[#This Row],[cp]]=0,"Typical Angina",IF(Table1[[#This Row],[cp]]=1,"Atypical Angina",IF(Table1[[#This Row],[cp]]=2,"Non-Anginal Pain","Asymptomatic")))</f>
        <v>Non-Anginal Pain</v>
      </c>
      <c r="Q103">
        <f>IF(Table1[[#This Row],[trestbps]]&gt;=130, 1, 0)</f>
        <v>0</v>
      </c>
      <c r="R103">
        <f>IF(AND(Table1[[#This Row],[target]]=1,OR(Table1[[#This Row],[cp]]=0,Table1[[#This Row],[cp]]=1,Table1[[#This Row],[cp]]=2,Table1[[#This Row],[cp]])),1,0)</f>
        <v>1</v>
      </c>
      <c r="S103">
        <f>IF(AND(Table1[[#This Row],[Chest Pain + Target]]=1,Table1[[#This Row],[trestbps]]&gt;=130),1,0)</f>
        <v>0</v>
      </c>
      <c r="T103">
        <f>IF(AND(Table1[[#This Row],[Add BP]]=1,Table1[[#This Row],[chol]]&gt;=200),1,0)</f>
        <v>0</v>
      </c>
      <c r="U103">
        <f>IF(AND(Table1[[#This Row],[Add Cholestrol]]=1,Table1[[#This Row],[slope]]&gt;=2),1,0)</f>
        <v>0</v>
      </c>
      <c r="V103">
        <f>COUNTIFS(Table1[target],1)</f>
        <v>165</v>
      </c>
    </row>
    <row r="104" spans="1:22" x14ac:dyDescent="0.25">
      <c r="A104">
        <v>47</v>
      </c>
      <c r="B104">
        <v>1</v>
      </c>
      <c r="C104">
        <v>0</v>
      </c>
      <c r="D104">
        <v>112</v>
      </c>
      <c r="E104">
        <v>204</v>
      </c>
      <c r="F104">
        <v>0</v>
      </c>
      <c r="G104">
        <v>1</v>
      </c>
      <c r="H104">
        <v>143</v>
      </c>
      <c r="I104">
        <v>0</v>
      </c>
      <c r="J104">
        <v>0.1</v>
      </c>
      <c r="K104">
        <v>2</v>
      </c>
      <c r="L104">
        <v>0</v>
      </c>
      <c r="M104">
        <v>2</v>
      </c>
      <c r="N104">
        <v>1</v>
      </c>
      <c r="O104" t="str">
        <f>IF(Table1[[#This Row],[sex]]=1,"Male","Female")</f>
        <v>Male</v>
      </c>
      <c r="P104" t="str">
        <f>IF(Table1[[#This Row],[cp]]=0,"Typical Angina",IF(Table1[[#This Row],[cp]]=1,"Atypical Angina",IF(Table1[[#This Row],[cp]]=2,"Non-Anginal Pain","Asymptomatic")))</f>
        <v>Typical Angina</v>
      </c>
      <c r="Q104">
        <f>IF(Table1[[#This Row],[trestbps]]&gt;=130, 1, 0)</f>
        <v>0</v>
      </c>
      <c r="R104">
        <f>IF(AND(Table1[[#This Row],[target]]=1,OR(Table1[[#This Row],[cp]]=0,Table1[[#This Row],[cp]]=1,Table1[[#This Row],[cp]]=2,Table1[[#This Row],[cp]])),1,0)</f>
        <v>1</v>
      </c>
      <c r="S104">
        <f>IF(AND(Table1[[#This Row],[Chest Pain + Target]]=1,Table1[[#This Row],[trestbps]]&gt;=130),1,0)</f>
        <v>0</v>
      </c>
      <c r="T104">
        <f>IF(AND(Table1[[#This Row],[Add BP]]=1,Table1[[#This Row],[chol]]&gt;=200),1,0)</f>
        <v>0</v>
      </c>
      <c r="U104">
        <f>IF(AND(Table1[[#This Row],[Add Cholestrol]]=1,Table1[[#This Row],[slope]]&gt;=2),1,0)</f>
        <v>0</v>
      </c>
      <c r="V104">
        <f>COUNTIFS(Table1[target],1)</f>
        <v>165</v>
      </c>
    </row>
    <row r="105" spans="1:22" x14ac:dyDescent="0.25">
      <c r="A105">
        <v>70</v>
      </c>
      <c r="B105">
        <v>1</v>
      </c>
      <c r="C105">
        <v>1</v>
      </c>
      <c r="D105">
        <v>156</v>
      </c>
      <c r="E105">
        <v>245</v>
      </c>
      <c r="F105">
        <v>0</v>
      </c>
      <c r="G105">
        <v>0</v>
      </c>
      <c r="H105">
        <v>143</v>
      </c>
      <c r="I105">
        <v>0</v>
      </c>
      <c r="J105">
        <v>0</v>
      </c>
      <c r="K105">
        <v>2</v>
      </c>
      <c r="L105">
        <v>0</v>
      </c>
      <c r="M105">
        <v>2</v>
      </c>
      <c r="N105">
        <v>1</v>
      </c>
      <c r="O105" t="str">
        <f>IF(Table1[[#This Row],[sex]]=1,"Male","Female")</f>
        <v>Male</v>
      </c>
      <c r="P105" t="str">
        <f>IF(Table1[[#This Row],[cp]]=0,"Typical Angina",IF(Table1[[#This Row],[cp]]=1,"Atypical Angina",IF(Table1[[#This Row],[cp]]=2,"Non-Anginal Pain","Asymptomatic")))</f>
        <v>Atypical Angina</v>
      </c>
      <c r="Q105">
        <f>IF(Table1[[#This Row],[trestbps]]&gt;=130, 1, 0)</f>
        <v>1</v>
      </c>
      <c r="R105">
        <f>IF(AND(Table1[[#This Row],[target]]=1,OR(Table1[[#This Row],[cp]]=0,Table1[[#This Row],[cp]]=1,Table1[[#This Row],[cp]]=2,Table1[[#This Row],[cp]])),1,0)</f>
        <v>1</v>
      </c>
      <c r="S105">
        <f>IF(AND(Table1[[#This Row],[Chest Pain + Target]]=1,Table1[[#This Row],[trestbps]]&gt;=130),1,0)</f>
        <v>1</v>
      </c>
      <c r="T105">
        <f>IF(AND(Table1[[#This Row],[Add BP]]=1,Table1[[#This Row],[chol]]&gt;=200),1,0)</f>
        <v>1</v>
      </c>
      <c r="U105">
        <f>IF(AND(Table1[[#This Row],[Add Cholestrol]]=1,Table1[[#This Row],[slope]]&gt;=2),1,0)</f>
        <v>1</v>
      </c>
      <c r="V105">
        <f>COUNTIFS(Table1[target],1)</f>
        <v>165</v>
      </c>
    </row>
    <row r="106" spans="1:22" x14ac:dyDescent="0.25">
      <c r="A106">
        <v>59</v>
      </c>
      <c r="B106">
        <v>0</v>
      </c>
      <c r="C106">
        <v>0</v>
      </c>
      <c r="D106">
        <v>174</v>
      </c>
      <c r="E106">
        <v>249</v>
      </c>
      <c r="F106">
        <v>0</v>
      </c>
      <c r="G106">
        <v>1</v>
      </c>
      <c r="H106">
        <v>143</v>
      </c>
      <c r="I106">
        <v>1</v>
      </c>
      <c r="J106">
        <v>0</v>
      </c>
      <c r="K106">
        <v>1</v>
      </c>
      <c r="L106">
        <v>0</v>
      </c>
      <c r="M106">
        <v>2</v>
      </c>
      <c r="N106">
        <v>0</v>
      </c>
      <c r="O106" t="str">
        <f>IF(Table1[[#This Row],[sex]]=1,"Male","Female")</f>
        <v>Female</v>
      </c>
      <c r="P106" t="str">
        <f>IF(Table1[[#This Row],[cp]]=0,"Typical Angina",IF(Table1[[#This Row],[cp]]=1,"Atypical Angina",IF(Table1[[#This Row],[cp]]=2,"Non-Anginal Pain","Asymptomatic")))</f>
        <v>Typical Angina</v>
      </c>
      <c r="Q106">
        <f>IF(Table1[[#This Row],[trestbps]]&gt;=130, 1, 0)</f>
        <v>1</v>
      </c>
      <c r="R106">
        <f>IF(AND(Table1[[#This Row],[target]]=1,OR(Table1[[#This Row],[cp]]=0,Table1[[#This Row],[cp]]=1,Table1[[#This Row],[cp]]=2,Table1[[#This Row],[cp]])),1,0)</f>
        <v>0</v>
      </c>
      <c r="S106">
        <f>IF(AND(Table1[[#This Row],[Chest Pain + Target]]=1,Table1[[#This Row],[trestbps]]&gt;=130),1,0)</f>
        <v>0</v>
      </c>
      <c r="T106">
        <f>IF(AND(Table1[[#This Row],[Add BP]]=1,Table1[[#This Row],[chol]]&gt;=200),1,0)</f>
        <v>0</v>
      </c>
      <c r="U106">
        <f>IF(AND(Table1[[#This Row],[Add Cholestrol]]=1,Table1[[#This Row],[slope]]&gt;=2),1,0)</f>
        <v>0</v>
      </c>
      <c r="V106">
        <f>COUNTIFS(Table1[target],1)</f>
        <v>165</v>
      </c>
    </row>
    <row r="107" spans="1:22" x14ac:dyDescent="0.25">
      <c r="A107">
        <v>43</v>
      </c>
      <c r="B107">
        <v>1</v>
      </c>
      <c r="C107">
        <v>0</v>
      </c>
      <c r="D107">
        <v>132</v>
      </c>
      <c r="E107">
        <v>247</v>
      </c>
      <c r="F107">
        <v>1</v>
      </c>
      <c r="G107">
        <v>0</v>
      </c>
      <c r="H107">
        <v>143</v>
      </c>
      <c r="I107">
        <v>1</v>
      </c>
      <c r="J107">
        <v>0.1</v>
      </c>
      <c r="K107">
        <v>1</v>
      </c>
      <c r="L107">
        <v>4</v>
      </c>
      <c r="M107">
        <v>3</v>
      </c>
      <c r="N107">
        <v>0</v>
      </c>
      <c r="O107" t="str">
        <f>IF(Table1[[#This Row],[sex]]=1,"Male","Female")</f>
        <v>Male</v>
      </c>
      <c r="P107" t="str">
        <f>IF(Table1[[#This Row],[cp]]=0,"Typical Angina",IF(Table1[[#This Row],[cp]]=1,"Atypical Angina",IF(Table1[[#This Row],[cp]]=2,"Non-Anginal Pain","Asymptomatic")))</f>
        <v>Typical Angina</v>
      </c>
      <c r="Q107">
        <f>IF(Table1[[#This Row],[trestbps]]&gt;=130, 1, 0)</f>
        <v>1</v>
      </c>
      <c r="R107">
        <f>IF(AND(Table1[[#This Row],[target]]=1,OR(Table1[[#This Row],[cp]]=0,Table1[[#This Row],[cp]]=1,Table1[[#This Row],[cp]]=2,Table1[[#This Row],[cp]])),1,0)</f>
        <v>0</v>
      </c>
      <c r="S107">
        <f>IF(AND(Table1[[#This Row],[Chest Pain + Target]]=1,Table1[[#This Row],[trestbps]]&gt;=130),1,0)</f>
        <v>0</v>
      </c>
      <c r="T107">
        <f>IF(AND(Table1[[#This Row],[Add BP]]=1,Table1[[#This Row],[chol]]&gt;=200),1,0)</f>
        <v>0</v>
      </c>
      <c r="U107">
        <f>IF(AND(Table1[[#This Row],[Add Cholestrol]]=1,Table1[[#This Row],[slope]]&gt;=2),1,0)</f>
        <v>0</v>
      </c>
      <c r="V107">
        <f>COUNTIFS(Table1[target],1)</f>
        <v>165</v>
      </c>
    </row>
    <row r="108" spans="1:22" x14ac:dyDescent="0.25">
      <c r="A108">
        <v>57</v>
      </c>
      <c r="B108">
        <v>1</v>
      </c>
      <c r="C108">
        <v>0</v>
      </c>
      <c r="D108">
        <v>110</v>
      </c>
      <c r="E108">
        <v>335</v>
      </c>
      <c r="F108">
        <v>0</v>
      </c>
      <c r="G108">
        <v>1</v>
      </c>
      <c r="H108">
        <v>143</v>
      </c>
      <c r="I108">
        <v>1</v>
      </c>
      <c r="J108">
        <v>3</v>
      </c>
      <c r="K108">
        <v>1</v>
      </c>
      <c r="L108">
        <v>1</v>
      </c>
      <c r="M108">
        <v>3</v>
      </c>
      <c r="N108">
        <v>0</v>
      </c>
      <c r="O108" t="str">
        <f>IF(Table1[[#This Row],[sex]]=1,"Male","Female")</f>
        <v>Male</v>
      </c>
      <c r="P108" t="str">
        <f>IF(Table1[[#This Row],[cp]]=0,"Typical Angina",IF(Table1[[#This Row],[cp]]=1,"Atypical Angina",IF(Table1[[#This Row],[cp]]=2,"Non-Anginal Pain","Asymptomatic")))</f>
        <v>Typical Angina</v>
      </c>
      <c r="Q108">
        <f>IF(Table1[[#This Row],[trestbps]]&gt;=130, 1, 0)</f>
        <v>0</v>
      </c>
      <c r="R108">
        <f>IF(AND(Table1[[#This Row],[target]]=1,OR(Table1[[#This Row],[cp]]=0,Table1[[#This Row],[cp]]=1,Table1[[#This Row],[cp]]=2,Table1[[#This Row],[cp]])),1,0)</f>
        <v>0</v>
      </c>
      <c r="S108">
        <f>IF(AND(Table1[[#This Row],[Chest Pain + Target]]=1,Table1[[#This Row],[trestbps]]&gt;=130),1,0)</f>
        <v>0</v>
      </c>
      <c r="T108">
        <f>IF(AND(Table1[[#This Row],[Add BP]]=1,Table1[[#This Row],[chol]]&gt;=200),1,0)</f>
        <v>0</v>
      </c>
      <c r="U108">
        <f>IF(AND(Table1[[#This Row],[Add Cholestrol]]=1,Table1[[#This Row],[slope]]&gt;=2),1,0)</f>
        <v>0</v>
      </c>
      <c r="V108">
        <f>COUNTIFS(Table1[target],1)</f>
        <v>165</v>
      </c>
    </row>
    <row r="109" spans="1:22" x14ac:dyDescent="0.25">
      <c r="A109">
        <v>64</v>
      </c>
      <c r="B109">
        <v>1</v>
      </c>
      <c r="C109">
        <v>3</v>
      </c>
      <c r="D109">
        <v>110</v>
      </c>
      <c r="E109">
        <v>211</v>
      </c>
      <c r="F109">
        <v>0</v>
      </c>
      <c r="G109">
        <v>0</v>
      </c>
      <c r="H109">
        <v>144</v>
      </c>
      <c r="I109">
        <v>1</v>
      </c>
      <c r="J109">
        <v>1.8</v>
      </c>
      <c r="K109">
        <v>1</v>
      </c>
      <c r="L109">
        <v>0</v>
      </c>
      <c r="M109">
        <v>2</v>
      </c>
      <c r="N109">
        <v>1</v>
      </c>
      <c r="O109" t="str">
        <f>IF(Table1[[#This Row],[sex]]=1,"Male","Female")</f>
        <v>Male</v>
      </c>
      <c r="P109" t="str">
        <f>IF(Table1[[#This Row],[cp]]=0,"Typical Angina",IF(Table1[[#This Row],[cp]]=1,"Atypical Angina",IF(Table1[[#This Row],[cp]]=2,"Non-Anginal Pain","Asymptomatic")))</f>
        <v>Asymptomatic</v>
      </c>
      <c r="Q109">
        <f>IF(Table1[[#This Row],[trestbps]]&gt;=130, 1, 0)</f>
        <v>0</v>
      </c>
      <c r="R109">
        <f>IF(AND(Table1[[#This Row],[target]]=1,OR(Table1[[#This Row],[cp]]=0,Table1[[#This Row],[cp]]=1,Table1[[#This Row],[cp]]=2,Table1[[#This Row],[cp]])),1,0)</f>
        <v>1</v>
      </c>
      <c r="S109">
        <f>IF(AND(Table1[[#This Row],[Chest Pain + Target]]=1,Table1[[#This Row],[trestbps]]&gt;=130),1,0)</f>
        <v>0</v>
      </c>
      <c r="T109">
        <f>IF(AND(Table1[[#This Row],[Add BP]]=1,Table1[[#This Row],[chol]]&gt;=200),1,0)</f>
        <v>0</v>
      </c>
      <c r="U109">
        <f>IF(AND(Table1[[#This Row],[Add Cholestrol]]=1,Table1[[#This Row],[slope]]&gt;=2),1,0)</f>
        <v>0</v>
      </c>
      <c r="V109">
        <f>COUNTIFS(Table1[target],1)</f>
        <v>165</v>
      </c>
    </row>
    <row r="110" spans="1:22" x14ac:dyDescent="0.25">
      <c r="A110">
        <v>58</v>
      </c>
      <c r="B110">
        <v>1</v>
      </c>
      <c r="C110">
        <v>1</v>
      </c>
      <c r="D110">
        <v>125</v>
      </c>
      <c r="E110">
        <v>220</v>
      </c>
      <c r="F110">
        <v>0</v>
      </c>
      <c r="G110">
        <v>1</v>
      </c>
      <c r="H110">
        <v>144</v>
      </c>
      <c r="I110">
        <v>0</v>
      </c>
      <c r="J110">
        <v>0.4</v>
      </c>
      <c r="K110">
        <v>1</v>
      </c>
      <c r="L110">
        <v>4</v>
      </c>
      <c r="M110">
        <v>3</v>
      </c>
      <c r="N110">
        <v>1</v>
      </c>
      <c r="O110" t="str">
        <f>IF(Table1[[#This Row],[sex]]=1,"Male","Female")</f>
        <v>Male</v>
      </c>
      <c r="P110" t="str">
        <f>IF(Table1[[#This Row],[cp]]=0,"Typical Angina",IF(Table1[[#This Row],[cp]]=1,"Atypical Angina",IF(Table1[[#This Row],[cp]]=2,"Non-Anginal Pain","Asymptomatic")))</f>
        <v>Atypical Angina</v>
      </c>
      <c r="Q110">
        <f>IF(Table1[[#This Row],[trestbps]]&gt;=130, 1, 0)</f>
        <v>0</v>
      </c>
      <c r="R110">
        <f>IF(AND(Table1[[#This Row],[target]]=1,OR(Table1[[#This Row],[cp]]=0,Table1[[#This Row],[cp]]=1,Table1[[#This Row],[cp]]=2,Table1[[#This Row],[cp]])),1,0)</f>
        <v>1</v>
      </c>
      <c r="S110">
        <f>IF(AND(Table1[[#This Row],[Chest Pain + Target]]=1,Table1[[#This Row],[trestbps]]&gt;=130),1,0)</f>
        <v>0</v>
      </c>
      <c r="T110">
        <f>IF(AND(Table1[[#This Row],[Add BP]]=1,Table1[[#This Row],[chol]]&gt;=200),1,0)</f>
        <v>0</v>
      </c>
      <c r="U110">
        <f>IF(AND(Table1[[#This Row],[Add Cholestrol]]=1,Table1[[#This Row],[slope]]&gt;=2),1,0)</f>
        <v>0</v>
      </c>
      <c r="V110">
        <f>COUNTIFS(Table1[target],1)</f>
        <v>165</v>
      </c>
    </row>
    <row r="111" spans="1:22" x14ac:dyDescent="0.25">
      <c r="A111">
        <v>60</v>
      </c>
      <c r="B111">
        <v>1</v>
      </c>
      <c r="C111">
        <v>0</v>
      </c>
      <c r="D111">
        <v>130</v>
      </c>
      <c r="E111">
        <v>253</v>
      </c>
      <c r="F111">
        <v>0</v>
      </c>
      <c r="G111">
        <v>1</v>
      </c>
      <c r="H111">
        <v>144</v>
      </c>
      <c r="I111">
        <v>1</v>
      </c>
      <c r="J111">
        <v>1.4</v>
      </c>
      <c r="K111">
        <v>2</v>
      </c>
      <c r="L111">
        <v>1</v>
      </c>
      <c r="M111">
        <v>3</v>
      </c>
      <c r="N111">
        <v>0</v>
      </c>
      <c r="O111" t="str">
        <f>IF(Table1[[#This Row],[sex]]=1,"Male","Female")</f>
        <v>Male</v>
      </c>
      <c r="P111" t="str">
        <f>IF(Table1[[#This Row],[cp]]=0,"Typical Angina",IF(Table1[[#This Row],[cp]]=1,"Atypical Angina",IF(Table1[[#This Row],[cp]]=2,"Non-Anginal Pain","Asymptomatic")))</f>
        <v>Typical Angina</v>
      </c>
      <c r="Q111">
        <f>IF(Table1[[#This Row],[trestbps]]&gt;=130, 1, 0)</f>
        <v>1</v>
      </c>
      <c r="R111">
        <f>IF(AND(Table1[[#This Row],[target]]=1,OR(Table1[[#This Row],[cp]]=0,Table1[[#This Row],[cp]]=1,Table1[[#This Row],[cp]]=2,Table1[[#This Row],[cp]])),1,0)</f>
        <v>0</v>
      </c>
      <c r="S111">
        <f>IF(AND(Table1[[#This Row],[Chest Pain + Target]]=1,Table1[[#This Row],[trestbps]]&gt;=130),1,0)</f>
        <v>0</v>
      </c>
      <c r="T111">
        <f>IF(AND(Table1[[#This Row],[Add BP]]=1,Table1[[#This Row],[chol]]&gt;=200),1,0)</f>
        <v>0</v>
      </c>
      <c r="U111">
        <f>IF(AND(Table1[[#This Row],[Add Cholestrol]]=1,Table1[[#This Row],[slope]]&gt;=2),1,0)</f>
        <v>0</v>
      </c>
      <c r="V111">
        <f>COUNTIFS(Table1[target],1)</f>
        <v>165</v>
      </c>
    </row>
    <row r="112" spans="1:22" x14ac:dyDescent="0.25">
      <c r="A112">
        <v>56</v>
      </c>
      <c r="B112">
        <v>1</v>
      </c>
      <c r="C112">
        <v>0</v>
      </c>
      <c r="D112">
        <v>125</v>
      </c>
      <c r="E112">
        <v>249</v>
      </c>
      <c r="F112">
        <v>1</v>
      </c>
      <c r="G112">
        <v>0</v>
      </c>
      <c r="H112">
        <v>144</v>
      </c>
      <c r="I112">
        <v>1</v>
      </c>
      <c r="J112">
        <v>1.2</v>
      </c>
      <c r="K112">
        <v>1</v>
      </c>
      <c r="L112">
        <v>1</v>
      </c>
      <c r="M112">
        <v>2</v>
      </c>
      <c r="N112">
        <v>0</v>
      </c>
      <c r="O112" t="str">
        <f>IF(Table1[[#This Row],[sex]]=1,"Male","Female")</f>
        <v>Male</v>
      </c>
      <c r="P112" t="str">
        <f>IF(Table1[[#This Row],[cp]]=0,"Typical Angina",IF(Table1[[#This Row],[cp]]=1,"Atypical Angina",IF(Table1[[#This Row],[cp]]=2,"Non-Anginal Pain","Asymptomatic")))</f>
        <v>Typical Angina</v>
      </c>
      <c r="Q112">
        <f>IF(Table1[[#This Row],[trestbps]]&gt;=130, 1, 0)</f>
        <v>0</v>
      </c>
      <c r="R112">
        <f>IF(AND(Table1[[#This Row],[target]]=1,OR(Table1[[#This Row],[cp]]=0,Table1[[#This Row],[cp]]=1,Table1[[#This Row],[cp]]=2,Table1[[#This Row],[cp]])),1,0)</f>
        <v>0</v>
      </c>
      <c r="S112">
        <f>IF(AND(Table1[[#This Row],[Chest Pain + Target]]=1,Table1[[#This Row],[trestbps]]&gt;=130),1,0)</f>
        <v>0</v>
      </c>
      <c r="T112">
        <f>IF(AND(Table1[[#This Row],[Add BP]]=1,Table1[[#This Row],[chol]]&gt;=200),1,0)</f>
        <v>0</v>
      </c>
      <c r="U112">
        <f>IF(AND(Table1[[#This Row],[Add Cholestrol]]=1,Table1[[#This Row],[slope]]&gt;=2),1,0)</f>
        <v>0</v>
      </c>
      <c r="V112">
        <f>COUNTIFS(Table1[target],1)</f>
        <v>165</v>
      </c>
    </row>
    <row r="113" spans="1:22" x14ac:dyDescent="0.25">
      <c r="A113">
        <v>46</v>
      </c>
      <c r="B113">
        <v>1</v>
      </c>
      <c r="C113">
        <v>0</v>
      </c>
      <c r="D113">
        <v>120</v>
      </c>
      <c r="E113">
        <v>249</v>
      </c>
      <c r="F113">
        <v>0</v>
      </c>
      <c r="G113">
        <v>0</v>
      </c>
      <c r="H113">
        <v>144</v>
      </c>
      <c r="I113">
        <v>0</v>
      </c>
      <c r="J113">
        <v>0.8</v>
      </c>
      <c r="K113">
        <v>2</v>
      </c>
      <c r="L113">
        <v>0</v>
      </c>
      <c r="M113">
        <v>3</v>
      </c>
      <c r="N113">
        <v>0</v>
      </c>
      <c r="O113" t="str">
        <f>IF(Table1[[#This Row],[sex]]=1,"Male","Female")</f>
        <v>Male</v>
      </c>
      <c r="P113" t="str">
        <f>IF(Table1[[#This Row],[cp]]=0,"Typical Angina",IF(Table1[[#This Row],[cp]]=1,"Atypical Angina",IF(Table1[[#This Row],[cp]]=2,"Non-Anginal Pain","Asymptomatic")))</f>
        <v>Typical Angina</v>
      </c>
      <c r="Q113">
        <f>IF(Table1[[#This Row],[trestbps]]&gt;=130, 1, 0)</f>
        <v>0</v>
      </c>
      <c r="R113">
        <f>IF(AND(Table1[[#This Row],[target]]=1,OR(Table1[[#This Row],[cp]]=0,Table1[[#This Row],[cp]]=1,Table1[[#This Row],[cp]]=2,Table1[[#This Row],[cp]])),1,0)</f>
        <v>0</v>
      </c>
      <c r="S113">
        <f>IF(AND(Table1[[#This Row],[Chest Pain + Target]]=1,Table1[[#This Row],[trestbps]]&gt;=130),1,0)</f>
        <v>0</v>
      </c>
      <c r="T113">
        <f>IF(AND(Table1[[#This Row],[Add BP]]=1,Table1[[#This Row],[chol]]&gt;=200),1,0)</f>
        <v>0</v>
      </c>
      <c r="U113">
        <f>IF(AND(Table1[[#This Row],[Add Cholestrol]]=1,Table1[[#This Row],[slope]]&gt;=2),1,0)</f>
        <v>0</v>
      </c>
      <c r="V113">
        <f>COUNTIFS(Table1[target],1)</f>
        <v>165</v>
      </c>
    </row>
    <row r="114" spans="1:22" x14ac:dyDescent="0.25">
      <c r="A114">
        <v>44</v>
      </c>
      <c r="B114">
        <v>1</v>
      </c>
      <c r="C114">
        <v>0</v>
      </c>
      <c r="D114">
        <v>120</v>
      </c>
      <c r="E114">
        <v>169</v>
      </c>
      <c r="F114">
        <v>0</v>
      </c>
      <c r="G114">
        <v>1</v>
      </c>
      <c r="H114">
        <v>144</v>
      </c>
      <c r="I114">
        <v>1</v>
      </c>
      <c r="J114">
        <v>2.8</v>
      </c>
      <c r="K114">
        <v>0</v>
      </c>
      <c r="L114">
        <v>0</v>
      </c>
      <c r="M114">
        <v>1</v>
      </c>
      <c r="N114">
        <v>0</v>
      </c>
      <c r="O114" t="str">
        <f>IF(Table1[[#This Row],[sex]]=1,"Male","Female")</f>
        <v>Male</v>
      </c>
      <c r="P114" t="str">
        <f>IF(Table1[[#This Row],[cp]]=0,"Typical Angina",IF(Table1[[#This Row],[cp]]=1,"Atypical Angina",IF(Table1[[#This Row],[cp]]=2,"Non-Anginal Pain","Asymptomatic")))</f>
        <v>Typical Angina</v>
      </c>
      <c r="Q114">
        <f>IF(Table1[[#This Row],[trestbps]]&gt;=130, 1, 0)</f>
        <v>0</v>
      </c>
      <c r="R114">
        <f>IF(AND(Table1[[#This Row],[target]]=1,OR(Table1[[#This Row],[cp]]=0,Table1[[#This Row],[cp]]=1,Table1[[#This Row],[cp]]=2,Table1[[#This Row],[cp]])),1,0)</f>
        <v>0</v>
      </c>
      <c r="S114">
        <f>IF(AND(Table1[[#This Row],[Chest Pain + Target]]=1,Table1[[#This Row],[trestbps]]&gt;=130),1,0)</f>
        <v>0</v>
      </c>
      <c r="T114">
        <f>IF(AND(Table1[[#This Row],[Add BP]]=1,Table1[[#This Row],[chol]]&gt;=200),1,0)</f>
        <v>0</v>
      </c>
      <c r="U114">
        <f>IF(AND(Table1[[#This Row],[Add Cholestrol]]=1,Table1[[#This Row],[slope]]&gt;=2),1,0)</f>
        <v>0</v>
      </c>
      <c r="V114">
        <f>COUNTIFS(Table1[target],1)</f>
        <v>165</v>
      </c>
    </row>
    <row r="115" spans="1:22" x14ac:dyDescent="0.25">
      <c r="A115">
        <v>63</v>
      </c>
      <c r="B115">
        <v>1</v>
      </c>
      <c r="C115">
        <v>0</v>
      </c>
      <c r="D115">
        <v>140</v>
      </c>
      <c r="E115">
        <v>187</v>
      </c>
      <c r="F115">
        <v>0</v>
      </c>
      <c r="G115">
        <v>0</v>
      </c>
      <c r="H115">
        <v>144</v>
      </c>
      <c r="I115">
        <v>1</v>
      </c>
      <c r="J115">
        <v>4</v>
      </c>
      <c r="K115">
        <v>2</v>
      </c>
      <c r="L115">
        <v>2</v>
      </c>
      <c r="M115">
        <v>3</v>
      </c>
      <c r="N115">
        <v>0</v>
      </c>
      <c r="O115" t="str">
        <f>IF(Table1[[#This Row],[sex]]=1,"Male","Female")</f>
        <v>Male</v>
      </c>
      <c r="P115" t="str">
        <f>IF(Table1[[#This Row],[cp]]=0,"Typical Angina",IF(Table1[[#This Row],[cp]]=1,"Atypical Angina",IF(Table1[[#This Row],[cp]]=2,"Non-Anginal Pain","Asymptomatic")))</f>
        <v>Typical Angina</v>
      </c>
      <c r="Q115">
        <f>IF(Table1[[#This Row],[trestbps]]&gt;=130, 1, 0)</f>
        <v>1</v>
      </c>
      <c r="R115">
        <f>IF(AND(Table1[[#This Row],[target]]=1,OR(Table1[[#This Row],[cp]]=0,Table1[[#This Row],[cp]]=1,Table1[[#This Row],[cp]]=2,Table1[[#This Row],[cp]])),1,0)</f>
        <v>0</v>
      </c>
      <c r="S115">
        <f>IF(AND(Table1[[#This Row],[Chest Pain + Target]]=1,Table1[[#This Row],[trestbps]]&gt;=130),1,0)</f>
        <v>0</v>
      </c>
      <c r="T115">
        <f>IF(AND(Table1[[#This Row],[Add BP]]=1,Table1[[#This Row],[chol]]&gt;=200),1,0)</f>
        <v>0</v>
      </c>
      <c r="U115">
        <f>IF(AND(Table1[[#This Row],[Add Cholestrol]]=1,Table1[[#This Row],[slope]]&gt;=2),1,0)</f>
        <v>0</v>
      </c>
      <c r="V115">
        <f>COUNTIFS(Table1[target],1)</f>
        <v>165</v>
      </c>
    </row>
    <row r="116" spans="1:22" x14ac:dyDescent="0.25">
      <c r="A116">
        <v>59</v>
      </c>
      <c r="B116">
        <v>1</v>
      </c>
      <c r="C116">
        <v>3</v>
      </c>
      <c r="D116">
        <v>178</v>
      </c>
      <c r="E116">
        <v>270</v>
      </c>
      <c r="F116">
        <v>0</v>
      </c>
      <c r="G116">
        <v>0</v>
      </c>
      <c r="H116">
        <v>145</v>
      </c>
      <c r="I116">
        <v>0</v>
      </c>
      <c r="J116">
        <v>4.2</v>
      </c>
      <c r="K116">
        <v>0</v>
      </c>
      <c r="L116">
        <v>0</v>
      </c>
      <c r="M116">
        <v>3</v>
      </c>
      <c r="N116">
        <v>1</v>
      </c>
      <c r="O116" t="str">
        <f>IF(Table1[[#This Row],[sex]]=1,"Male","Female")</f>
        <v>Male</v>
      </c>
      <c r="P116" t="str">
        <f>IF(Table1[[#This Row],[cp]]=0,"Typical Angina",IF(Table1[[#This Row],[cp]]=1,"Atypical Angina",IF(Table1[[#This Row],[cp]]=2,"Non-Anginal Pain","Asymptomatic")))</f>
        <v>Asymptomatic</v>
      </c>
      <c r="Q116">
        <f>IF(Table1[[#This Row],[trestbps]]&gt;=130, 1, 0)</f>
        <v>1</v>
      </c>
      <c r="R116">
        <f>IF(AND(Table1[[#This Row],[target]]=1,OR(Table1[[#This Row],[cp]]=0,Table1[[#This Row],[cp]]=1,Table1[[#This Row],[cp]]=2,Table1[[#This Row],[cp]])),1,0)</f>
        <v>1</v>
      </c>
      <c r="S116">
        <f>IF(AND(Table1[[#This Row],[Chest Pain + Target]]=1,Table1[[#This Row],[trestbps]]&gt;=130),1,0)</f>
        <v>1</v>
      </c>
      <c r="T116">
        <f>IF(AND(Table1[[#This Row],[Add BP]]=1,Table1[[#This Row],[chol]]&gt;=200),1,0)</f>
        <v>1</v>
      </c>
      <c r="U116">
        <f>IF(AND(Table1[[#This Row],[Add Cholestrol]]=1,Table1[[#This Row],[slope]]&gt;=2),1,0)</f>
        <v>0</v>
      </c>
      <c r="V116">
        <f>COUNTIFS(Table1[target],1)</f>
        <v>165</v>
      </c>
    </row>
    <row r="117" spans="1:22" x14ac:dyDescent="0.25">
      <c r="A117">
        <v>62</v>
      </c>
      <c r="B117">
        <v>0</v>
      </c>
      <c r="C117">
        <v>0</v>
      </c>
      <c r="D117">
        <v>160</v>
      </c>
      <c r="E117">
        <v>164</v>
      </c>
      <c r="F117">
        <v>0</v>
      </c>
      <c r="G117">
        <v>0</v>
      </c>
      <c r="H117">
        <v>145</v>
      </c>
      <c r="I117">
        <v>0</v>
      </c>
      <c r="J117">
        <v>6.2</v>
      </c>
      <c r="K117">
        <v>0</v>
      </c>
      <c r="L117">
        <v>3</v>
      </c>
      <c r="M117">
        <v>3</v>
      </c>
      <c r="N117">
        <v>0</v>
      </c>
      <c r="O117" t="str">
        <f>IF(Table1[[#This Row],[sex]]=1,"Male","Female")</f>
        <v>Female</v>
      </c>
      <c r="P117" t="str">
        <f>IF(Table1[[#This Row],[cp]]=0,"Typical Angina",IF(Table1[[#This Row],[cp]]=1,"Atypical Angina",IF(Table1[[#This Row],[cp]]=2,"Non-Anginal Pain","Asymptomatic")))</f>
        <v>Typical Angina</v>
      </c>
      <c r="Q117">
        <f>IF(Table1[[#This Row],[trestbps]]&gt;=130, 1, 0)</f>
        <v>1</v>
      </c>
      <c r="R117">
        <f>IF(AND(Table1[[#This Row],[target]]=1,OR(Table1[[#This Row],[cp]]=0,Table1[[#This Row],[cp]]=1,Table1[[#This Row],[cp]]=2,Table1[[#This Row],[cp]])),1,0)</f>
        <v>0</v>
      </c>
      <c r="S117">
        <f>IF(AND(Table1[[#This Row],[Chest Pain + Target]]=1,Table1[[#This Row],[trestbps]]&gt;=130),1,0)</f>
        <v>0</v>
      </c>
      <c r="T117">
        <f>IF(AND(Table1[[#This Row],[Add BP]]=1,Table1[[#This Row],[chol]]&gt;=200),1,0)</f>
        <v>0</v>
      </c>
      <c r="U117">
        <f>IF(AND(Table1[[#This Row],[Add Cholestrol]]=1,Table1[[#This Row],[slope]]&gt;=2),1,0)</f>
        <v>0</v>
      </c>
      <c r="V117">
        <f>COUNTIFS(Table1[target],1)</f>
        <v>165</v>
      </c>
    </row>
    <row r="118" spans="1:22" x14ac:dyDescent="0.25">
      <c r="A118">
        <v>55</v>
      </c>
      <c r="B118">
        <v>1</v>
      </c>
      <c r="C118">
        <v>0</v>
      </c>
      <c r="D118">
        <v>160</v>
      </c>
      <c r="E118">
        <v>289</v>
      </c>
      <c r="F118">
        <v>0</v>
      </c>
      <c r="G118">
        <v>0</v>
      </c>
      <c r="H118">
        <v>145</v>
      </c>
      <c r="I118">
        <v>1</v>
      </c>
      <c r="J118">
        <v>0.8</v>
      </c>
      <c r="K118">
        <v>1</v>
      </c>
      <c r="L118">
        <v>1</v>
      </c>
      <c r="M118">
        <v>3</v>
      </c>
      <c r="N118">
        <v>0</v>
      </c>
      <c r="O118" t="str">
        <f>IF(Table1[[#This Row],[sex]]=1,"Male","Female")</f>
        <v>Male</v>
      </c>
      <c r="P118" t="str">
        <f>IF(Table1[[#This Row],[cp]]=0,"Typical Angina",IF(Table1[[#This Row],[cp]]=1,"Atypical Angina",IF(Table1[[#This Row],[cp]]=2,"Non-Anginal Pain","Asymptomatic")))</f>
        <v>Typical Angina</v>
      </c>
      <c r="Q118">
        <f>IF(Table1[[#This Row],[trestbps]]&gt;=130, 1, 0)</f>
        <v>1</v>
      </c>
      <c r="R118">
        <f>IF(AND(Table1[[#This Row],[target]]=1,OR(Table1[[#This Row],[cp]]=0,Table1[[#This Row],[cp]]=1,Table1[[#This Row],[cp]]=2,Table1[[#This Row],[cp]])),1,0)</f>
        <v>0</v>
      </c>
      <c r="S118">
        <f>IF(AND(Table1[[#This Row],[Chest Pain + Target]]=1,Table1[[#This Row],[trestbps]]&gt;=130),1,0)</f>
        <v>0</v>
      </c>
      <c r="T118">
        <f>IF(AND(Table1[[#This Row],[Add BP]]=1,Table1[[#This Row],[chol]]&gt;=200),1,0)</f>
        <v>0</v>
      </c>
      <c r="U118">
        <f>IF(AND(Table1[[#This Row],[Add Cholestrol]]=1,Table1[[#This Row],[slope]]&gt;=2),1,0)</f>
        <v>0</v>
      </c>
      <c r="V118">
        <f>COUNTIFS(Table1[target],1)</f>
        <v>165</v>
      </c>
    </row>
    <row r="119" spans="1:22" x14ac:dyDescent="0.25">
      <c r="A119">
        <v>61</v>
      </c>
      <c r="B119">
        <v>1</v>
      </c>
      <c r="C119">
        <v>3</v>
      </c>
      <c r="D119">
        <v>134</v>
      </c>
      <c r="E119">
        <v>234</v>
      </c>
      <c r="F119">
        <v>0</v>
      </c>
      <c r="G119">
        <v>1</v>
      </c>
      <c r="H119">
        <v>145</v>
      </c>
      <c r="I119">
        <v>0</v>
      </c>
      <c r="J119">
        <v>2.6</v>
      </c>
      <c r="K119">
        <v>1</v>
      </c>
      <c r="L119">
        <v>2</v>
      </c>
      <c r="M119">
        <v>2</v>
      </c>
      <c r="N119">
        <v>0</v>
      </c>
      <c r="O119" t="str">
        <f>IF(Table1[[#This Row],[sex]]=1,"Male","Female")</f>
        <v>Male</v>
      </c>
      <c r="P119" t="str">
        <f>IF(Table1[[#This Row],[cp]]=0,"Typical Angina",IF(Table1[[#This Row],[cp]]=1,"Atypical Angina",IF(Table1[[#This Row],[cp]]=2,"Non-Anginal Pain","Asymptomatic")))</f>
        <v>Asymptomatic</v>
      </c>
      <c r="Q119">
        <f>IF(Table1[[#This Row],[trestbps]]&gt;=130, 1, 0)</f>
        <v>1</v>
      </c>
      <c r="R119">
        <f>IF(AND(Table1[[#This Row],[target]]=1,OR(Table1[[#This Row],[cp]]=0,Table1[[#This Row],[cp]]=1,Table1[[#This Row],[cp]]=2,Table1[[#This Row],[cp]])),1,0)</f>
        <v>0</v>
      </c>
      <c r="S119">
        <f>IF(AND(Table1[[#This Row],[Chest Pain + Target]]=1,Table1[[#This Row],[trestbps]]&gt;=130),1,0)</f>
        <v>0</v>
      </c>
      <c r="T119">
        <f>IF(AND(Table1[[#This Row],[Add BP]]=1,Table1[[#This Row],[chol]]&gt;=200),1,0)</f>
        <v>0</v>
      </c>
      <c r="U119">
        <f>IF(AND(Table1[[#This Row],[Add Cholestrol]]=1,Table1[[#This Row],[slope]]&gt;=2),1,0)</f>
        <v>0</v>
      </c>
      <c r="V119">
        <f>COUNTIFS(Table1[target],1)</f>
        <v>165</v>
      </c>
    </row>
    <row r="120" spans="1:22" x14ac:dyDescent="0.25">
      <c r="A120">
        <v>62</v>
      </c>
      <c r="B120">
        <v>1</v>
      </c>
      <c r="C120">
        <v>2</v>
      </c>
      <c r="D120">
        <v>130</v>
      </c>
      <c r="E120">
        <v>231</v>
      </c>
      <c r="F120">
        <v>0</v>
      </c>
      <c r="G120">
        <v>1</v>
      </c>
      <c r="H120">
        <v>146</v>
      </c>
      <c r="I120">
        <v>0</v>
      </c>
      <c r="J120">
        <v>1.8</v>
      </c>
      <c r="K120">
        <v>1</v>
      </c>
      <c r="L120">
        <v>3</v>
      </c>
      <c r="M120">
        <v>3</v>
      </c>
      <c r="N120">
        <v>1</v>
      </c>
      <c r="O120" t="str">
        <f>IF(Table1[[#This Row],[sex]]=1,"Male","Female")</f>
        <v>Male</v>
      </c>
      <c r="P120" t="str">
        <f>IF(Table1[[#This Row],[cp]]=0,"Typical Angina",IF(Table1[[#This Row],[cp]]=1,"Atypical Angina",IF(Table1[[#This Row],[cp]]=2,"Non-Anginal Pain","Asymptomatic")))</f>
        <v>Non-Anginal Pain</v>
      </c>
      <c r="Q120">
        <f>IF(Table1[[#This Row],[trestbps]]&gt;=130, 1, 0)</f>
        <v>1</v>
      </c>
      <c r="R120">
        <f>IF(AND(Table1[[#This Row],[target]]=1,OR(Table1[[#This Row],[cp]]=0,Table1[[#This Row],[cp]]=1,Table1[[#This Row],[cp]]=2,Table1[[#This Row],[cp]])),1,0)</f>
        <v>1</v>
      </c>
      <c r="S120">
        <f>IF(AND(Table1[[#This Row],[Chest Pain + Target]]=1,Table1[[#This Row],[trestbps]]&gt;=130),1,0)</f>
        <v>1</v>
      </c>
      <c r="T120">
        <f>IF(AND(Table1[[#This Row],[Add BP]]=1,Table1[[#This Row],[chol]]&gt;=200),1,0)</f>
        <v>1</v>
      </c>
      <c r="U120">
        <f>IF(AND(Table1[[#This Row],[Add Cholestrol]]=1,Table1[[#This Row],[slope]]&gt;=2),1,0)</f>
        <v>0</v>
      </c>
      <c r="V120">
        <f>COUNTIFS(Table1[target],1)</f>
        <v>165</v>
      </c>
    </row>
    <row r="121" spans="1:22" x14ac:dyDescent="0.25">
      <c r="A121">
        <v>61</v>
      </c>
      <c r="B121">
        <v>0</v>
      </c>
      <c r="C121">
        <v>0</v>
      </c>
      <c r="D121">
        <v>145</v>
      </c>
      <c r="E121">
        <v>307</v>
      </c>
      <c r="F121">
        <v>0</v>
      </c>
      <c r="G121">
        <v>0</v>
      </c>
      <c r="H121">
        <v>146</v>
      </c>
      <c r="I121">
        <v>1</v>
      </c>
      <c r="J121">
        <v>1</v>
      </c>
      <c r="K121">
        <v>1</v>
      </c>
      <c r="L121">
        <v>0</v>
      </c>
      <c r="M121">
        <v>3</v>
      </c>
      <c r="N121">
        <v>0</v>
      </c>
      <c r="O121" t="str">
        <f>IF(Table1[[#This Row],[sex]]=1,"Male","Female")</f>
        <v>Female</v>
      </c>
      <c r="P121" t="str">
        <f>IF(Table1[[#This Row],[cp]]=0,"Typical Angina",IF(Table1[[#This Row],[cp]]=1,"Atypical Angina",IF(Table1[[#This Row],[cp]]=2,"Non-Anginal Pain","Asymptomatic")))</f>
        <v>Typical Angina</v>
      </c>
      <c r="Q121">
        <f>IF(Table1[[#This Row],[trestbps]]&gt;=130, 1, 0)</f>
        <v>1</v>
      </c>
      <c r="R121">
        <f>IF(AND(Table1[[#This Row],[target]]=1,OR(Table1[[#This Row],[cp]]=0,Table1[[#This Row],[cp]]=1,Table1[[#This Row],[cp]]=2,Table1[[#This Row],[cp]])),1,0)</f>
        <v>0</v>
      </c>
      <c r="S121">
        <f>IF(AND(Table1[[#This Row],[Chest Pain + Target]]=1,Table1[[#This Row],[trestbps]]&gt;=130),1,0)</f>
        <v>0</v>
      </c>
      <c r="T121">
        <f>IF(AND(Table1[[#This Row],[Add BP]]=1,Table1[[#This Row],[chol]]&gt;=200),1,0)</f>
        <v>0</v>
      </c>
      <c r="U121">
        <f>IF(AND(Table1[[#This Row],[Add Cholestrol]]=1,Table1[[#This Row],[slope]]&gt;=2),1,0)</f>
        <v>0</v>
      </c>
      <c r="V121">
        <f>COUNTIFS(Table1[target],1)</f>
        <v>165</v>
      </c>
    </row>
    <row r="122" spans="1:22" x14ac:dyDescent="0.25">
      <c r="A122">
        <v>69</v>
      </c>
      <c r="B122">
        <v>1</v>
      </c>
      <c r="C122">
        <v>2</v>
      </c>
      <c r="D122">
        <v>140</v>
      </c>
      <c r="E122">
        <v>254</v>
      </c>
      <c r="F122">
        <v>0</v>
      </c>
      <c r="G122">
        <v>0</v>
      </c>
      <c r="H122">
        <v>146</v>
      </c>
      <c r="I122">
        <v>0</v>
      </c>
      <c r="J122">
        <v>2</v>
      </c>
      <c r="K122">
        <v>1</v>
      </c>
      <c r="L122">
        <v>3</v>
      </c>
      <c r="M122">
        <v>3</v>
      </c>
      <c r="N122">
        <v>0</v>
      </c>
      <c r="O122" t="str">
        <f>IF(Table1[[#This Row],[sex]]=1,"Male","Female")</f>
        <v>Male</v>
      </c>
      <c r="P122" t="str">
        <f>IF(Table1[[#This Row],[cp]]=0,"Typical Angina",IF(Table1[[#This Row],[cp]]=1,"Atypical Angina",IF(Table1[[#This Row],[cp]]=2,"Non-Anginal Pain","Asymptomatic")))</f>
        <v>Non-Anginal Pain</v>
      </c>
      <c r="Q122">
        <f>IF(Table1[[#This Row],[trestbps]]&gt;=130, 1, 0)</f>
        <v>1</v>
      </c>
      <c r="R122">
        <f>IF(AND(Table1[[#This Row],[target]]=1,OR(Table1[[#This Row],[cp]]=0,Table1[[#This Row],[cp]]=1,Table1[[#This Row],[cp]]=2,Table1[[#This Row],[cp]])),1,0)</f>
        <v>0</v>
      </c>
      <c r="S122">
        <f>IF(AND(Table1[[#This Row],[Chest Pain + Target]]=1,Table1[[#This Row],[trestbps]]&gt;=130),1,0)</f>
        <v>0</v>
      </c>
      <c r="T122">
        <f>IF(AND(Table1[[#This Row],[Add BP]]=1,Table1[[#This Row],[chol]]&gt;=200),1,0)</f>
        <v>0</v>
      </c>
      <c r="U122">
        <f>IF(AND(Table1[[#This Row],[Add Cholestrol]]=1,Table1[[#This Row],[slope]]&gt;=2),1,0)</f>
        <v>0</v>
      </c>
      <c r="V122">
        <f>COUNTIFS(Table1[target],1)</f>
        <v>165</v>
      </c>
    </row>
    <row r="123" spans="1:22" x14ac:dyDescent="0.25">
      <c r="A123">
        <v>58</v>
      </c>
      <c r="B123">
        <v>0</v>
      </c>
      <c r="C123">
        <v>0</v>
      </c>
      <c r="D123">
        <v>170</v>
      </c>
      <c r="E123">
        <v>225</v>
      </c>
      <c r="F123">
        <v>1</v>
      </c>
      <c r="G123">
        <v>0</v>
      </c>
      <c r="H123">
        <v>146</v>
      </c>
      <c r="I123">
        <v>1</v>
      </c>
      <c r="J123">
        <v>2.8</v>
      </c>
      <c r="K123">
        <v>1</v>
      </c>
      <c r="L123">
        <v>2</v>
      </c>
      <c r="M123">
        <v>1</v>
      </c>
      <c r="N123">
        <v>0</v>
      </c>
      <c r="O123" t="str">
        <f>IF(Table1[[#This Row],[sex]]=1,"Male","Female")</f>
        <v>Female</v>
      </c>
      <c r="P123" t="str">
        <f>IF(Table1[[#This Row],[cp]]=0,"Typical Angina",IF(Table1[[#This Row],[cp]]=1,"Atypical Angina",IF(Table1[[#This Row],[cp]]=2,"Non-Anginal Pain","Asymptomatic")))</f>
        <v>Typical Angina</v>
      </c>
      <c r="Q123">
        <f>IF(Table1[[#This Row],[trestbps]]&gt;=130, 1, 0)</f>
        <v>1</v>
      </c>
      <c r="R123">
        <f>IF(AND(Table1[[#This Row],[target]]=1,OR(Table1[[#This Row],[cp]]=0,Table1[[#This Row],[cp]]=1,Table1[[#This Row],[cp]]=2,Table1[[#This Row],[cp]])),1,0)</f>
        <v>0</v>
      </c>
      <c r="S123">
        <f>IF(AND(Table1[[#This Row],[Chest Pain + Target]]=1,Table1[[#This Row],[trestbps]]&gt;=130),1,0)</f>
        <v>0</v>
      </c>
      <c r="T123">
        <f>IF(AND(Table1[[#This Row],[Add BP]]=1,Table1[[#This Row],[chol]]&gt;=200),1,0)</f>
        <v>0</v>
      </c>
      <c r="U123">
        <f>IF(AND(Table1[[#This Row],[Add Cholestrol]]=1,Table1[[#This Row],[slope]]&gt;=2),1,0)</f>
        <v>0</v>
      </c>
      <c r="V123">
        <f>COUNTIFS(Table1[target],1)</f>
        <v>165</v>
      </c>
    </row>
    <row r="124" spans="1:22" x14ac:dyDescent="0.25">
      <c r="A124">
        <v>54</v>
      </c>
      <c r="B124">
        <v>1</v>
      </c>
      <c r="C124">
        <v>2</v>
      </c>
      <c r="D124">
        <v>120</v>
      </c>
      <c r="E124">
        <v>258</v>
      </c>
      <c r="F124">
        <v>0</v>
      </c>
      <c r="G124">
        <v>0</v>
      </c>
      <c r="H124">
        <v>147</v>
      </c>
      <c r="I124">
        <v>0</v>
      </c>
      <c r="J124">
        <v>0.4</v>
      </c>
      <c r="K124">
        <v>1</v>
      </c>
      <c r="L124">
        <v>0</v>
      </c>
      <c r="M124">
        <v>3</v>
      </c>
      <c r="N124">
        <v>1</v>
      </c>
      <c r="O124" t="str">
        <f>IF(Table1[[#This Row],[sex]]=1,"Male","Female")</f>
        <v>Male</v>
      </c>
      <c r="P124" t="str">
        <f>IF(Table1[[#This Row],[cp]]=0,"Typical Angina",IF(Table1[[#This Row],[cp]]=1,"Atypical Angina",IF(Table1[[#This Row],[cp]]=2,"Non-Anginal Pain","Asymptomatic")))</f>
        <v>Non-Anginal Pain</v>
      </c>
      <c r="Q124">
        <f>IF(Table1[[#This Row],[trestbps]]&gt;=130, 1, 0)</f>
        <v>0</v>
      </c>
      <c r="R124">
        <f>IF(AND(Table1[[#This Row],[target]]=1,OR(Table1[[#This Row],[cp]]=0,Table1[[#This Row],[cp]]=1,Table1[[#This Row],[cp]]=2,Table1[[#This Row],[cp]])),1,0)</f>
        <v>1</v>
      </c>
      <c r="S124">
        <f>IF(AND(Table1[[#This Row],[Chest Pain + Target]]=1,Table1[[#This Row],[trestbps]]&gt;=130),1,0)</f>
        <v>0</v>
      </c>
      <c r="T124">
        <f>IF(AND(Table1[[#This Row],[Add BP]]=1,Table1[[#This Row],[chol]]&gt;=200),1,0)</f>
        <v>0</v>
      </c>
      <c r="U124">
        <f>IF(AND(Table1[[#This Row],[Add Cholestrol]]=1,Table1[[#This Row],[slope]]&gt;=2),1,0)</f>
        <v>0</v>
      </c>
      <c r="V124">
        <f>COUNTIFS(Table1[target],1)</f>
        <v>165</v>
      </c>
    </row>
    <row r="125" spans="1:22" x14ac:dyDescent="0.25">
      <c r="A125">
        <v>52</v>
      </c>
      <c r="B125">
        <v>1</v>
      </c>
      <c r="C125">
        <v>0</v>
      </c>
      <c r="D125">
        <v>108</v>
      </c>
      <c r="E125">
        <v>233</v>
      </c>
      <c r="F125">
        <v>1</v>
      </c>
      <c r="G125">
        <v>1</v>
      </c>
      <c r="H125">
        <v>147</v>
      </c>
      <c r="I125">
        <v>0</v>
      </c>
      <c r="J125">
        <v>0.1</v>
      </c>
      <c r="K125">
        <v>2</v>
      </c>
      <c r="L125">
        <v>3</v>
      </c>
      <c r="M125">
        <v>3</v>
      </c>
      <c r="N125">
        <v>1</v>
      </c>
      <c r="O125" t="str">
        <f>IF(Table1[[#This Row],[sex]]=1,"Male","Female")</f>
        <v>Male</v>
      </c>
      <c r="P125" t="str">
        <f>IF(Table1[[#This Row],[cp]]=0,"Typical Angina",IF(Table1[[#This Row],[cp]]=1,"Atypical Angina",IF(Table1[[#This Row],[cp]]=2,"Non-Anginal Pain","Asymptomatic")))</f>
        <v>Typical Angina</v>
      </c>
      <c r="Q125">
        <f>IF(Table1[[#This Row],[trestbps]]&gt;=130, 1, 0)</f>
        <v>0</v>
      </c>
      <c r="R125">
        <f>IF(AND(Table1[[#This Row],[target]]=1,OR(Table1[[#This Row],[cp]]=0,Table1[[#This Row],[cp]]=1,Table1[[#This Row],[cp]]=2,Table1[[#This Row],[cp]])),1,0)</f>
        <v>1</v>
      </c>
      <c r="S125">
        <f>IF(AND(Table1[[#This Row],[Chest Pain + Target]]=1,Table1[[#This Row],[trestbps]]&gt;=130),1,0)</f>
        <v>0</v>
      </c>
      <c r="T125">
        <f>IF(AND(Table1[[#This Row],[Add BP]]=1,Table1[[#This Row],[chol]]&gt;=200),1,0)</f>
        <v>0</v>
      </c>
      <c r="U125">
        <f>IF(AND(Table1[[#This Row],[Add Cholestrol]]=1,Table1[[#This Row],[slope]]&gt;=2),1,0)</f>
        <v>0</v>
      </c>
      <c r="V125">
        <f>COUNTIFS(Table1[target],1)</f>
        <v>165</v>
      </c>
    </row>
    <row r="126" spans="1:22" x14ac:dyDescent="0.25">
      <c r="A126">
        <v>63</v>
      </c>
      <c r="B126">
        <v>1</v>
      </c>
      <c r="C126">
        <v>0</v>
      </c>
      <c r="D126">
        <v>130</v>
      </c>
      <c r="E126">
        <v>254</v>
      </c>
      <c r="F126">
        <v>0</v>
      </c>
      <c r="G126">
        <v>0</v>
      </c>
      <c r="H126">
        <v>147</v>
      </c>
      <c r="I126">
        <v>0</v>
      </c>
      <c r="J126">
        <v>1.4</v>
      </c>
      <c r="K126">
        <v>1</v>
      </c>
      <c r="L126">
        <v>1</v>
      </c>
      <c r="M126">
        <v>3</v>
      </c>
      <c r="N126">
        <v>0</v>
      </c>
      <c r="O126" t="str">
        <f>IF(Table1[[#This Row],[sex]]=1,"Male","Female")</f>
        <v>Male</v>
      </c>
      <c r="P126" t="str">
        <f>IF(Table1[[#This Row],[cp]]=0,"Typical Angina",IF(Table1[[#This Row],[cp]]=1,"Atypical Angina",IF(Table1[[#This Row],[cp]]=2,"Non-Anginal Pain","Asymptomatic")))</f>
        <v>Typical Angina</v>
      </c>
      <c r="Q126">
        <f>IF(Table1[[#This Row],[trestbps]]&gt;=130, 1, 0)</f>
        <v>1</v>
      </c>
      <c r="R126">
        <f>IF(AND(Table1[[#This Row],[target]]=1,OR(Table1[[#This Row],[cp]]=0,Table1[[#This Row],[cp]]=1,Table1[[#This Row],[cp]]=2,Table1[[#This Row],[cp]])),1,0)</f>
        <v>0</v>
      </c>
      <c r="S126">
        <f>IF(AND(Table1[[#This Row],[Chest Pain + Target]]=1,Table1[[#This Row],[trestbps]]&gt;=130),1,0)</f>
        <v>0</v>
      </c>
      <c r="T126">
        <f>IF(AND(Table1[[#This Row],[Add BP]]=1,Table1[[#This Row],[chol]]&gt;=200),1,0)</f>
        <v>0</v>
      </c>
      <c r="U126">
        <f>IF(AND(Table1[[#This Row],[Add Cholestrol]]=1,Table1[[#This Row],[slope]]&gt;=2),1,0)</f>
        <v>0</v>
      </c>
      <c r="V126">
        <f>COUNTIFS(Table1[target],1)</f>
        <v>165</v>
      </c>
    </row>
    <row r="127" spans="1:22" x14ac:dyDescent="0.25">
      <c r="A127">
        <v>46</v>
      </c>
      <c r="B127">
        <v>1</v>
      </c>
      <c r="C127">
        <v>2</v>
      </c>
      <c r="D127">
        <v>150</v>
      </c>
      <c r="E127">
        <v>231</v>
      </c>
      <c r="F127">
        <v>0</v>
      </c>
      <c r="G127">
        <v>1</v>
      </c>
      <c r="H127">
        <v>147</v>
      </c>
      <c r="I127">
        <v>0</v>
      </c>
      <c r="J127">
        <v>3.6</v>
      </c>
      <c r="K127">
        <v>1</v>
      </c>
      <c r="L127">
        <v>0</v>
      </c>
      <c r="M127">
        <v>2</v>
      </c>
      <c r="N127">
        <v>0</v>
      </c>
      <c r="O127" t="str">
        <f>IF(Table1[[#This Row],[sex]]=1,"Male","Female")</f>
        <v>Male</v>
      </c>
      <c r="P127" t="str">
        <f>IF(Table1[[#This Row],[cp]]=0,"Typical Angina",IF(Table1[[#This Row],[cp]]=1,"Atypical Angina",IF(Table1[[#This Row],[cp]]=2,"Non-Anginal Pain","Asymptomatic")))</f>
        <v>Non-Anginal Pain</v>
      </c>
      <c r="Q127">
        <f>IF(Table1[[#This Row],[trestbps]]&gt;=130, 1, 0)</f>
        <v>1</v>
      </c>
      <c r="R127">
        <f>IF(AND(Table1[[#This Row],[target]]=1,OR(Table1[[#This Row],[cp]]=0,Table1[[#This Row],[cp]]=1,Table1[[#This Row],[cp]]=2,Table1[[#This Row],[cp]])),1,0)</f>
        <v>0</v>
      </c>
      <c r="S127">
        <f>IF(AND(Table1[[#This Row],[Chest Pain + Target]]=1,Table1[[#This Row],[trestbps]]&gt;=130),1,0)</f>
        <v>0</v>
      </c>
      <c r="T127">
        <f>IF(AND(Table1[[#This Row],[Add BP]]=1,Table1[[#This Row],[chol]]&gt;=200),1,0)</f>
        <v>0</v>
      </c>
      <c r="U127">
        <f>IF(AND(Table1[[#This Row],[Add Cholestrol]]=1,Table1[[#This Row],[slope]]&gt;=2),1,0)</f>
        <v>0</v>
      </c>
      <c r="V127">
        <f>COUNTIFS(Table1[target],1)</f>
        <v>165</v>
      </c>
    </row>
    <row r="128" spans="1:22" x14ac:dyDescent="0.25">
      <c r="A128">
        <v>45</v>
      </c>
      <c r="B128">
        <v>1</v>
      </c>
      <c r="C128">
        <v>0</v>
      </c>
      <c r="D128">
        <v>142</v>
      </c>
      <c r="E128">
        <v>309</v>
      </c>
      <c r="F128">
        <v>0</v>
      </c>
      <c r="G128">
        <v>0</v>
      </c>
      <c r="H128">
        <v>147</v>
      </c>
      <c r="I128">
        <v>1</v>
      </c>
      <c r="J128">
        <v>0</v>
      </c>
      <c r="K128">
        <v>1</v>
      </c>
      <c r="L128">
        <v>3</v>
      </c>
      <c r="M128">
        <v>3</v>
      </c>
      <c r="N128">
        <v>0</v>
      </c>
      <c r="O128" t="str">
        <f>IF(Table1[[#This Row],[sex]]=1,"Male","Female")</f>
        <v>Male</v>
      </c>
      <c r="P128" t="str">
        <f>IF(Table1[[#This Row],[cp]]=0,"Typical Angina",IF(Table1[[#This Row],[cp]]=1,"Atypical Angina",IF(Table1[[#This Row],[cp]]=2,"Non-Anginal Pain","Asymptomatic")))</f>
        <v>Typical Angina</v>
      </c>
      <c r="Q128">
        <f>IF(Table1[[#This Row],[trestbps]]&gt;=130, 1, 0)</f>
        <v>1</v>
      </c>
      <c r="R128">
        <f>IF(AND(Table1[[#This Row],[target]]=1,OR(Table1[[#This Row],[cp]]=0,Table1[[#This Row],[cp]]=1,Table1[[#This Row],[cp]]=2,Table1[[#This Row],[cp]])),1,0)</f>
        <v>0</v>
      </c>
      <c r="S128">
        <f>IF(AND(Table1[[#This Row],[Chest Pain + Target]]=1,Table1[[#This Row],[trestbps]]&gt;=130),1,0)</f>
        <v>0</v>
      </c>
      <c r="T128">
        <f>IF(AND(Table1[[#This Row],[Add BP]]=1,Table1[[#This Row],[chol]]&gt;=200),1,0)</f>
        <v>0</v>
      </c>
      <c r="U128">
        <f>IF(AND(Table1[[#This Row],[Add Cholestrol]]=1,Table1[[#This Row],[slope]]&gt;=2),1,0)</f>
        <v>0</v>
      </c>
      <c r="V128">
        <f>COUNTIFS(Table1[target],1)</f>
        <v>165</v>
      </c>
    </row>
    <row r="129" spans="1:22" x14ac:dyDescent="0.25">
      <c r="A129">
        <v>57</v>
      </c>
      <c r="B129">
        <v>1</v>
      </c>
      <c r="C129">
        <v>0</v>
      </c>
      <c r="D129">
        <v>140</v>
      </c>
      <c r="E129">
        <v>192</v>
      </c>
      <c r="F129">
        <v>0</v>
      </c>
      <c r="G129">
        <v>1</v>
      </c>
      <c r="H129">
        <v>148</v>
      </c>
      <c r="I129">
        <v>0</v>
      </c>
      <c r="J129">
        <v>0.4</v>
      </c>
      <c r="K129">
        <v>1</v>
      </c>
      <c r="L129">
        <v>0</v>
      </c>
      <c r="M129">
        <v>1</v>
      </c>
      <c r="N129">
        <v>1</v>
      </c>
      <c r="O129" t="str">
        <f>IF(Table1[[#This Row],[sex]]=1,"Male","Female")</f>
        <v>Male</v>
      </c>
      <c r="P129" t="str">
        <f>IF(Table1[[#This Row],[cp]]=0,"Typical Angina",IF(Table1[[#This Row],[cp]]=1,"Atypical Angina",IF(Table1[[#This Row],[cp]]=2,"Non-Anginal Pain","Asymptomatic")))</f>
        <v>Typical Angina</v>
      </c>
      <c r="Q129">
        <f>IF(Table1[[#This Row],[trestbps]]&gt;=130, 1, 0)</f>
        <v>1</v>
      </c>
      <c r="R129">
        <f>IF(AND(Table1[[#This Row],[target]]=1,OR(Table1[[#This Row],[cp]]=0,Table1[[#This Row],[cp]]=1,Table1[[#This Row],[cp]]=2,Table1[[#This Row],[cp]])),1,0)</f>
        <v>1</v>
      </c>
      <c r="S129">
        <f>IF(AND(Table1[[#This Row],[Chest Pain + Target]]=1,Table1[[#This Row],[trestbps]]&gt;=130),1,0)</f>
        <v>1</v>
      </c>
      <c r="T129">
        <f>IF(AND(Table1[[#This Row],[Add BP]]=1,Table1[[#This Row],[chol]]&gt;=200),1,0)</f>
        <v>0</v>
      </c>
      <c r="U129">
        <f>IF(AND(Table1[[#This Row],[Add Cholestrol]]=1,Table1[[#This Row],[slope]]&gt;=2),1,0)</f>
        <v>0</v>
      </c>
      <c r="V129">
        <f>COUNTIFS(Table1[target],1)</f>
        <v>165</v>
      </c>
    </row>
    <row r="130" spans="1:22" x14ac:dyDescent="0.25">
      <c r="A130">
        <v>65</v>
      </c>
      <c r="B130">
        <v>0</v>
      </c>
      <c r="C130">
        <v>2</v>
      </c>
      <c r="D130">
        <v>155</v>
      </c>
      <c r="E130">
        <v>269</v>
      </c>
      <c r="F130">
        <v>0</v>
      </c>
      <c r="G130">
        <v>1</v>
      </c>
      <c r="H130">
        <v>148</v>
      </c>
      <c r="I130">
        <v>0</v>
      </c>
      <c r="J130">
        <v>0.8</v>
      </c>
      <c r="K130">
        <v>2</v>
      </c>
      <c r="L130">
        <v>0</v>
      </c>
      <c r="M130">
        <v>2</v>
      </c>
      <c r="N130">
        <v>1</v>
      </c>
      <c r="O130" t="str">
        <f>IF(Table1[[#This Row],[sex]]=1,"Male","Female")</f>
        <v>Female</v>
      </c>
      <c r="P130" t="str">
        <f>IF(Table1[[#This Row],[cp]]=0,"Typical Angina",IF(Table1[[#This Row],[cp]]=1,"Atypical Angina",IF(Table1[[#This Row],[cp]]=2,"Non-Anginal Pain","Asymptomatic")))</f>
        <v>Non-Anginal Pain</v>
      </c>
      <c r="Q130">
        <f>IF(Table1[[#This Row],[trestbps]]&gt;=130, 1, 0)</f>
        <v>1</v>
      </c>
      <c r="R130">
        <f>IF(AND(Table1[[#This Row],[target]]=1,OR(Table1[[#This Row],[cp]]=0,Table1[[#This Row],[cp]]=1,Table1[[#This Row],[cp]]=2,Table1[[#This Row],[cp]])),1,0)</f>
        <v>1</v>
      </c>
      <c r="S130">
        <f>IF(AND(Table1[[#This Row],[Chest Pain + Target]]=1,Table1[[#This Row],[trestbps]]&gt;=130),1,0)</f>
        <v>1</v>
      </c>
      <c r="T130">
        <f>IF(AND(Table1[[#This Row],[Add BP]]=1,Table1[[#This Row],[chol]]&gt;=200),1,0)</f>
        <v>1</v>
      </c>
      <c r="U130">
        <f>IF(AND(Table1[[#This Row],[Add Cholestrol]]=1,Table1[[#This Row],[slope]]&gt;=2),1,0)</f>
        <v>1</v>
      </c>
      <c r="V130">
        <f>COUNTIFS(Table1[target],1)</f>
        <v>165</v>
      </c>
    </row>
    <row r="131" spans="1:22" x14ac:dyDescent="0.25">
      <c r="A131">
        <v>45</v>
      </c>
      <c r="B131">
        <v>1</v>
      </c>
      <c r="C131">
        <v>0</v>
      </c>
      <c r="D131">
        <v>104</v>
      </c>
      <c r="E131">
        <v>208</v>
      </c>
      <c r="F131">
        <v>0</v>
      </c>
      <c r="G131">
        <v>0</v>
      </c>
      <c r="H131">
        <v>148</v>
      </c>
      <c r="I131">
        <v>1</v>
      </c>
      <c r="J131">
        <v>3</v>
      </c>
      <c r="K131">
        <v>1</v>
      </c>
      <c r="L131">
        <v>0</v>
      </c>
      <c r="M131">
        <v>2</v>
      </c>
      <c r="N131">
        <v>1</v>
      </c>
      <c r="O131" t="str">
        <f>IF(Table1[[#This Row],[sex]]=1,"Male","Female")</f>
        <v>Male</v>
      </c>
      <c r="P131" t="str">
        <f>IF(Table1[[#This Row],[cp]]=0,"Typical Angina",IF(Table1[[#This Row],[cp]]=1,"Atypical Angina",IF(Table1[[#This Row],[cp]]=2,"Non-Anginal Pain","Asymptomatic")))</f>
        <v>Typical Angina</v>
      </c>
      <c r="Q131">
        <f>IF(Table1[[#This Row],[trestbps]]&gt;=130, 1, 0)</f>
        <v>0</v>
      </c>
      <c r="R131">
        <f>IF(AND(Table1[[#This Row],[target]]=1,OR(Table1[[#This Row],[cp]]=0,Table1[[#This Row],[cp]]=1,Table1[[#This Row],[cp]]=2,Table1[[#This Row],[cp]])),1,0)</f>
        <v>1</v>
      </c>
      <c r="S131">
        <f>IF(AND(Table1[[#This Row],[Chest Pain + Target]]=1,Table1[[#This Row],[trestbps]]&gt;=130),1,0)</f>
        <v>0</v>
      </c>
      <c r="T131">
        <f>IF(AND(Table1[[#This Row],[Add BP]]=1,Table1[[#This Row],[chol]]&gt;=200),1,0)</f>
        <v>0</v>
      </c>
      <c r="U131">
        <f>IF(AND(Table1[[#This Row],[Add Cholestrol]]=1,Table1[[#This Row],[slope]]&gt;=2),1,0)</f>
        <v>0</v>
      </c>
      <c r="V131">
        <f>COUNTIFS(Table1[target],1)</f>
        <v>165</v>
      </c>
    </row>
    <row r="132" spans="1:22" x14ac:dyDescent="0.25">
      <c r="A132">
        <v>51</v>
      </c>
      <c r="B132">
        <v>0</v>
      </c>
      <c r="C132">
        <v>2</v>
      </c>
      <c r="D132">
        <v>130</v>
      </c>
      <c r="E132">
        <v>256</v>
      </c>
      <c r="F132">
        <v>0</v>
      </c>
      <c r="G132">
        <v>0</v>
      </c>
      <c r="H132">
        <v>149</v>
      </c>
      <c r="I132">
        <v>0</v>
      </c>
      <c r="J132">
        <v>0.5</v>
      </c>
      <c r="K132">
        <v>2</v>
      </c>
      <c r="L132">
        <v>0</v>
      </c>
      <c r="M132">
        <v>2</v>
      </c>
      <c r="N132">
        <v>1</v>
      </c>
      <c r="O132" t="str">
        <f>IF(Table1[[#This Row],[sex]]=1,"Male","Female")</f>
        <v>Female</v>
      </c>
      <c r="P132" t="str">
        <f>IF(Table1[[#This Row],[cp]]=0,"Typical Angina",IF(Table1[[#This Row],[cp]]=1,"Atypical Angina",IF(Table1[[#This Row],[cp]]=2,"Non-Anginal Pain","Asymptomatic")))</f>
        <v>Non-Anginal Pain</v>
      </c>
      <c r="Q132">
        <f>IF(Table1[[#This Row],[trestbps]]&gt;=130, 1, 0)</f>
        <v>1</v>
      </c>
      <c r="R132">
        <f>IF(AND(Table1[[#This Row],[target]]=1,OR(Table1[[#This Row],[cp]]=0,Table1[[#This Row],[cp]]=1,Table1[[#This Row],[cp]]=2,Table1[[#This Row],[cp]])),1,0)</f>
        <v>1</v>
      </c>
      <c r="S132">
        <f>IF(AND(Table1[[#This Row],[Chest Pain + Target]]=1,Table1[[#This Row],[trestbps]]&gt;=130),1,0)</f>
        <v>1</v>
      </c>
      <c r="T132">
        <f>IF(AND(Table1[[#This Row],[Add BP]]=1,Table1[[#This Row],[chol]]&gt;=200),1,0)</f>
        <v>1</v>
      </c>
      <c r="U132">
        <f>IF(AND(Table1[[#This Row],[Add Cholestrol]]=1,Table1[[#This Row],[slope]]&gt;=2),1,0)</f>
        <v>1</v>
      </c>
      <c r="V132">
        <f>COUNTIFS(Table1[target],1)</f>
        <v>165</v>
      </c>
    </row>
    <row r="133" spans="1:22" x14ac:dyDescent="0.25">
      <c r="A133">
        <v>44</v>
      </c>
      <c r="B133">
        <v>0</v>
      </c>
      <c r="C133">
        <v>2</v>
      </c>
      <c r="D133">
        <v>118</v>
      </c>
      <c r="E133">
        <v>242</v>
      </c>
      <c r="F133">
        <v>0</v>
      </c>
      <c r="G133">
        <v>1</v>
      </c>
      <c r="H133">
        <v>149</v>
      </c>
      <c r="I133">
        <v>0</v>
      </c>
      <c r="J133">
        <v>0.3</v>
      </c>
      <c r="K133">
        <v>1</v>
      </c>
      <c r="L133">
        <v>1</v>
      </c>
      <c r="M133">
        <v>2</v>
      </c>
      <c r="N133">
        <v>1</v>
      </c>
      <c r="O133" t="str">
        <f>IF(Table1[[#This Row],[sex]]=1,"Male","Female")</f>
        <v>Female</v>
      </c>
      <c r="P133" t="str">
        <f>IF(Table1[[#This Row],[cp]]=0,"Typical Angina",IF(Table1[[#This Row],[cp]]=1,"Atypical Angina",IF(Table1[[#This Row],[cp]]=2,"Non-Anginal Pain","Asymptomatic")))</f>
        <v>Non-Anginal Pain</v>
      </c>
      <c r="Q133">
        <f>IF(Table1[[#This Row],[trestbps]]&gt;=130, 1, 0)</f>
        <v>0</v>
      </c>
      <c r="R133">
        <f>IF(AND(Table1[[#This Row],[target]]=1,OR(Table1[[#This Row],[cp]]=0,Table1[[#This Row],[cp]]=1,Table1[[#This Row],[cp]]=2,Table1[[#This Row],[cp]])),1,0)</f>
        <v>1</v>
      </c>
      <c r="S133">
        <f>IF(AND(Table1[[#This Row],[Chest Pain + Target]]=1,Table1[[#This Row],[trestbps]]&gt;=130),1,0)</f>
        <v>0</v>
      </c>
      <c r="T133">
        <f>IF(AND(Table1[[#This Row],[Add BP]]=1,Table1[[#This Row],[chol]]&gt;=200),1,0)</f>
        <v>0</v>
      </c>
      <c r="U133">
        <f>IF(AND(Table1[[#This Row],[Add Cholestrol]]=1,Table1[[#This Row],[slope]]&gt;=2),1,0)</f>
        <v>0</v>
      </c>
      <c r="V133">
        <f>COUNTIFS(Table1[target],1)</f>
        <v>165</v>
      </c>
    </row>
    <row r="134" spans="1:22" x14ac:dyDescent="0.25">
      <c r="A134">
        <v>63</v>
      </c>
      <c r="B134">
        <v>1</v>
      </c>
      <c r="C134">
        <v>3</v>
      </c>
      <c r="D134">
        <v>145</v>
      </c>
      <c r="E134">
        <v>233</v>
      </c>
      <c r="F134">
        <v>1</v>
      </c>
      <c r="G134">
        <v>0</v>
      </c>
      <c r="H134">
        <v>150</v>
      </c>
      <c r="I134">
        <v>0</v>
      </c>
      <c r="J134">
        <v>2.2999999999999998</v>
      </c>
      <c r="K134">
        <v>0</v>
      </c>
      <c r="L134">
        <v>0</v>
      </c>
      <c r="M134">
        <v>1</v>
      </c>
      <c r="N134">
        <v>1</v>
      </c>
      <c r="O134" t="str">
        <f>IF(Table1[[#This Row],[sex]]=1,"Male","Female")</f>
        <v>Male</v>
      </c>
      <c r="P134" t="str">
        <f>IF(Table1[[#This Row],[cp]]=0,"Typical Angina",IF(Table1[[#This Row],[cp]]=1,"Atypical Angina",IF(Table1[[#This Row],[cp]]=2,"Non-Anginal Pain","Asymptomatic")))</f>
        <v>Asymptomatic</v>
      </c>
      <c r="Q134">
        <f>IF(Table1[[#This Row],[trestbps]]&gt;=130, 1, 0)</f>
        <v>1</v>
      </c>
      <c r="R134">
        <f>IF(AND(Table1[[#This Row],[target]]=1,OR(Table1[[#This Row],[cp]]=0,Table1[[#This Row],[cp]]=1,Table1[[#This Row],[cp]]=2,Table1[[#This Row],[cp]])),1,0)</f>
        <v>1</v>
      </c>
      <c r="S134">
        <f>IF(AND(Table1[[#This Row],[Chest Pain + Target]]=1,Table1[[#This Row],[trestbps]]&gt;=130),1,0)</f>
        <v>1</v>
      </c>
      <c r="T134">
        <f>IF(AND(Table1[[#This Row],[Add BP]]=1,Table1[[#This Row],[chol]]&gt;=200),1,0)</f>
        <v>1</v>
      </c>
      <c r="U134">
        <f>IF(AND(Table1[[#This Row],[Add Cholestrol]]=1,Table1[[#This Row],[slope]]&gt;=2),1,0)</f>
        <v>0</v>
      </c>
      <c r="V134">
        <f>COUNTIFS(Table1[target],1)</f>
        <v>165</v>
      </c>
    </row>
    <row r="135" spans="1:22" x14ac:dyDescent="0.25">
      <c r="A135">
        <v>42</v>
      </c>
      <c r="B135">
        <v>1</v>
      </c>
      <c r="C135">
        <v>2</v>
      </c>
      <c r="D135">
        <v>130</v>
      </c>
      <c r="E135">
        <v>180</v>
      </c>
      <c r="F135">
        <v>0</v>
      </c>
      <c r="G135">
        <v>1</v>
      </c>
      <c r="H135">
        <v>150</v>
      </c>
      <c r="I135">
        <v>0</v>
      </c>
      <c r="J135">
        <v>0</v>
      </c>
      <c r="K135">
        <v>2</v>
      </c>
      <c r="L135">
        <v>0</v>
      </c>
      <c r="M135">
        <v>2</v>
      </c>
      <c r="N135">
        <v>1</v>
      </c>
      <c r="O135" t="str">
        <f>IF(Table1[[#This Row],[sex]]=1,"Male","Female")</f>
        <v>Male</v>
      </c>
      <c r="P135" t="str">
        <f>IF(Table1[[#This Row],[cp]]=0,"Typical Angina",IF(Table1[[#This Row],[cp]]=1,"Atypical Angina",IF(Table1[[#This Row],[cp]]=2,"Non-Anginal Pain","Asymptomatic")))</f>
        <v>Non-Anginal Pain</v>
      </c>
      <c r="Q135">
        <f>IF(Table1[[#This Row],[trestbps]]&gt;=130, 1, 0)</f>
        <v>1</v>
      </c>
      <c r="R135">
        <f>IF(AND(Table1[[#This Row],[target]]=1,OR(Table1[[#This Row],[cp]]=0,Table1[[#This Row],[cp]]=1,Table1[[#This Row],[cp]]=2,Table1[[#This Row],[cp]])),1,0)</f>
        <v>1</v>
      </c>
      <c r="S135">
        <f>IF(AND(Table1[[#This Row],[Chest Pain + Target]]=1,Table1[[#This Row],[trestbps]]&gt;=130),1,0)</f>
        <v>1</v>
      </c>
      <c r="T135">
        <f>IF(AND(Table1[[#This Row],[Add BP]]=1,Table1[[#This Row],[chol]]&gt;=200),1,0)</f>
        <v>0</v>
      </c>
      <c r="U135">
        <f>IF(AND(Table1[[#This Row],[Add Cholestrol]]=1,Table1[[#This Row],[slope]]&gt;=2),1,0)</f>
        <v>0</v>
      </c>
      <c r="V135">
        <f>COUNTIFS(Table1[target],1)</f>
        <v>165</v>
      </c>
    </row>
    <row r="136" spans="1:22" x14ac:dyDescent="0.25">
      <c r="A136">
        <v>68</v>
      </c>
      <c r="B136">
        <v>1</v>
      </c>
      <c r="C136">
        <v>2</v>
      </c>
      <c r="D136">
        <v>180</v>
      </c>
      <c r="E136">
        <v>274</v>
      </c>
      <c r="F136">
        <v>1</v>
      </c>
      <c r="G136">
        <v>0</v>
      </c>
      <c r="H136">
        <v>150</v>
      </c>
      <c r="I136">
        <v>1</v>
      </c>
      <c r="J136">
        <v>1.6</v>
      </c>
      <c r="K136">
        <v>1</v>
      </c>
      <c r="L136">
        <v>0</v>
      </c>
      <c r="M136">
        <v>3</v>
      </c>
      <c r="N136">
        <v>0</v>
      </c>
      <c r="O136" t="str">
        <f>IF(Table1[[#This Row],[sex]]=1,"Male","Female")</f>
        <v>Male</v>
      </c>
      <c r="P136" t="str">
        <f>IF(Table1[[#This Row],[cp]]=0,"Typical Angina",IF(Table1[[#This Row],[cp]]=1,"Atypical Angina",IF(Table1[[#This Row],[cp]]=2,"Non-Anginal Pain","Asymptomatic")))</f>
        <v>Non-Anginal Pain</v>
      </c>
      <c r="Q136">
        <f>IF(Table1[[#This Row],[trestbps]]&gt;=130, 1, 0)</f>
        <v>1</v>
      </c>
      <c r="R136">
        <f>IF(AND(Table1[[#This Row],[target]]=1,OR(Table1[[#This Row],[cp]]=0,Table1[[#This Row],[cp]]=1,Table1[[#This Row],[cp]]=2,Table1[[#This Row],[cp]])),1,0)</f>
        <v>0</v>
      </c>
      <c r="S136">
        <f>IF(AND(Table1[[#This Row],[Chest Pain + Target]]=1,Table1[[#This Row],[trestbps]]&gt;=130),1,0)</f>
        <v>0</v>
      </c>
      <c r="T136">
        <f>IF(AND(Table1[[#This Row],[Add BP]]=1,Table1[[#This Row],[chol]]&gt;=200),1,0)</f>
        <v>0</v>
      </c>
      <c r="U136">
        <f>IF(AND(Table1[[#This Row],[Add Cholestrol]]=1,Table1[[#This Row],[slope]]&gt;=2),1,0)</f>
        <v>0</v>
      </c>
      <c r="V136">
        <f>COUNTIFS(Table1[target],1)</f>
        <v>165</v>
      </c>
    </row>
    <row r="137" spans="1:22" x14ac:dyDescent="0.25">
      <c r="A137">
        <v>57</v>
      </c>
      <c r="B137">
        <v>1</v>
      </c>
      <c r="C137">
        <v>2</v>
      </c>
      <c r="D137">
        <v>128</v>
      </c>
      <c r="E137">
        <v>229</v>
      </c>
      <c r="F137">
        <v>0</v>
      </c>
      <c r="G137">
        <v>0</v>
      </c>
      <c r="H137">
        <v>150</v>
      </c>
      <c r="I137">
        <v>0</v>
      </c>
      <c r="J137">
        <v>0.4</v>
      </c>
      <c r="K137">
        <v>1</v>
      </c>
      <c r="L137">
        <v>1</v>
      </c>
      <c r="M137">
        <v>3</v>
      </c>
      <c r="N137">
        <v>0</v>
      </c>
      <c r="O137" t="str">
        <f>IF(Table1[[#This Row],[sex]]=1,"Male","Female")</f>
        <v>Male</v>
      </c>
      <c r="P137" t="str">
        <f>IF(Table1[[#This Row],[cp]]=0,"Typical Angina",IF(Table1[[#This Row],[cp]]=1,"Atypical Angina",IF(Table1[[#This Row],[cp]]=2,"Non-Anginal Pain","Asymptomatic")))</f>
        <v>Non-Anginal Pain</v>
      </c>
      <c r="Q137">
        <f>IF(Table1[[#This Row],[trestbps]]&gt;=130, 1, 0)</f>
        <v>0</v>
      </c>
      <c r="R137">
        <f>IF(AND(Table1[[#This Row],[target]]=1,OR(Table1[[#This Row],[cp]]=0,Table1[[#This Row],[cp]]=1,Table1[[#This Row],[cp]]=2,Table1[[#This Row],[cp]])),1,0)</f>
        <v>0</v>
      </c>
      <c r="S137">
        <f>IF(AND(Table1[[#This Row],[Chest Pain + Target]]=1,Table1[[#This Row],[trestbps]]&gt;=130),1,0)</f>
        <v>0</v>
      </c>
      <c r="T137">
        <f>IF(AND(Table1[[#This Row],[Add BP]]=1,Table1[[#This Row],[chol]]&gt;=200),1,0)</f>
        <v>0</v>
      </c>
      <c r="U137">
        <f>IF(AND(Table1[[#This Row],[Add Cholestrol]]=1,Table1[[#This Row],[slope]]&gt;=2),1,0)</f>
        <v>0</v>
      </c>
      <c r="V137">
        <f>COUNTIFS(Table1[target],1)</f>
        <v>165</v>
      </c>
    </row>
    <row r="138" spans="1:22" x14ac:dyDescent="0.25">
      <c r="A138">
        <v>48</v>
      </c>
      <c r="B138">
        <v>1</v>
      </c>
      <c r="C138">
        <v>0</v>
      </c>
      <c r="D138">
        <v>130</v>
      </c>
      <c r="E138">
        <v>256</v>
      </c>
      <c r="F138">
        <v>1</v>
      </c>
      <c r="G138">
        <v>0</v>
      </c>
      <c r="H138">
        <v>150</v>
      </c>
      <c r="I138">
        <v>1</v>
      </c>
      <c r="J138">
        <v>0</v>
      </c>
      <c r="K138">
        <v>2</v>
      </c>
      <c r="L138">
        <v>2</v>
      </c>
      <c r="M138">
        <v>3</v>
      </c>
      <c r="N138">
        <v>0</v>
      </c>
      <c r="O138" t="str">
        <f>IF(Table1[[#This Row],[sex]]=1,"Male","Female")</f>
        <v>Male</v>
      </c>
      <c r="P138" t="str">
        <f>IF(Table1[[#This Row],[cp]]=0,"Typical Angina",IF(Table1[[#This Row],[cp]]=1,"Atypical Angina",IF(Table1[[#This Row],[cp]]=2,"Non-Anginal Pain","Asymptomatic")))</f>
        <v>Typical Angina</v>
      </c>
      <c r="Q138">
        <f>IF(Table1[[#This Row],[trestbps]]&gt;=130, 1, 0)</f>
        <v>1</v>
      </c>
      <c r="R138">
        <f>IF(AND(Table1[[#This Row],[target]]=1,OR(Table1[[#This Row],[cp]]=0,Table1[[#This Row],[cp]]=1,Table1[[#This Row],[cp]]=2,Table1[[#This Row],[cp]])),1,0)</f>
        <v>0</v>
      </c>
      <c r="S138">
        <f>IF(AND(Table1[[#This Row],[Chest Pain + Target]]=1,Table1[[#This Row],[trestbps]]&gt;=130),1,0)</f>
        <v>0</v>
      </c>
      <c r="T138">
        <f>IF(AND(Table1[[#This Row],[Add BP]]=1,Table1[[#This Row],[chol]]&gt;=200),1,0)</f>
        <v>0</v>
      </c>
      <c r="U138">
        <f>IF(AND(Table1[[#This Row],[Add Cholestrol]]=1,Table1[[#This Row],[slope]]&gt;=2),1,0)</f>
        <v>0</v>
      </c>
      <c r="V138">
        <f>COUNTIFS(Table1[target],1)</f>
        <v>165</v>
      </c>
    </row>
    <row r="139" spans="1:22" x14ac:dyDescent="0.25">
      <c r="A139">
        <v>56</v>
      </c>
      <c r="B139">
        <v>0</v>
      </c>
      <c r="C139">
        <v>0</v>
      </c>
      <c r="D139">
        <v>134</v>
      </c>
      <c r="E139">
        <v>409</v>
      </c>
      <c r="F139">
        <v>0</v>
      </c>
      <c r="G139">
        <v>0</v>
      </c>
      <c r="H139">
        <v>150</v>
      </c>
      <c r="I139">
        <v>1</v>
      </c>
      <c r="J139">
        <v>1.9</v>
      </c>
      <c r="K139">
        <v>1</v>
      </c>
      <c r="L139">
        <v>2</v>
      </c>
      <c r="M139">
        <v>3</v>
      </c>
      <c r="N139">
        <v>0</v>
      </c>
      <c r="O139" t="str">
        <f>IF(Table1[[#This Row],[sex]]=1,"Male","Female")</f>
        <v>Female</v>
      </c>
      <c r="P139" t="str">
        <f>IF(Table1[[#This Row],[cp]]=0,"Typical Angina",IF(Table1[[#This Row],[cp]]=1,"Atypical Angina",IF(Table1[[#This Row],[cp]]=2,"Non-Anginal Pain","Asymptomatic")))</f>
        <v>Typical Angina</v>
      </c>
      <c r="Q139">
        <f>IF(Table1[[#This Row],[trestbps]]&gt;=130, 1, 0)</f>
        <v>1</v>
      </c>
      <c r="R139">
        <f>IF(AND(Table1[[#This Row],[target]]=1,OR(Table1[[#This Row],[cp]]=0,Table1[[#This Row],[cp]]=1,Table1[[#This Row],[cp]]=2,Table1[[#This Row],[cp]])),1,0)</f>
        <v>0</v>
      </c>
      <c r="S139">
        <f>IF(AND(Table1[[#This Row],[Chest Pain + Target]]=1,Table1[[#This Row],[trestbps]]&gt;=130),1,0)</f>
        <v>0</v>
      </c>
      <c r="T139">
        <f>IF(AND(Table1[[#This Row],[Add BP]]=1,Table1[[#This Row],[chol]]&gt;=200),1,0)</f>
        <v>0</v>
      </c>
      <c r="U139">
        <f>IF(AND(Table1[[#This Row],[Add Cholestrol]]=1,Table1[[#This Row],[slope]]&gt;=2),1,0)</f>
        <v>0</v>
      </c>
      <c r="V139">
        <f>COUNTIFS(Table1[target],1)</f>
        <v>165</v>
      </c>
    </row>
    <row r="140" spans="1:22" x14ac:dyDescent="0.25">
      <c r="A140">
        <v>67</v>
      </c>
      <c r="B140">
        <v>1</v>
      </c>
      <c r="C140">
        <v>2</v>
      </c>
      <c r="D140">
        <v>152</v>
      </c>
      <c r="E140">
        <v>212</v>
      </c>
      <c r="F140">
        <v>0</v>
      </c>
      <c r="G140">
        <v>0</v>
      </c>
      <c r="H140">
        <v>150</v>
      </c>
      <c r="I140">
        <v>0</v>
      </c>
      <c r="J140">
        <v>0.8</v>
      </c>
      <c r="K140">
        <v>1</v>
      </c>
      <c r="L140">
        <v>0</v>
      </c>
      <c r="M140">
        <v>3</v>
      </c>
      <c r="N140">
        <v>0</v>
      </c>
      <c r="O140" t="str">
        <f>IF(Table1[[#This Row],[sex]]=1,"Male","Female")</f>
        <v>Male</v>
      </c>
      <c r="P140" t="str">
        <f>IF(Table1[[#This Row],[cp]]=0,"Typical Angina",IF(Table1[[#This Row],[cp]]=1,"Atypical Angina",IF(Table1[[#This Row],[cp]]=2,"Non-Anginal Pain","Asymptomatic")))</f>
        <v>Non-Anginal Pain</v>
      </c>
      <c r="Q140">
        <f>IF(Table1[[#This Row],[trestbps]]&gt;=130, 1, 0)</f>
        <v>1</v>
      </c>
      <c r="R140">
        <f>IF(AND(Table1[[#This Row],[target]]=1,OR(Table1[[#This Row],[cp]]=0,Table1[[#This Row],[cp]]=1,Table1[[#This Row],[cp]]=2,Table1[[#This Row],[cp]])),1,0)</f>
        <v>0</v>
      </c>
      <c r="S140">
        <f>IF(AND(Table1[[#This Row],[Chest Pain + Target]]=1,Table1[[#This Row],[trestbps]]&gt;=130),1,0)</f>
        <v>0</v>
      </c>
      <c r="T140">
        <f>IF(AND(Table1[[#This Row],[Add BP]]=1,Table1[[#This Row],[chol]]&gt;=200),1,0)</f>
        <v>0</v>
      </c>
      <c r="U140">
        <f>IF(AND(Table1[[#This Row],[Add Cholestrol]]=1,Table1[[#This Row],[slope]]&gt;=2),1,0)</f>
        <v>0</v>
      </c>
      <c r="V140">
        <f>COUNTIFS(Table1[target],1)</f>
        <v>165</v>
      </c>
    </row>
    <row r="141" spans="1:22" x14ac:dyDescent="0.25">
      <c r="A141">
        <v>69</v>
      </c>
      <c r="B141">
        <v>0</v>
      </c>
      <c r="C141">
        <v>3</v>
      </c>
      <c r="D141">
        <v>140</v>
      </c>
      <c r="E141">
        <v>239</v>
      </c>
      <c r="F141">
        <v>0</v>
      </c>
      <c r="G141">
        <v>1</v>
      </c>
      <c r="H141">
        <v>151</v>
      </c>
      <c r="I141">
        <v>0</v>
      </c>
      <c r="J141">
        <v>1.8</v>
      </c>
      <c r="K141">
        <v>2</v>
      </c>
      <c r="L141">
        <v>2</v>
      </c>
      <c r="M141">
        <v>2</v>
      </c>
      <c r="N141">
        <v>1</v>
      </c>
      <c r="O141" t="str">
        <f>IF(Table1[[#This Row],[sex]]=1,"Male","Female")</f>
        <v>Female</v>
      </c>
      <c r="P141" t="str">
        <f>IF(Table1[[#This Row],[cp]]=0,"Typical Angina",IF(Table1[[#This Row],[cp]]=1,"Atypical Angina",IF(Table1[[#This Row],[cp]]=2,"Non-Anginal Pain","Asymptomatic")))</f>
        <v>Asymptomatic</v>
      </c>
      <c r="Q141">
        <f>IF(Table1[[#This Row],[trestbps]]&gt;=130, 1, 0)</f>
        <v>1</v>
      </c>
      <c r="R141">
        <f>IF(AND(Table1[[#This Row],[target]]=1,OR(Table1[[#This Row],[cp]]=0,Table1[[#This Row],[cp]]=1,Table1[[#This Row],[cp]]=2,Table1[[#This Row],[cp]])),1,0)</f>
        <v>1</v>
      </c>
      <c r="S141">
        <f>IF(AND(Table1[[#This Row],[Chest Pain + Target]]=1,Table1[[#This Row],[trestbps]]&gt;=130),1,0)</f>
        <v>1</v>
      </c>
      <c r="T141">
        <f>IF(AND(Table1[[#This Row],[Add BP]]=1,Table1[[#This Row],[chol]]&gt;=200),1,0)</f>
        <v>1</v>
      </c>
      <c r="U141">
        <f>IF(AND(Table1[[#This Row],[Add Cholestrol]]=1,Table1[[#This Row],[slope]]&gt;=2),1,0)</f>
        <v>1</v>
      </c>
      <c r="V141">
        <f>COUNTIFS(Table1[target],1)</f>
        <v>165</v>
      </c>
    </row>
    <row r="142" spans="1:22" x14ac:dyDescent="0.25">
      <c r="A142">
        <v>65</v>
      </c>
      <c r="B142">
        <v>0</v>
      </c>
      <c r="C142">
        <v>2</v>
      </c>
      <c r="D142">
        <v>160</v>
      </c>
      <c r="E142">
        <v>360</v>
      </c>
      <c r="F142">
        <v>0</v>
      </c>
      <c r="G142">
        <v>0</v>
      </c>
      <c r="H142">
        <v>151</v>
      </c>
      <c r="I142">
        <v>0</v>
      </c>
      <c r="J142">
        <v>0.8</v>
      </c>
      <c r="K142">
        <v>2</v>
      </c>
      <c r="L142">
        <v>0</v>
      </c>
      <c r="M142">
        <v>2</v>
      </c>
      <c r="N142">
        <v>1</v>
      </c>
      <c r="O142" t="str">
        <f>IF(Table1[[#This Row],[sex]]=1,"Male","Female")</f>
        <v>Female</v>
      </c>
      <c r="P142" t="str">
        <f>IF(Table1[[#This Row],[cp]]=0,"Typical Angina",IF(Table1[[#This Row],[cp]]=1,"Atypical Angina",IF(Table1[[#This Row],[cp]]=2,"Non-Anginal Pain","Asymptomatic")))</f>
        <v>Non-Anginal Pain</v>
      </c>
      <c r="Q142">
        <f>IF(Table1[[#This Row],[trestbps]]&gt;=130, 1, 0)</f>
        <v>1</v>
      </c>
      <c r="R142">
        <f>IF(AND(Table1[[#This Row],[target]]=1,OR(Table1[[#This Row],[cp]]=0,Table1[[#This Row],[cp]]=1,Table1[[#This Row],[cp]]=2,Table1[[#This Row],[cp]])),1,0)</f>
        <v>1</v>
      </c>
      <c r="S142">
        <f>IF(AND(Table1[[#This Row],[Chest Pain + Target]]=1,Table1[[#This Row],[trestbps]]&gt;=130),1,0)</f>
        <v>1</v>
      </c>
      <c r="T142">
        <f>IF(AND(Table1[[#This Row],[Add BP]]=1,Table1[[#This Row],[chol]]&gt;=200),1,0)</f>
        <v>1</v>
      </c>
      <c r="U142">
        <f>IF(AND(Table1[[#This Row],[Add Cholestrol]]=1,Table1[[#This Row],[slope]]&gt;=2),1,0)</f>
        <v>1</v>
      </c>
      <c r="V142">
        <f>COUNTIFS(Table1[target],1)</f>
        <v>165</v>
      </c>
    </row>
    <row r="143" spans="1:22" x14ac:dyDescent="0.25">
      <c r="A143">
        <v>66</v>
      </c>
      <c r="B143">
        <v>1</v>
      </c>
      <c r="C143">
        <v>0</v>
      </c>
      <c r="D143">
        <v>120</v>
      </c>
      <c r="E143">
        <v>302</v>
      </c>
      <c r="F143">
        <v>0</v>
      </c>
      <c r="G143">
        <v>0</v>
      </c>
      <c r="H143">
        <v>151</v>
      </c>
      <c r="I143">
        <v>0</v>
      </c>
      <c r="J143">
        <v>0.4</v>
      </c>
      <c r="K143">
        <v>1</v>
      </c>
      <c r="L143">
        <v>0</v>
      </c>
      <c r="M143">
        <v>2</v>
      </c>
      <c r="N143">
        <v>1</v>
      </c>
      <c r="O143" t="str">
        <f>IF(Table1[[#This Row],[sex]]=1,"Male","Female")</f>
        <v>Male</v>
      </c>
      <c r="P143" t="str">
        <f>IF(Table1[[#This Row],[cp]]=0,"Typical Angina",IF(Table1[[#This Row],[cp]]=1,"Atypical Angina",IF(Table1[[#This Row],[cp]]=2,"Non-Anginal Pain","Asymptomatic")))</f>
        <v>Typical Angina</v>
      </c>
      <c r="Q143">
        <f>IF(Table1[[#This Row],[trestbps]]&gt;=130, 1, 0)</f>
        <v>0</v>
      </c>
      <c r="R143">
        <f>IF(AND(Table1[[#This Row],[target]]=1,OR(Table1[[#This Row],[cp]]=0,Table1[[#This Row],[cp]]=1,Table1[[#This Row],[cp]]=2,Table1[[#This Row],[cp]])),1,0)</f>
        <v>1</v>
      </c>
      <c r="S143">
        <f>IF(AND(Table1[[#This Row],[Chest Pain + Target]]=1,Table1[[#This Row],[trestbps]]&gt;=130),1,0)</f>
        <v>0</v>
      </c>
      <c r="T143">
        <f>IF(AND(Table1[[#This Row],[Add BP]]=1,Table1[[#This Row],[chol]]&gt;=200),1,0)</f>
        <v>0</v>
      </c>
      <c r="U143">
        <f>IF(AND(Table1[[#This Row],[Add Cholestrol]]=1,Table1[[#This Row],[slope]]&gt;=2),1,0)</f>
        <v>0</v>
      </c>
      <c r="V143">
        <f>COUNTIFS(Table1[target],1)</f>
        <v>165</v>
      </c>
    </row>
    <row r="144" spans="1:22" x14ac:dyDescent="0.25">
      <c r="A144">
        <v>68</v>
      </c>
      <c r="B144">
        <v>1</v>
      </c>
      <c r="C144">
        <v>2</v>
      </c>
      <c r="D144">
        <v>118</v>
      </c>
      <c r="E144">
        <v>277</v>
      </c>
      <c r="F144">
        <v>0</v>
      </c>
      <c r="G144">
        <v>1</v>
      </c>
      <c r="H144">
        <v>151</v>
      </c>
      <c r="I144">
        <v>0</v>
      </c>
      <c r="J144">
        <v>1</v>
      </c>
      <c r="K144">
        <v>2</v>
      </c>
      <c r="L144">
        <v>1</v>
      </c>
      <c r="M144">
        <v>3</v>
      </c>
      <c r="N144">
        <v>1</v>
      </c>
      <c r="O144" t="str">
        <f>IF(Table1[[#This Row],[sex]]=1,"Male","Female")</f>
        <v>Male</v>
      </c>
      <c r="P144" t="str">
        <f>IF(Table1[[#This Row],[cp]]=0,"Typical Angina",IF(Table1[[#This Row],[cp]]=1,"Atypical Angina",IF(Table1[[#This Row],[cp]]=2,"Non-Anginal Pain","Asymptomatic")))</f>
        <v>Non-Anginal Pain</v>
      </c>
      <c r="Q144">
        <f>IF(Table1[[#This Row],[trestbps]]&gt;=130, 1, 0)</f>
        <v>0</v>
      </c>
      <c r="R144">
        <f>IF(AND(Table1[[#This Row],[target]]=1,OR(Table1[[#This Row],[cp]]=0,Table1[[#This Row],[cp]]=1,Table1[[#This Row],[cp]]=2,Table1[[#This Row],[cp]])),1,0)</f>
        <v>1</v>
      </c>
      <c r="S144">
        <f>IF(AND(Table1[[#This Row],[Chest Pain + Target]]=1,Table1[[#This Row],[trestbps]]&gt;=130),1,0)</f>
        <v>0</v>
      </c>
      <c r="T144">
        <f>IF(AND(Table1[[#This Row],[Add BP]]=1,Table1[[#This Row],[chol]]&gt;=200),1,0)</f>
        <v>0</v>
      </c>
      <c r="U144">
        <f>IF(AND(Table1[[#This Row],[Add Cholestrol]]=1,Table1[[#This Row],[slope]]&gt;=2),1,0)</f>
        <v>0</v>
      </c>
      <c r="V144">
        <f>COUNTIFS(Table1[target],1)</f>
        <v>165</v>
      </c>
    </row>
    <row r="145" spans="1:22" x14ac:dyDescent="0.25">
      <c r="A145">
        <v>53</v>
      </c>
      <c r="B145">
        <v>1</v>
      </c>
      <c r="C145">
        <v>2</v>
      </c>
      <c r="D145">
        <v>130</v>
      </c>
      <c r="E145">
        <v>197</v>
      </c>
      <c r="F145">
        <v>1</v>
      </c>
      <c r="G145">
        <v>0</v>
      </c>
      <c r="H145">
        <v>152</v>
      </c>
      <c r="I145">
        <v>0</v>
      </c>
      <c r="J145">
        <v>1.2</v>
      </c>
      <c r="K145">
        <v>0</v>
      </c>
      <c r="L145">
        <v>0</v>
      </c>
      <c r="M145">
        <v>2</v>
      </c>
      <c r="N145">
        <v>1</v>
      </c>
      <c r="O145" t="str">
        <f>IF(Table1[[#This Row],[sex]]=1,"Male","Female")</f>
        <v>Male</v>
      </c>
      <c r="P145" t="str">
        <f>IF(Table1[[#This Row],[cp]]=0,"Typical Angina",IF(Table1[[#This Row],[cp]]=1,"Atypical Angina",IF(Table1[[#This Row],[cp]]=2,"Non-Anginal Pain","Asymptomatic")))</f>
        <v>Non-Anginal Pain</v>
      </c>
      <c r="Q145">
        <f>IF(Table1[[#This Row],[trestbps]]&gt;=130, 1, 0)</f>
        <v>1</v>
      </c>
      <c r="R145">
        <f>IF(AND(Table1[[#This Row],[target]]=1,OR(Table1[[#This Row],[cp]]=0,Table1[[#This Row],[cp]]=1,Table1[[#This Row],[cp]]=2,Table1[[#This Row],[cp]])),1,0)</f>
        <v>1</v>
      </c>
      <c r="S145">
        <f>IF(AND(Table1[[#This Row],[Chest Pain + Target]]=1,Table1[[#This Row],[trestbps]]&gt;=130),1,0)</f>
        <v>1</v>
      </c>
      <c r="T145">
        <f>IF(AND(Table1[[#This Row],[Add BP]]=1,Table1[[#This Row],[chol]]&gt;=200),1,0)</f>
        <v>0</v>
      </c>
      <c r="U145">
        <f>IF(AND(Table1[[#This Row],[Add Cholestrol]]=1,Table1[[#This Row],[slope]]&gt;=2),1,0)</f>
        <v>0</v>
      </c>
      <c r="V145">
        <f>COUNTIFS(Table1[target],1)</f>
        <v>165</v>
      </c>
    </row>
    <row r="146" spans="1:22" x14ac:dyDescent="0.25">
      <c r="A146">
        <v>54</v>
      </c>
      <c r="B146">
        <v>1</v>
      </c>
      <c r="C146">
        <v>2</v>
      </c>
      <c r="D146">
        <v>125</v>
      </c>
      <c r="E146">
        <v>273</v>
      </c>
      <c r="F146">
        <v>0</v>
      </c>
      <c r="G146">
        <v>0</v>
      </c>
      <c r="H146">
        <v>152</v>
      </c>
      <c r="I146">
        <v>0</v>
      </c>
      <c r="J146">
        <v>0.5</v>
      </c>
      <c r="K146">
        <v>0</v>
      </c>
      <c r="L146">
        <v>1</v>
      </c>
      <c r="M146">
        <v>2</v>
      </c>
      <c r="N146">
        <v>1</v>
      </c>
      <c r="O146" t="str">
        <f>IF(Table1[[#This Row],[sex]]=1,"Male","Female")</f>
        <v>Male</v>
      </c>
      <c r="P146" t="str">
        <f>IF(Table1[[#This Row],[cp]]=0,"Typical Angina",IF(Table1[[#This Row],[cp]]=1,"Atypical Angina",IF(Table1[[#This Row],[cp]]=2,"Non-Anginal Pain","Asymptomatic")))</f>
        <v>Non-Anginal Pain</v>
      </c>
      <c r="Q146">
        <f>IF(Table1[[#This Row],[trestbps]]&gt;=130, 1, 0)</f>
        <v>0</v>
      </c>
      <c r="R146">
        <f>IF(AND(Table1[[#This Row],[target]]=1,OR(Table1[[#This Row],[cp]]=0,Table1[[#This Row],[cp]]=1,Table1[[#This Row],[cp]]=2,Table1[[#This Row],[cp]])),1,0)</f>
        <v>1</v>
      </c>
      <c r="S146">
        <f>IF(AND(Table1[[#This Row],[Chest Pain + Target]]=1,Table1[[#This Row],[trestbps]]&gt;=130),1,0)</f>
        <v>0</v>
      </c>
      <c r="T146">
        <f>IF(AND(Table1[[#This Row],[Add BP]]=1,Table1[[#This Row],[chol]]&gt;=200),1,0)</f>
        <v>0</v>
      </c>
      <c r="U146">
        <f>IF(AND(Table1[[#This Row],[Add Cholestrol]]=1,Table1[[#This Row],[slope]]&gt;=2),1,0)</f>
        <v>0</v>
      </c>
      <c r="V146">
        <f>COUNTIFS(Table1[target],1)</f>
        <v>165</v>
      </c>
    </row>
    <row r="147" spans="1:22" x14ac:dyDescent="0.25">
      <c r="A147">
        <v>45</v>
      </c>
      <c r="B147">
        <v>0</v>
      </c>
      <c r="C147">
        <v>0</v>
      </c>
      <c r="D147">
        <v>138</v>
      </c>
      <c r="E147">
        <v>236</v>
      </c>
      <c r="F147">
        <v>0</v>
      </c>
      <c r="G147">
        <v>0</v>
      </c>
      <c r="H147">
        <v>152</v>
      </c>
      <c r="I147">
        <v>1</v>
      </c>
      <c r="J147">
        <v>0.2</v>
      </c>
      <c r="K147">
        <v>1</v>
      </c>
      <c r="L147">
        <v>0</v>
      </c>
      <c r="M147">
        <v>2</v>
      </c>
      <c r="N147">
        <v>1</v>
      </c>
      <c r="O147" t="str">
        <f>IF(Table1[[#This Row],[sex]]=1,"Male","Female")</f>
        <v>Female</v>
      </c>
      <c r="P147" t="str">
        <f>IF(Table1[[#This Row],[cp]]=0,"Typical Angina",IF(Table1[[#This Row],[cp]]=1,"Atypical Angina",IF(Table1[[#This Row],[cp]]=2,"Non-Anginal Pain","Asymptomatic")))</f>
        <v>Typical Angina</v>
      </c>
      <c r="Q147">
        <f>IF(Table1[[#This Row],[trestbps]]&gt;=130, 1, 0)</f>
        <v>1</v>
      </c>
      <c r="R147">
        <f>IF(AND(Table1[[#This Row],[target]]=1,OR(Table1[[#This Row],[cp]]=0,Table1[[#This Row],[cp]]=1,Table1[[#This Row],[cp]]=2,Table1[[#This Row],[cp]])),1,0)</f>
        <v>1</v>
      </c>
      <c r="S147">
        <f>IF(AND(Table1[[#This Row],[Chest Pain + Target]]=1,Table1[[#This Row],[trestbps]]&gt;=130),1,0)</f>
        <v>1</v>
      </c>
      <c r="T147">
        <f>IF(AND(Table1[[#This Row],[Add BP]]=1,Table1[[#This Row],[chol]]&gt;=200),1,0)</f>
        <v>1</v>
      </c>
      <c r="U147">
        <f>IF(AND(Table1[[#This Row],[Add Cholestrol]]=1,Table1[[#This Row],[slope]]&gt;=2),1,0)</f>
        <v>0</v>
      </c>
      <c r="V147">
        <f>COUNTIFS(Table1[target],1)</f>
        <v>165</v>
      </c>
    </row>
    <row r="148" spans="1:22" x14ac:dyDescent="0.25">
      <c r="A148">
        <v>46</v>
      </c>
      <c r="B148">
        <v>0</v>
      </c>
      <c r="C148">
        <v>0</v>
      </c>
      <c r="D148">
        <v>138</v>
      </c>
      <c r="E148">
        <v>243</v>
      </c>
      <c r="F148">
        <v>0</v>
      </c>
      <c r="G148">
        <v>0</v>
      </c>
      <c r="H148">
        <v>152</v>
      </c>
      <c r="I148">
        <v>1</v>
      </c>
      <c r="J148">
        <v>0</v>
      </c>
      <c r="K148">
        <v>1</v>
      </c>
      <c r="L148">
        <v>0</v>
      </c>
      <c r="M148">
        <v>2</v>
      </c>
      <c r="N148">
        <v>1</v>
      </c>
      <c r="O148" t="str">
        <f>IF(Table1[[#This Row],[sex]]=1,"Male","Female")</f>
        <v>Female</v>
      </c>
      <c r="P148" t="str">
        <f>IF(Table1[[#This Row],[cp]]=0,"Typical Angina",IF(Table1[[#This Row],[cp]]=1,"Atypical Angina",IF(Table1[[#This Row],[cp]]=2,"Non-Anginal Pain","Asymptomatic")))</f>
        <v>Typical Angina</v>
      </c>
      <c r="Q148">
        <f>IF(Table1[[#This Row],[trestbps]]&gt;=130, 1, 0)</f>
        <v>1</v>
      </c>
      <c r="R148">
        <f>IF(AND(Table1[[#This Row],[target]]=1,OR(Table1[[#This Row],[cp]]=0,Table1[[#This Row],[cp]]=1,Table1[[#This Row],[cp]]=2,Table1[[#This Row],[cp]])),1,0)</f>
        <v>1</v>
      </c>
      <c r="S148">
        <f>IF(AND(Table1[[#This Row],[Chest Pain + Target]]=1,Table1[[#This Row],[trestbps]]&gt;=130),1,0)</f>
        <v>1</v>
      </c>
      <c r="T148">
        <f>IF(AND(Table1[[#This Row],[Add BP]]=1,Table1[[#This Row],[chol]]&gt;=200),1,0)</f>
        <v>1</v>
      </c>
      <c r="U148">
        <f>IF(AND(Table1[[#This Row],[Add Cholestrol]]=1,Table1[[#This Row],[slope]]&gt;=2),1,0)</f>
        <v>0</v>
      </c>
      <c r="V148">
        <f>COUNTIFS(Table1[target],1)</f>
        <v>165</v>
      </c>
    </row>
    <row r="149" spans="1:22" x14ac:dyDescent="0.25">
      <c r="A149">
        <v>66</v>
      </c>
      <c r="B149">
        <v>0</v>
      </c>
      <c r="C149">
        <v>2</v>
      </c>
      <c r="D149">
        <v>146</v>
      </c>
      <c r="E149">
        <v>278</v>
      </c>
      <c r="F149">
        <v>0</v>
      </c>
      <c r="G149">
        <v>0</v>
      </c>
      <c r="H149">
        <v>152</v>
      </c>
      <c r="I149">
        <v>0</v>
      </c>
      <c r="J149">
        <v>0</v>
      </c>
      <c r="K149">
        <v>1</v>
      </c>
      <c r="L149">
        <v>1</v>
      </c>
      <c r="M149">
        <v>2</v>
      </c>
      <c r="N149">
        <v>1</v>
      </c>
      <c r="O149" t="str">
        <f>IF(Table1[[#This Row],[sex]]=1,"Male","Female")</f>
        <v>Female</v>
      </c>
      <c r="P149" t="str">
        <f>IF(Table1[[#This Row],[cp]]=0,"Typical Angina",IF(Table1[[#This Row],[cp]]=1,"Atypical Angina",IF(Table1[[#This Row],[cp]]=2,"Non-Anginal Pain","Asymptomatic")))</f>
        <v>Non-Anginal Pain</v>
      </c>
      <c r="Q149">
        <f>IF(Table1[[#This Row],[trestbps]]&gt;=130, 1, 0)</f>
        <v>1</v>
      </c>
      <c r="R149">
        <f>IF(AND(Table1[[#This Row],[target]]=1,OR(Table1[[#This Row],[cp]]=0,Table1[[#This Row],[cp]]=1,Table1[[#This Row],[cp]]=2,Table1[[#This Row],[cp]])),1,0)</f>
        <v>1</v>
      </c>
      <c r="S149">
        <f>IF(AND(Table1[[#This Row],[Chest Pain + Target]]=1,Table1[[#This Row],[trestbps]]&gt;=130),1,0)</f>
        <v>1</v>
      </c>
      <c r="T149">
        <f>IF(AND(Table1[[#This Row],[Add BP]]=1,Table1[[#This Row],[chol]]&gt;=200),1,0)</f>
        <v>1</v>
      </c>
      <c r="U149">
        <f>IF(AND(Table1[[#This Row],[Add Cholestrol]]=1,Table1[[#This Row],[slope]]&gt;=2),1,0)</f>
        <v>0</v>
      </c>
      <c r="V149">
        <f>COUNTIFS(Table1[target],1)</f>
        <v>165</v>
      </c>
    </row>
    <row r="150" spans="1:22" x14ac:dyDescent="0.25">
      <c r="A150">
        <v>39</v>
      </c>
      <c r="B150">
        <v>0</v>
      </c>
      <c r="C150">
        <v>2</v>
      </c>
      <c r="D150">
        <v>138</v>
      </c>
      <c r="E150">
        <v>220</v>
      </c>
      <c r="F150">
        <v>0</v>
      </c>
      <c r="G150">
        <v>1</v>
      </c>
      <c r="H150">
        <v>152</v>
      </c>
      <c r="I150">
        <v>0</v>
      </c>
      <c r="J150">
        <v>0</v>
      </c>
      <c r="K150">
        <v>1</v>
      </c>
      <c r="L150">
        <v>0</v>
      </c>
      <c r="M150">
        <v>2</v>
      </c>
      <c r="N150">
        <v>1</v>
      </c>
      <c r="O150" t="str">
        <f>IF(Table1[[#This Row],[sex]]=1,"Male","Female")</f>
        <v>Female</v>
      </c>
      <c r="P150" t="str">
        <f>IF(Table1[[#This Row],[cp]]=0,"Typical Angina",IF(Table1[[#This Row],[cp]]=1,"Atypical Angina",IF(Table1[[#This Row],[cp]]=2,"Non-Anginal Pain","Asymptomatic")))</f>
        <v>Non-Anginal Pain</v>
      </c>
      <c r="Q150">
        <f>IF(Table1[[#This Row],[trestbps]]&gt;=130, 1, 0)</f>
        <v>1</v>
      </c>
      <c r="R150">
        <f>IF(AND(Table1[[#This Row],[target]]=1,OR(Table1[[#This Row],[cp]]=0,Table1[[#This Row],[cp]]=1,Table1[[#This Row],[cp]]=2,Table1[[#This Row],[cp]])),1,0)</f>
        <v>1</v>
      </c>
      <c r="S150">
        <f>IF(AND(Table1[[#This Row],[Chest Pain + Target]]=1,Table1[[#This Row],[trestbps]]&gt;=130),1,0)</f>
        <v>1</v>
      </c>
      <c r="T150">
        <f>IF(AND(Table1[[#This Row],[Add BP]]=1,Table1[[#This Row],[chol]]&gt;=200),1,0)</f>
        <v>1</v>
      </c>
      <c r="U150">
        <f>IF(AND(Table1[[#This Row],[Add Cholestrol]]=1,Table1[[#This Row],[slope]]&gt;=2),1,0)</f>
        <v>0</v>
      </c>
      <c r="V150">
        <f>COUNTIFS(Table1[target],1)</f>
        <v>165</v>
      </c>
    </row>
    <row r="151" spans="1:22" x14ac:dyDescent="0.25">
      <c r="A151">
        <v>47</v>
      </c>
      <c r="B151">
        <v>1</v>
      </c>
      <c r="C151">
        <v>2</v>
      </c>
      <c r="D151">
        <v>108</v>
      </c>
      <c r="E151">
        <v>243</v>
      </c>
      <c r="F151">
        <v>0</v>
      </c>
      <c r="G151">
        <v>1</v>
      </c>
      <c r="H151">
        <v>152</v>
      </c>
      <c r="I151">
        <v>0</v>
      </c>
      <c r="J151">
        <v>0</v>
      </c>
      <c r="K151">
        <v>2</v>
      </c>
      <c r="L151">
        <v>0</v>
      </c>
      <c r="M151">
        <v>2</v>
      </c>
      <c r="N151">
        <v>0</v>
      </c>
      <c r="O151" t="str">
        <f>IF(Table1[[#This Row],[sex]]=1,"Male","Female")</f>
        <v>Male</v>
      </c>
      <c r="P151" t="str">
        <f>IF(Table1[[#This Row],[cp]]=0,"Typical Angina",IF(Table1[[#This Row],[cp]]=1,"Atypical Angina",IF(Table1[[#This Row],[cp]]=2,"Non-Anginal Pain","Asymptomatic")))</f>
        <v>Non-Anginal Pain</v>
      </c>
      <c r="Q151">
        <f>IF(Table1[[#This Row],[trestbps]]&gt;=130, 1, 0)</f>
        <v>0</v>
      </c>
      <c r="R151">
        <f>IF(AND(Table1[[#This Row],[target]]=1,OR(Table1[[#This Row],[cp]]=0,Table1[[#This Row],[cp]]=1,Table1[[#This Row],[cp]]=2,Table1[[#This Row],[cp]])),1,0)</f>
        <v>0</v>
      </c>
      <c r="S151">
        <f>IF(AND(Table1[[#This Row],[Chest Pain + Target]]=1,Table1[[#This Row],[trestbps]]&gt;=130),1,0)</f>
        <v>0</v>
      </c>
      <c r="T151">
        <f>IF(AND(Table1[[#This Row],[Add BP]]=1,Table1[[#This Row],[chol]]&gt;=200),1,0)</f>
        <v>0</v>
      </c>
      <c r="U151">
        <f>IF(AND(Table1[[#This Row],[Add Cholestrol]]=1,Table1[[#This Row],[slope]]&gt;=2),1,0)</f>
        <v>0</v>
      </c>
      <c r="V151">
        <f>COUNTIFS(Table1[target],1)</f>
        <v>165</v>
      </c>
    </row>
    <row r="152" spans="1:22" x14ac:dyDescent="0.25">
      <c r="A152">
        <v>58</v>
      </c>
      <c r="B152">
        <v>0</v>
      </c>
      <c r="C152">
        <v>1</v>
      </c>
      <c r="D152">
        <v>136</v>
      </c>
      <c r="E152">
        <v>319</v>
      </c>
      <c r="F152">
        <v>1</v>
      </c>
      <c r="G152">
        <v>0</v>
      </c>
      <c r="H152">
        <v>152</v>
      </c>
      <c r="I152">
        <v>0</v>
      </c>
      <c r="J152">
        <v>0</v>
      </c>
      <c r="K152">
        <v>2</v>
      </c>
      <c r="L152">
        <v>2</v>
      </c>
      <c r="M152">
        <v>2</v>
      </c>
      <c r="N152">
        <v>0</v>
      </c>
      <c r="O152" t="str">
        <f>IF(Table1[[#This Row],[sex]]=1,"Male","Female")</f>
        <v>Female</v>
      </c>
      <c r="P152" t="str">
        <f>IF(Table1[[#This Row],[cp]]=0,"Typical Angina",IF(Table1[[#This Row],[cp]]=1,"Atypical Angina",IF(Table1[[#This Row],[cp]]=2,"Non-Anginal Pain","Asymptomatic")))</f>
        <v>Atypical Angina</v>
      </c>
      <c r="Q152">
        <f>IF(Table1[[#This Row],[trestbps]]&gt;=130, 1, 0)</f>
        <v>1</v>
      </c>
      <c r="R152">
        <f>IF(AND(Table1[[#This Row],[target]]=1,OR(Table1[[#This Row],[cp]]=0,Table1[[#This Row],[cp]]=1,Table1[[#This Row],[cp]]=2,Table1[[#This Row],[cp]])),1,0)</f>
        <v>0</v>
      </c>
      <c r="S152">
        <f>IF(AND(Table1[[#This Row],[Chest Pain + Target]]=1,Table1[[#This Row],[trestbps]]&gt;=130),1,0)</f>
        <v>0</v>
      </c>
      <c r="T152">
        <f>IF(AND(Table1[[#This Row],[Add BP]]=1,Table1[[#This Row],[chol]]&gt;=200),1,0)</f>
        <v>0</v>
      </c>
      <c r="U152">
        <f>IF(AND(Table1[[#This Row],[Add Cholestrol]]=1,Table1[[#This Row],[slope]]&gt;=2),1,0)</f>
        <v>0</v>
      </c>
      <c r="V152">
        <f>COUNTIFS(Table1[target],1)</f>
        <v>165</v>
      </c>
    </row>
    <row r="153" spans="1:22" x14ac:dyDescent="0.25">
      <c r="A153">
        <v>56</v>
      </c>
      <c r="B153">
        <v>0</v>
      </c>
      <c r="C153">
        <v>1</v>
      </c>
      <c r="D153">
        <v>140</v>
      </c>
      <c r="E153">
        <v>294</v>
      </c>
      <c r="F153">
        <v>0</v>
      </c>
      <c r="G153">
        <v>0</v>
      </c>
      <c r="H153">
        <v>153</v>
      </c>
      <c r="I153">
        <v>0</v>
      </c>
      <c r="J153">
        <v>1.3</v>
      </c>
      <c r="K153">
        <v>1</v>
      </c>
      <c r="L153">
        <v>0</v>
      </c>
      <c r="M153">
        <v>2</v>
      </c>
      <c r="N153">
        <v>1</v>
      </c>
      <c r="O153" t="str">
        <f>IF(Table1[[#This Row],[sex]]=1,"Male","Female")</f>
        <v>Female</v>
      </c>
      <c r="P153" t="str">
        <f>IF(Table1[[#This Row],[cp]]=0,"Typical Angina",IF(Table1[[#This Row],[cp]]=1,"Atypical Angina",IF(Table1[[#This Row],[cp]]=2,"Non-Anginal Pain","Asymptomatic")))</f>
        <v>Atypical Angina</v>
      </c>
      <c r="Q153">
        <f>IF(Table1[[#This Row],[trestbps]]&gt;=130, 1, 0)</f>
        <v>1</v>
      </c>
      <c r="R153">
        <f>IF(AND(Table1[[#This Row],[target]]=1,OR(Table1[[#This Row],[cp]]=0,Table1[[#This Row],[cp]]=1,Table1[[#This Row],[cp]]=2,Table1[[#This Row],[cp]])),1,0)</f>
        <v>1</v>
      </c>
      <c r="S153">
        <f>IF(AND(Table1[[#This Row],[Chest Pain + Target]]=1,Table1[[#This Row],[trestbps]]&gt;=130),1,0)</f>
        <v>1</v>
      </c>
      <c r="T153">
        <f>IF(AND(Table1[[#This Row],[Add BP]]=1,Table1[[#This Row],[chol]]&gt;=200),1,0)</f>
        <v>1</v>
      </c>
      <c r="U153">
        <f>IF(AND(Table1[[#This Row],[Add Cholestrol]]=1,Table1[[#This Row],[slope]]&gt;=2),1,0)</f>
        <v>0</v>
      </c>
      <c r="V153">
        <f>COUNTIFS(Table1[target],1)</f>
        <v>165</v>
      </c>
    </row>
    <row r="154" spans="1:22" x14ac:dyDescent="0.25">
      <c r="A154">
        <v>41</v>
      </c>
      <c r="B154">
        <v>1</v>
      </c>
      <c r="C154">
        <v>1</v>
      </c>
      <c r="D154">
        <v>110</v>
      </c>
      <c r="E154">
        <v>235</v>
      </c>
      <c r="F154">
        <v>0</v>
      </c>
      <c r="G154">
        <v>1</v>
      </c>
      <c r="H154">
        <v>153</v>
      </c>
      <c r="I154">
        <v>0</v>
      </c>
      <c r="J154">
        <v>0</v>
      </c>
      <c r="K154">
        <v>2</v>
      </c>
      <c r="L154">
        <v>0</v>
      </c>
      <c r="M154">
        <v>2</v>
      </c>
      <c r="N154">
        <v>1</v>
      </c>
      <c r="O154" t="str">
        <f>IF(Table1[[#This Row],[sex]]=1,"Male","Female")</f>
        <v>Male</v>
      </c>
      <c r="P154" t="str">
        <f>IF(Table1[[#This Row],[cp]]=0,"Typical Angina",IF(Table1[[#This Row],[cp]]=1,"Atypical Angina",IF(Table1[[#This Row],[cp]]=2,"Non-Anginal Pain","Asymptomatic")))</f>
        <v>Atypical Angina</v>
      </c>
      <c r="Q154">
        <f>IF(Table1[[#This Row],[trestbps]]&gt;=130, 1, 0)</f>
        <v>0</v>
      </c>
      <c r="R154">
        <f>IF(AND(Table1[[#This Row],[target]]=1,OR(Table1[[#This Row],[cp]]=0,Table1[[#This Row],[cp]]=1,Table1[[#This Row],[cp]]=2,Table1[[#This Row],[cp]])),1,0)</f>
        <v>1</v>
      </c>
      <c r="S154">
        <f>IF(AND(Table1[[#This Row],[Chest Pain + Target]]=1,Table1[[#This Row],[trestbps]]&gt;=130),1,0)</f>
        <v>0</v>
      </c>
      <c r="T154">
        <f>IF(AND(Table1[[#This Row],[Add BP]]=1,Table1[[#This Row],[chol]]&gt;=200),1,0)</f>
        <v>0</v>
      </c>
      <c r="U154">
        <f>IF(AND(Table1[[#This Row],[Add Cholestrol]]=1,Table1[[#This Row],[slope]]&gt;=2),1,0)</f>
        <v>0</v>
      </c>
      <c r="V154">
        <f>COUNTIFS(Table1[target],1)</f>
        <v>165</v>
      </c>
    </row>
    <row r="155" spans="1:22" x14ac:dyDescent="0.25">
      <c r="A155">
        <v>44</v>
      </c>
      <c r="B155">
        <v>1</v>
      </c>
      <c r="C155">
        <v>0</v>
      </c>
      <c r="D155">
        <v>112</v>
      </c>
      <c r="E155">
        <v>290</v>
      </c>
      <c r="F155">
        <v>0</v>
      </c>
      <c r="G155">
        <v>0</v>
      </c>
      <c r="H155">
        <v>153</v>
      </c>
      <c r="I155">
        <v>0</v>
      </c>
      <c r="J155">
        <v>0</v>
      </c>
      <c r="K155">
        <v>2</v>
      </c>
      <c r="L155">
        <v>1</v>
      </c>
      <c r="M155">
        <v>2</v>
      </c>
      <c r="N155">
        <v>0</v>
      </c>
      <c r="O155" t="str">
        <f>IF(Table1[[#This Row],[sex]]=1,"Male","Female")</f>
        <v>Male</v>
      </c>
      <c r="P155" t="str">
        <f>IF(Table1[[#This Row],[cp]]=0,"Typical Angina",IF(Table1[[#This Row],[cp]]=1,"Atypical Angina",IF(Table1[[#This Row],[cp]]=2,"Non-Anginal Pain","Asymptomatic")))</f>
        <v>Typical Angina</v>
      </c>
      <c r="Q155">
        <f>IF(Table1[[#This Row],[trestbps]]&gt;=130, 1, 0)</f>
        <v>0</v>
      </c>
      <c r="R155">
        <f>IF(AND(Table1[[#This Row],[target]]=1,OR(Table1[[#This Row],[cp]]=0,Table1[[#This Row],[cp]]=1,Table1[[#This Row],[cp]]=2,Table1[[#This Row],[cp]])),1,0)</f>
        <v>0</v>
      </c>
      <c r="S155">
        <f>IF(AND(Table1[[#This Row],[Chest Pain + Target]]=1,Table1[[#This Row],[trestbps]]&gt;=130),1,0)</f>
        <v>0</v>
      </c>
      <c r="T155">
        <f>IF(AND(Table1[[#This Row],[Add BP]]=1,Table1[[#This Row],[chol]]&gt;=200),1,0)</f>
        <v>0</v>
      </c>
      <c r="U155">
        <f>IF(AND(Table1[[#This Row],[Add Cholestrol]]=1,Table1[[#This Row],[slope]]&gt;=2),1,0)</f>
        <v>0</v>
      </c>
      <c r="V155">
        <f>COUNTIFS(Table1[target],1)</f>
        <v>165</v>
      </c>
    </row>
    <row r="156" spans="1:22" x14ac:dyDescent="0.25">
      <c r="A156">
        <v>51</v>
      </c>
      <c r="B156">
        <v>1</v>
      </c>
      <c r="C156">
        <v>2</v>
      </c>
      <c r="D156">
        <v>94</v>
      </c>
      <c r="E156">
        <v>227</v>
      </c>
      <c r="F156">
        <v>0</v>
      </c>
      <c r="G156">
        <v>1</v>
      </c>
      <c r="H156">
        <v>154</v>
      </c>
      <c r="I156">
        <v>1</v>
      </c>
      <c r="J156">
        <v>0</v>
      </c>
      <c r="K156">
        <v>2</v>
      </c>
      <c r="L156">
        <v>1</v>
      </c>
      <c r="M156">
        <v>3</v>
      </c>
      <c r="N156">
        <v>1</v>
      </c>
      <c r="O156" t="str">
        <f>IF(Table1[[#This Row],[sex]]=1,"Male","Female")</f>
        <v>Male</v>
      </c>
      <c r="P156" t="str">
        <f>IF(Table1[[#This Row],[cp]]=0,"Typical Angina",IF(Table1[[#This Row],[cp]]=1,"Atypical Angina",IF(Table1[[#This Row],[cp]]=2,"Non-Anginal Pain","Asymptomatic")))</f>
        <v>Non-Anginal Pain</v>
      </c>
      <c r="Q156">
        <f>IF(Table1[[#This Row],[trestbps]]&gt;=130, 1, 0)</f>
        <v>0</v>
      </c>
      <c r="R156">
        <f>IF(AND(Table1[[#This Row],[target]]=1,OR(Table1[[#This Row],[cp]]=0,Table1[[#This Row],[cp]]=1,Table1[[#This Row],[cp]]=2,Table1[[#This Row],[cp]])),1,0)</f>
        <v>1</v>
      </c>
      <c r="S156">
        <f>IF(AND(Table1[[#This Row],[Chest Pain + Target]]=1,Table1[[#This Row],[trestbps]]&gt;=130),1,0)</f>
        <v>0</v>
      </c>
      <c r="T156">
        <f>IF(AND(Table1[[#This Row],[Add BP]]=1,Table1[[#This Row],[chol]]&gt;=200),1,0)</f>
        <v>0</v>
      </c>
      <c r="U156">
        <f>IF(AND(Table1[[#This Row],[Add Cholestrol]]=1,Table1[[#This Row],[slope]]&gt;=2),1,0)</f>
        <v>0</v>
      </c>
      <c r="V156">
        <f>COUNTIFS(Table1[target],1)</f>
        <v>165</v>
      </c>
    </row>
    <row r="157" spans="1:22" x14ac:dyDescent="0.25">
      <c r="A157">
        <v>58</v>
      </c>
      <c r="B157">
        <v>1</v>
      </c>
      <c r="C157">
        <v>2</v>
      </c>
      <c r="D157">
        <v>105</v>
      </c>
      <c r="E157">
        <v>240</v>
      </c>
      <c r="F157">
        <v>0</v>
      </c>
      <c r="G157">
        <v>0</v>
      </c>
      <c r="H157">
        <v>154</v>
      </c>
      <c r="I157">
        <v>1</v>
      </c>
      <c r="J157">
        <v>0.6</v>
      </c>
      <c r="K157">
        <v>1</v>
      </c>
      <c r="L157">
        <v>0</v>
      </c>
      <c r="M157">
        <v>3</v>
      </c>
      <c r="N157">
        <v>1</v>
      </c>
      <c r="O157" t="str">
        <f>IF(Table1[[#This Row],[sex]]=1,"Male","Female")</f>
        <v>Male</v>
      </c>
      <c r="P157" t="str">
        <f>IF(Table1[[#This Row],[cp]]=0,"Typical Angina",IF(Table1[[#This Row],[cp]]=1,"Atypical Angina",IF(Table1[[#This Row],[cp]]=2,"Non-Anginal Pain","Asymptomatic")))</f>
        <v>Non-Anginal Pain</v>
      </c>
      <c r="Q157">
        <f>IF(Table1[[#This Row],[trestbps]]&gt;=130, 1, 0)</f>
        <v>0</v>
      </c>
      <c r="R157">
        <f>IF(AND(Table1[[#This Row],[target]]=1,OR(Table1[[#This Row],[cp]]=0,Table1[[#This Row],[cp]]=1,Table1[[#This Row],[cp]]=2,Table1[[#This Row],[cp]])),1,0)</f>
        <v>1</v>
      </c>
      <c r="S157">
        <f>IF(AND(Table1[[#This Row],[Chest Pain + Target]]=1,Table1[[#This Row],[trestbps]]&gt;=130),1,0)</f>
        <v>0</v>
      </c>
      <c r="T157">
        <f>IF(AND(Table1[[#This Row],[Add BP]]=1,Table1[[#This Row],[chol]]&gt;=200),1,0)</f>
        <v>0</v>
      </c>
      <c r="U157">
        <f>IF(AND(Table1[[#This Row],[Add Cholestrol]]=1,Table1[[#This Row],[slope]]&gt;=2),1,0)</f>
        <v>0</v>
      </c>
      <c r="V157">
        <f>COUNTIFS(Table1[target],1)</f>
        <v>165</v>
      </c>
    </row>
    <row r="158" spans="1:22" x14ac:dyDescent="0.25">
      <c r="A158">
        <v>64</v>
      </c>
      <c r="B158">
        <v>0</v>
      </c>
      <c r="C158">
        <v>0</v>
      </c>
      <c r="D158">
        <v>180</v>
      </c>
      <c r="E158">
        <v>325</v>
      </c>
      <c r="F158">
        <v>0</v>
      </c>
      <c r="G158">
        <v>1</v>
      </c>
      <c r="H158">
        <v>154</v>
      </c>
      <c r="I158">
        <v>1</v>
      </c>
      <c r="J158">
        <v>0</v>
      </c>
      <c r="K158">
        <v>2</v>
      </c>
      <c r="L158">
        <v>0</v>
      </c>
      <c r="M158">
        <v>2</v>
      </c>
      <c r="N158">
        <v>1</v>
      </c>
      <c r="O158" t="str">
        <f>IF(Table1[[#This Row],[sex]]=1,"Male","Female")</f>
        <v>Female</v>
      </c>
      <c r="P158" t="str">
        <f>IF(Table1[[#This Row],[cp]]=0,"Typical Angina",IF(Table1[[#This Row],[cp]]=1,"Atypical Angina",IF(Table1[[#This Row],[cp]]=2,"Non-Anginal Pain","Asymptomatic")))</f>
        <v>Typical Angina</v>
      </c>
      <c r="Q158">
        <f>IF(Table1[[#This Row],[trestbps]]&gt;=130, 1, 0)</f>
        <v>1</v>
      </c>
      <c r="R158">
        <f>IF(AND(Table1[[#This Row],[target]]=1,OR(Table1[[#This Row],[cp]]=0,Table1[[#This Row],[cp]]=1,Table1[[#This Row],[cp]]=2,Table1[[#This Row],[cp]])),1,0)</f>
        <v>1</v>
      </c>
      <c r="S158">
        <f>IF(AND(Table1[[#This Row],[Chest Pain + Target]]=1,Table1[[#This Row],[trestbps]]&gt;=130),1,0)</f>
        <v>1</v>
      </c>
      <c r="T158">
        <f>IF(AND(Table1[[#This Row],[Add BP]]=1,Table1[[#This Row],[chol]]&gt;=200),1,0)</f>
        <v>1</v>
      </c>
      <c r="U158">
        <f>IF(AND(Table1[[#This Row],[Add Cholestrol]]=1,Table1[[#This Row],[slope]]&gt;=2),1,0)</f>
        <v>1</v>
      </c>
      <c r="V158">
        <f>COUNTIFS(Table1[target],1)</f>
        <v>165</v>
      </c>
    </row>
    <row r="159" spans="1:22" x14ac:dyDescent="0.25">
      <c r="A159">
        <v>63</v>
      </c>
      <c r="B159">
        <v>0</v>
      </c>
      <c r="C159">
        <v>0</v>
      </c>
      <c r="D159">
        <v>150</v>
      </c>
      <c r="E159">
        <v>407</v>
      </c>
      <c r="F159">
        <v>0</v>
      </c>
      <c r="G159">
        <v>0</v>
      </c>
      <c r="H159">
        <v>154</v>
      </c>
      <c r="I159">
        <v>0</v>
      </c>
      <c r="J159">
        <v>4</v>
      </c>
      <c r="K159">
        <v>1</v>
      </c>
      <c r="L159">
        <v>3</v>
      </c>
      <c r="M159">
        <v>3</v>
      </c>
      <c r="N159">
        <v>0</v>
      </c>
      <c r="O159" t="str">
        <f>IF(Table1[[#This Row],[sex]]=1,"Male","Female")</f>
        <v>Female</v>
      </c>
      <c r="P159" t="str">
        <f>IF(Table1[[#This Row],[cp]]=0,"Typical Angina",IF(Table1[[#This Row],[cp]]=1,"Atypical Angina",IF(Table1[[#This Row],[cp]]=2,"Non-Anginal Pain","Asymptomatic")))</f>
        <v>Typical Angina</v>
      </c>
      <c r="Q159">
        <f>IF(Table1[[#This Row],[trestbps]]&gt;=130, 1, 0)</f>
        <v>1</v>
      </c>
      <c r="R159">
        <f>IF(AND(Table1[[#This Row],[target]]=1,OR(Table1[[#This Row],[cp]]=0,Table1[[#This Row],[cp]]=1,Table1[[#This Row],[cp]]=2,Table1[[#This Row],[cp]])),1,0)</f>
        <v>0</v>
      </c>
      <c r="S159">
        <f>IF(AND(Table1[[#This Row],[Chest Pain + Target]]=1,Table1[[#This Row],[trestbps]]&gt;=130),1,0)</f>
        <v>0</v>
      </c>
      <c r="T159">
        <f>IF(AND(Table1[[#This Row],[Add BP]]=1,Table1[[#This Row],[chol]]&gt;=200),1,0)</f>
        <v>0</v>
      </c>
      <c r="U159">
        <f>IF(AND(Table1[[#This Row],[Add Cholestrol]]=1,Table1[[#This Row],[slope]]&gt;=2),1,0)</f>
        <v>0</v>
      </c>
      <c r="V159">
        <f>COUNTIFS(Table1[target],1)</f>
        <v>165</v>
      </c>
    </row>
    <row r="160" spans="1:22" x14ac:dyDescent="0.25">
      <c r="A160">
        <v>62</v>
      </c>
      <c r="B160">
        <v>0</v>
      </c>
      <c r="C160">
        <v>0</v>
      </c>
      <c r="D160">
        <v>150</v>
      </c>
      <c r="E160">
        <v>244</v>
      </c>
      <c r="F160">
        <v>0</v>
      </c>
      <c r="G160">
        <v>1</v>
      </c>
      <c r="H160">
        <v>154</v>
      </c>
      <c r="I160">
        <v>1</v>
      </c>
      <c r="J160">
        <v>1.4</v>
      </c>
      <c r="K160">
        <v>1</v>
      </c>
      <c r="L160">
        <v>0</v>
      </c>
      <c r="M160">
        <v>2</v>
      </c>
      <c r="N160">
        <v>0</v>
      </c>
      <c r="O160" t="str">
        <f>IF(Table1[[#This Row],[sex]]=1,"Male","Female")</f>
        <v>Female</v>
      </c>
      <c r="P160" t="str">
        <f>IF(Table1[[#This Row],[cp]]=0,"Typical Angina",IF(Table1[[#This Row],[cp]]=1,"Atypical Angina",IF(Table1[[#This Row],[cp]]=2,"Non-Anginal Pain","Asymptomatic")))</f>
        <v>Typical Angina</v>
      </c>
      <c r="Q160">
        <f>IF(Table1[[#This Row],[trestbps]]&gt;=130, 1, 0)</f>
        <v>1</v>
      </c>
      <c r="R160">
        <f>IF(AND(Table1[[#This Row],[target]]=1,OR(Table1[[#This Row],[cp]]=0,Table1[[#This Row],[cp]]=1,Table1[[#This Row],[cp]]=2,Table1[[#This Row],[cp]])),1,0)</f>
        <v>0</v>
      </c>
      <c r="S160">
        <f>IF(AND(Table1[[#This Row],[Chest Pain + Target]]=1,Table1[[#This Row],[trestbps]]&gt;=130),1,0)</f>
        <v>0</v>
      </c>
      <c r="T160">
        <f>IF(AND(Table1[[#This Row],[Add BP]]=1,Table1[[#This Row],[chol]]&gt;=200),1,0)</f>
        <v>0</v>
      </c>
      <c r="U160">
        <f>IF(AND(Table1[[#This Row],[Add Cholestrol]]=1,Table1[[#This Row],[slope]]&gt;=2),1,0)</f>
        <v>0</v>
      </c>
      <c r="V160">
        <f>COUNTIFS(Table1[target],1)</f>
        <v>165</v>
      </c>
    </row>
    <row r="161" spans="1:22" x14ac:dyDescent="0.25">
      <c r="A161">
        <v>55</v>
      </c>
      <c r="B161">
        <v>1</v>
      </c>
      <c r="C161">
        <v>1</v>
      </c>
      <c r="D161">
        <v>130</v>
      </c>
      <c r="E161">
        <v>262</v>
      </c>
      <c r="F161">
        <v>0</v>
      </c>
      <c r="G161">
        <v>1</v>
      </c>
      <c r="H161">
        <v>155</v>
      </c>
      <c r="I161">
        <v>0</v>
      </c>
      <c r="J161">
        <v>0</v>
      </c>
      <c r="K161">
        <v>2</v>
      </c>
      <c r="L161">
        <v>0</v>
      </c>
      <c r="M161">
        <v>2</v>
      </c>
      <c r="N161">
        <v>1</v>
      </c>
      <c r="O161" t="str">
        <f>IF(Table1[[#This Row],[sex]]=1,"Male","Female")</f>
        <v>Male</v>
      </c>
      <c r="P161" t="str">
        <f>IF(Table1[[#This Row],[cp]]=0,"Typical Angina",IF(Table1[[#This Row],[cp]]=1,"Atypical Angina",IF(Table1[[#This Row],[cp]]=2,"Non-Anginal Pain","Asymptomatic")))</f>
        <v>Atypical Angina</v>
      </c>
      <c r="Q161">
        <f>IF(Table1[[#This Row],[trestbps]]&gt;=130, 1, 0)</f>
        <v>1</v>
      </c>
      <c r="R161">
        <f>IF(AND(Table1[[#This Row],[target]]=1,OR(Table1[[#This Row],[cp]]=0,Table1[[#This Row],[cp]]=1,Table1[[#This Row],[cp]]=2,Table1[[#This Row],[cp]])),1,0)</f>
        <v>1</v>
      </c>
      <c r="S161">
        <f>IF(AND(Table1[[#This Row],[Chest Pain + Target]]=1,Table1[[#This Row],[trestbps]]&gt;=130),1,0)</f>
        <v>1</v>
      </c>
      <c r="T161">
        <f>IF(AND(Table1[[#This Row],[Add BP]]=1,Table1[[#This Row],[chol]]&gt;=200),1,0)</f>
        <v>1</v>
      </c>
      <c r="U161">
        <f>IF(AND(Table1[[#This Row],[Add Cholestrol]]=1,Table1[[#This Row],[slope]]&gt;=2),1,0)</f>
        <v>1</v>
      </c>
      <c r="V161">
        <f>COUNTIFS(Table1[target],1)</f>
        <v>165</v>
      </c>
    </row>
    <row r="162" spans="1:22" x14ac:dyDescent="0.25">
      <c r="A162">
        <v>64</v>
      </c>
      <c r="B162">
        <v>1</v>
      </c>
      <c r="C162">
        <v>3</v>
      </c>
      <c r="D162">
        <v>170</v>
      </c>
      <c r="E162">
        <v>227</v>
      </c>
      <c r="F162">
        <v>0</v>
      </c>
      <c r="G162">
        <v>0</v>
      </c>
      <c r="H162">
        <v>155</v>
      </c>
      <c r="I162">
        <v>0</v>
      </c>
      <c r="J162">
        <v>0.6</v>
      </c>
      <c r="K162">
        <v>1</v>
      </c>
      <c r="L162">
        <v>0</v>
      </c>
      <c r="M162">
        <v>3</v>
      </c>
      <c r="N162">
        <v>1</v>
      </c>
      <c r="O162" t="str">
        <f>IF(Table1[[#This Row],[sex]]=1,"Male","Female")</f>
        <v>Male</v>
      </c>
      <c r="P162" t="str">
        <f>IF(Table1[[#This Row],[cp]]=0,"Typical Angina",IF(Table1[[#This Row],[cp]]=1,"Atypical Angina",IF(Table1[[#This Row],[cp]]=2,"Non-Anginal Pain","Asymptomatic")))</f>
        <v>Asymptomatic</v>
      </c>
      <c r="Q162">
        <f>IF(Table1[[#This Row],[trestbps]]&gt;=130, 1, 0)</f>
        <v>1</v>
      </c>
      <c r="R162">
        <f>IF(AND(Table1[[#This Row],[target]]=1,OR(Table1[[#This Row],[cp]]=0,Table1[[#This Row],[cp]]=1,Table1[[#This Row],[cp]]=2,Table1[[#This Row],[cp]])),1,0)</f>
        <v>1</v>
      </c>
      <c r="S162">
        <f>IF(AND(Table1[[#This Row],[Chest Pain + Target]]=1,Table1[[#This Row],[trestbps]]&gt;=130),1,0)</f>
        <v>1</v>
      </c>
      <c r="T162">
        <f>IF(AND(Table1[[#This Row],[Add BP]]=1,Table1[[#This Row],[chol]]&gt;=200),1,0)</f>
        <v>1</v>
      </c>
      <c r="U162">
        <f>IF(AND(Table1[[#This Row],[Add Cholestrol]]=1,Table1[[#This Row],[slope]]&gt;=2),1,0)</f>
        <v>0</v>
      </c>
      <c r="V162">
        <f>COUNTIFS(Table1[target],1)</f>
        <v>165</v>
      </c>
    </row>
    <row r="163" spans="1:22" x14ac:dyDescent="0.25">
      <c r="A163">
        <v>53</v>
      </c>
      <c r="B163">
        <v>1</v>
      </c>
      <c r="C163">
        <v>0</v>
      </c>
      <c r="D163">
        <v>140</v>
      </c>
      <c r="E163">
        <v>203</v>
      </c>
      <c r="F163">
        <v>1</v>
      </c>
      <c r="G163">
        <v>0</v>
      </c>
      <c r="H163">
        <v>155</v>
      </c>
      <c r="I163">
        <v>1</v>
      </c>
      <c r="J163">
        <v>3.1</v>
      </c>
      <c r="K163">
        <v>0</v>
      </c>
      <c r="L163">
        <v>0</v>
      </c>
      <c r="M163">
        <v>3</v>
      </c>
      <c r="N163">
        <v>0</v>
      </c>
      <c r="O163" t="str">
        <f>IF(Table1[[#This Row],[sex]]=1,"Male","Female")</f>
        <v>Male</v>
      </c>
      <c r="P163" t="str">
        <f>IF(Table1[[#This Row],[cp]]=0,"Typical Angina",IF(Table1[[#This Row],[cp]]=1,"Atypical Angina",IF(Table1[[#This Row],[cp]]=2,"Non-Anginal Pain","Asymptomatic")))</f>
        <v>Typical Angina</v>
      </c>
      <c r="Q163">
        <f>IF(Table1[[#This Row],[trestbps]]&gt;=130, 1, 0)</f>
        <v>1</v>
      </c>
      <c r="R163">
        <f>IF(AND(Table1[[#This Row],[target]]=1,OR(Table1[[#This Row],[cp]]=0,Table1[[#This Row],[cp]]=1,Table1[[#This Row],[cp]]=2,Table1[[#This Row],[cp]])),1,0)</f>
        <v>0</v>
      </c>
      <c r="S163">
        <f>IF(AND(Table1[[#This Row],[Chest Pain + Target]]=1,Table1[[#This Row],[trestbps]]&gt;=130),1,0)</f>
        <v>0</v>
      </c>
      <c r="T163">
        <f>IF(AND(Table1[[#This Row],[Add BP]]=1,Table1[[#This Row],[chol]]&gt;=200),1,0)</f>
        <v>0</v>
      </c>
      <c r="U163">
        <f>IF(AND(Table1[[#This Row],[Add Cholestrol]]=1,Table1[[#This Row],[slope]]&gt;=2),1,0)</f>
        <v>0</v>
      </c>
      <c r="V163">
        <f>COUNTIFS(Table1[target],1)</f>
        <v>165</v>
      </c>
    </row>
    <row r="164" spans="1:22" x14ac:dyDescent="0.25">
      <c r="A164">
        <v>60</v>
      </c>
      <c r="B164">
        <v>1</v>
      </c>
      <c r="C164">
        <v>2</v>
      </c>
      <c r="D164">
        <v>140</v>
      </c>
      <c r="E164">
        <v>185</v>
      </c>
      <c r="F164">
        <v>0</v>
      </c>
      <c r="G164">
        <v>0</v>
      </c>
      <c r="H164">
        <v>155</v>
      </c>
      <c r="I164">
        <v>0</v>
      </c>
      <c r="J164">
        <v>3</v>
      </c>
      <c r="K164">
        <v>1</v>
      </c>
      <c r="L164">
        <v>0</v>
      </c>
      <c r="M164">
        <v>2</v>
      </c>
      <c r="N164">
        <v>0</v>
      </c>
      <c r="O164" t="str">
        <f>IF(Table1[[#This Row],[sex]]=1,"Male","Female")</f>
        <v>Male</v>
      </c>
      <c r="P164" t="str">
        <f>IF(Table1[[#This Row],[cp]]=0,"Typical Angina",IF(Table1[[#This Row],[cp]]=1,"Atypical Angina",IF(Table1[[#This Row],[cp]]=2,"Non-Anginal Pain","Asymptomatic")))</f>
        <v>Non-Anginal Pain</v>
      </c>
      <c r="Q164">
        <f>IF(Table1[[#This Row],[trestbps]]&gt;=130, 1, 0)</f>
        <v>1</v>
      </c>
      <c r="R164">
        <f>IF(AND(Table1[[#This Row],[target]]=1,OR(Table1[[#This Row],[cp]]=0,Table1[[#This Row],[cp]]=1,Table1[[#This Row],[cp]]=2,Table1[[#This Row],[cp]])),1,0)</f>
        <v>0</v>
      </c>
      <c r="S164">
        <f>IF(AND(Table1[[#This Row],[Chest Pain + Target]]=1,Table1[[#This Row],[trestbps]]&gt;=130),1,0)</f>
        <v>0</v>
      </c>
      <c r="T164">
        <f>IF(AND(Table1[[#This Row],[Add BP]]=1,Table1[[#This Row],[chol]]&gt;=200),1,0)</f>
        <v>0</v>
      </c>
      <c r="U164">
        <f>IF(AND(Table1[[#This Row],[Add Cholestrol]]=1,Table1[[#This Row],[slope]]&gt;=2),1,0)</f>
        <v>0</v>
      </c>
      <c r="V164">
        <f>COUNTIFS(Table1[target],1)</f>
        <v>165</v>
      </c>
    </row>
    <row r="165" spans="1:22" x14ac:dyDescent="0.25">
      <c r="A165">
        <v>47</v>
      </c>
      <c r="B165">
        <v>1</v>
      </c>
      <c r="C165">
        <v>2</v>
      </c>
      <c r="D165">
        <v>138</v>
      </c>
      <c r="E165">
        <v>257</v>
      </c>
      <c r="F165">
        <v>0</v>
      </c>
      <c r="G165">
        <v>0</v>
      </c>
      <c r="H165">
        <v>156</v>
      </c>
      <c r="I165">
        <v>0</v>
      </c>
      <c r="J165">
        <v>0</v>
      </c>
      <c r="K165">
        <v>2</v>
      </c>
      <c r="L165">
        <v>0</v>
      </c>
      <c r="M165">
        <v>2</v>
      </c>
      <c r="N165">
        <v>1</v>
      </c>
      <c r="O165" t="str">
        <f>IF(Table1[[#This Row],[sex]]=1,"Male","Female")</f>
        <v>Male</v>
      </c>
      <c r="P165" t="str">
        <f>IF(Table1[[#This Row],[cp]]=0,"Typical Angina",IF(Table1[[#This Row],[cp]]=1,"Atypical Angina",IF(Table1[[#This Row],[cp]]=2,"Non-Anginal Pain","Asymptomatic")))</f>
        <v>Non-Anginal Pain</v>
      </c>
      <c r="Q165">
        <f>IF(Table1[[#This Row],[trestbps]]&gt;=130, 1, 0)</f>
        <v>1</v>
      </c>
      <c r="R165">
        <f>IF(AND(Table1[[#This Row],[target]]=1,OR(Table1[[#This Row],[cp]]=0,Table1[[#This Row],[cp]]=1,Table1[[#This Row],[cp]]=2,Table1[[#This Row],[cp]])),1,0)</f>
        <v>1</v>
      </c>
      <c r="S165">
        <f>IF(AND(Table1[[#This Row],[Chest Pain + Target]]=1,Table1[[#This Row],[trestbps]]&gt;=130),1,0)</f>
        <v>1</v>
      </c>
      <c r="T165">
        <f>IF(AND(Table1[[#This Row],[Add BP]]=1,Table1[[#This Row],[chol]]&gt;=200),1,0)</f>
        <v>1</v>
      </c>
      <c r="U165">
        <f>IF(AND(Table1[[#This Row],[Add Cholestrol]]=1,Table1[[#This Row],[slope]]&gt;=2),1,0)</f>
        <v>1</v>
      </c>
      <c r="V165">
        <f>COUNTIFS(Table1[target],1)</f>
        <v>165</v>
      </c>
    </row>
    <row r="166" spans="1:22" x14ac:dyDescent="0.25">
      <c r="A166">
        <v>54</v>
      </c>
      <c r="B166">
        <v>1</v>
      </c>
      <c r="C166">
        <v>1</v>
      </c>
      <c r="D166">
        <v>108</v>
      </c>
      <c r="E166">
        <v>309</v>
      </c>
      <c r="F166">
        <v>0</v>
      </c>
      <c r="G166">
        <v>1</v>
      </c>
      <c r="H166">
        <v>156</v>
      </c>
      <c r="I166">
        <v>0</v>
      </c>
      <c r="J166">
        <v>0</v>
      </c>
      <c r="K166">
        <v>2</v>
      </c>
      <c r="L166">
        <v>0</v>
      </c>
      <c r="M166">
        <v>3</v>
      </c>
      <c r="N166">
        <v>1</v>
      </c>
      <c r="O166" t="str">
        <f>IF(Table1[[#This Row],[sex]]=1,"Male","Female")</f>
        <v>Male</v>
      </c>
      <c r="P166" t="str">
        <f>IF(Table1[[#This Row],[cp]]=0,"Typical Angina",IF(Table1[[#This Row],[cp]]=1,"Atypical Angina",IF(Table1[[#This Row],[cp]]=2,"Non-Anginal Pain","Asymptomatic")))</f>
        <v>Atypical Angina</v>
      </c>
      <c r="Q166">
        <f>IF(Table1[[#This Row],[trestbps]]&gt;=130, 1, 0)</f>
        <v>0</v>
      </c>
      <c r="R166">
        <f>IF(AND(Table1[[#This Row],[target]]=1,OR(Table1[[#This Row],[cp]]=0,Table1[[#This Row],[cp]]=1,Table1[[#This Row],[cp]]=2,Table1[[#This Row],[cp]])),1,0)</f>
        <v>1</v>
      </c>
      <c r="S166">
        <f>IF(AND(Table1[[#This Row],[Chest Pain + Target]]=1,Table1[[#This Row],[trestbps]]&gt;=130),1,0)</f>
        <v>0</v>
      </c>
      <c r="T166">
        <f>IF(AND(Table1[[#This Row],[Add BP]]=1,Table1[[#This Row],[chol]]&gt;=200),1,0)</f>
        <v>0</v>
      </c>
      <c r="U166">
        <f>IF(AND(Table1[[#This Row],[Add Cholestrol]]=1,Table1[[#This Row],[slope]]&gt;=2),1,0)</f>
        <v>0</v>
      </c>
      <c r="V166">
        <f>COUNTIFS(Table1[target],1)</f>
        <v>165</v>
      </c>
    </row>
    <row r="167" spans="1:22" x14ac:dyDescent="0.25">
      <c r="A167">
        <v>46</v>
      </c>
      <c r="B167">
        <v>1</v>
      </c>
      <c r="C167">
        <v>1</v>
      </c>
      <c r="D167">
        <v>101</v>
      </c>
      <c r="E167">
        <v>197</v>
      </c>
      <c r="F167">
        <v>1</v>
      </c>
      <c r="G167">
        <v>1</v>
      </c>
      <c r="H167">
        <v>156</v>
      </c>
      <c r="I167">
        <v>0</v>
      </c>
      <c r="J167">
        <v>0</v>
      </c>
      <c r="K167">
        <v>2</v>
      </c>
      <c r="L167">
        <v>0</v>
      </c>
      <c r="M167">
        <v>3</v>
      </c>
      <c r="N167">
        <v>1</v>
      </c>
      <c r="O167" t="str">
        <f>IF(Table1[[#This Row],[sex]]=1,"Male","Female")</f>
        <v>Male</v>
      </c>
      <c r="P167" t="str">
        <f>IF(Table1[[#This Row],[cp]]=0,"Typical Angina",IF(Table1[[#This Row],[cp]]=1,"Atypical Angina",IF(Table1[[#This Row],[cp]]=2,"Non-Anginal Pain","Asymptomatic")))</f>
        <v>Atypical Angina</v>
      </c>
      <c r="Q167">
        <f>IF(Table1[[#This Row],[trestbps]]&gt;=130, 1, 0)</f>
        <v>0</v>
      </c>
      <c r="R167">
        <f>IF(AND(Table1[[#This Row],[target]]=1,OR(Table1[[#This Row],[cp]]=0,Table1[[#This Row],[cp]]=1,Table1[[#This Row],[cp]]=2,Table1[[#This Row],[cp]])),1,0)</f>
        <v>1</v>
      </c>
      <c r="S167">
        <f>IF(AND(Table1[[#This Row],[Chest Pain + Target]]=1,Table1[[#This Row],[trestbps]]&gt;=130),1,0)</f>
        <v>0</v>
      </c>
      <c r="T167">
        <f>IF(AND(Table1[[#This Row],[Add BP]]=1,Table1[[#This Row],[chol]]&gt;=200),1,0)</f>
        <v>0</v>
      </c>
      <c r="U167">
        <f>IF(AND(Table1[[#This Row],[Add Cholestrol]]=1,Table1[[#This Row],[slope]]&gt;=2),1,0)</f>
        <v>0</v>
      </c>
      <c r="V167">
        <f>COUNTIFS(Table1[target],1)</f>
        <v>165</v>
      </c>
    </row>
    <row r="168" spans="1:22" x14ac:dyDescent="0.25">
      <c r="A168">
        <v>35</v>
      </c>
      <c r="B168">
        <v>1</v>
      </c>
      <c r="C168">
        <v>0</v>
      </c>
      <c r="D168">
        <v>126</v>
      </c>
      <c r="E168">
        <v>282</v>
      </c>
      <c r="F168">
        <v>0</v>
      </c>
      <c r="G168">
        <v>0</v>
      </c>
      <c r="H168">
        <v>156</v>
      </c>
      <c r="I168">
        <v>1</v>
      </c>
      <c r="J168">
        <v>0</v>
      </c>
      <c r="K168">
        <v>2</v>
      </c>
      <c r="L168">
        <v>0</v>
      </c>
      <c r="M168">
        <v>3</v>
      </c>
      <c r="N168">
        <v>0</v>
      </c>
      <c r="O168" t="str">
        <f>IF(Table1[[#This Row],[sex]]=1,"Male","Female")</f>
        <v>Male</v>
      </c>
      <c r="P168" t="str">
        <f>IF(Table1[[#This Row],[cp]]=0,"Typical Angina",IF(Table1[[#This Row],[cp]]=1,"Atypical Angina",IF(Table1[[#This Row],[cp]]=2,"Non-Anginal Pain","Asymptomatic")))</f>
        <v>Typical Angina</v>
      </c>
      <c r="Q168">
        <f>IF(Table1[[#This Row],[trestbps]]&gt;=130, 1, 0)</f>
        <v>0</v>
      </c>
      <c r="R168">
        <f>IF(AND(Table1[[#This Row],[target]]=1,OR(Table1[[#This Row],[cp]]=0,Table1[[#This Row],[cp]]=1,Table1[[#This Row],[cp]]=2,Table1[[#This Row],[cp]])),1,0)</f>
        <v>0</v>
      </c>
      <c r="S168">
        <f>IF(AND(Table1[[#This Row],[Chest Pain + Target]]=1,Table1[[#This Row],[trestbps]]&gt;=130),1,0)</f>
        <v>0</v>
      </c>
      <c r="T168">
        <f>IF(AND(Table1[[#This Row],[Add BP]]=1,Table1[[#This Row],[chol]]&gt;=200),1,0)</f>
        <v>0</v>
      </c>
      <c r="U168">
        <f>IF(AND(Table1[[#This Row],[Add Cholestrol]]=1,Table1[[#This Row],[slope]]&gt;=2),1,0)</f>
        <v>0</v>
      </c>
      <c r="V168">
        <f>COUNTIFS(Table1[target],1)</f>
        <v>165</v>
      </c>
    </row>
    <row r="169" spans="1:22" x14ac:dyDescent="0.25">
      <c r="A169">
        <v>58</v>
      </c>
      <c r="B169">
        <v>1</v>
      </c>
      <c r="C169">
        <v>0</v>
      </c>
      <c r="D169">
        <v>100</v>
      </c>
      <c r="E169">
        <v>234</v>
      </c>
      <c r="F169">
        <v>0</v>
      </c>
      <c r="G169">
        <v>1</v>
      </c>
      <c r="H169">
        <v>156</v>
      </c>
      <c r="I169">
        <v>0</v>
      </c>
      <c r="J169">
        <v>0.1</v>
      </c>
      <c r="K169">
        <v>2</v>
      </c>
      <c r="L169">
        <v>1</v>
      </c>
      <c r="M169">
        <v>3</v>
      </c>
      <c r="N169">
        <v>0</v>
      </c>
      <c r="O169" t="str">
        <f>IF(Table1[[#This Row],[sex]]=1,"Male","Female")</f>
        <v>Male</v>
      </c>
      <c r="P169" t="str">
        <f>IF(Table1[[#This Row],[cp]]=0,"Typical Angina",IF(Table1[[#This Row],[cp]]=1,"Atypical Angina",IF(Table1[[#This Row],[cp]]=2,"Non-Anginal Pain","Asymptomatic")))</f>
        <v>Typical Angina</v>
      </c>
      <c r="Q169">
        <f>IF(Table1[[#This Row],[trestbps]]&gt;=130, 1, 0)</f>
        <v>0</v>
      </c>
      <c r="R169">
        <f>IF(AND(Table1[[#This Row],[target]]=1,OR(Table1[[#This Row],[cp]]=0,Table1[[#This Row],[cp]]=1,Table1[[#This Row],[cp]]=2,Table1[[#This Row],[cp]])),1,0)</f>
        <v>0</v>
      </c>
      <c r="S169">
        <f>IF(AND(Table1[[#This Row],[Chest Pain + Target]]=1,Table1[[#This Row],[trestbps]]&gt;=130),1,0)</f>
        <v>0</v>
      </c>
      <c r="T169">
        <f>IF(AND(Table1[[#This Row],[Add BP]]=1,Table1[[#This Row],[chol]]&gt;=200),1,0)</f>
        <v>0</v>
      </c>
      <c r="U169">
        <f>IF(AND(Table1[[#This Row],[Add Cholestrol]]=1,Table1[[#This Row],[slope]]&gt;=2),1,0)</f>
        <v>0</v>
      </c>
      <c r="V169">
        <f>COUNTIFS(Table1[target],1)</f>
        <v>165</v>
      </c>
    </row>
    <row r="170" spans="1:22" x14ac:dyDescent="0.25">
      <c r="A170">
        <v>52</v>
      </c>
      <c r="B170">
        <v>1</v>
      </c>
      <c r="C170">
        <v>0</v>
      </c>
      <c r="D170">
        <v>128</v>
      </c>
      <c r="E170">
        <v>204</v>
      </c>
      <c r="F170">
        <v>1</v>
      </c>
      <c r="G170">
        <v>1</v>
      </c>
      <c r="H170">
        <v>156</v>
      </c>
      <c r="I170">
        <v>1</v>
      </c>
      <c r="J170">
        <v>1</v>
      </c>
      <c r="K170">
        <v>1</v>
      </c>
      <c r="L170">
        <v>0</v>
      </c>
      <c r="M170">
        <v>0</v>
      </c>
      <c r="N170">
        <v>0</v>
      </c>
      <c r="O170" t="str">
        <f>IF(Table1[[#This Row],[sex]]=1,"Male","Female")</f>
        <v>Male</v>
      </c>
      <c r="P170" t="str">
        <f>IF(Table1[[#This Row],[cp]]=0,"Typical Angina",IF(Table1[[#This Row],[cp]]=1,"Atypical Angina",IF(Table1[[#This Row],[cp]]=2,"Non-Anginal Pain","Asymptomatic")))</f>
        <v>Typical Angina</v>
      </c>
      <c r="Q170">
        <f>IF(Table1[[#This Row],[trestbps]]&gt;=130, 1, 0)</f>
        <v>0</v>
      </c>
      <c r="R170">
        <f>IF(AND(Table1[[#This Row],[target]]=1,OR(Table1[[#This Row],[cp]]=0,Table1[[#This Row],[cp]]=1,Table1[[#This Row],[cp]]=2,Table1[[#This Row],[cp]])),1,0)</f>
        <v>0</v>
      </c>
      <c r="S170">
        <f>IF(AND(Table1[[#This Row],[Chest Pain + Target]]=1,Table1[[#This Row],[trestbps]]&gt;=130),1,0)</f>
        <v>0</v>
      </c>
      <c r="T170">
        <f>IF(AND(Table1[[#This Row],[Add BP]]=1,Table1[[#This Row],[chol]]&gt;=200),1,0)</f>
        <v>0</v>
      </c>
      <c r="U170">
        <f>IF(AND(Table1[[#This Row],[Add Cholestrol]]=1,Table1[[#This Row],[slope]]&gt;=2),1,0)</f>
        <v>0</v>
      </c>
      <c r="V170">
        <f>COUNTIFS(Table1[target],1)</f>
        <v>165</v>
      </c>
    </row>
    <row r="171" spans="1:22" x14ac:dyDescent="0.25">
      <c r="A171">
        <v>59</v>
      </c>
      <c r="B171">
        <v>1</v>
      </c>
      <c r="C171">
        <v>2</v>
      </c>
      <c r="D171">
        <v>150</v>
      </c>
      <c r="E171">
        <v>212</v>
      </c>
      <c r="F171">
        <v>1</v>
      </c>
      <c r="G171">
        <v>1</v>
      </c>
      <c r="H171">
        <v>157</v>
      </c>
      <c r="I171">
        <v>0</v>
      </c>
      <c r="J171">
        <v>1.6</v>
      </c>
      <c r="K171">
        <v>2</v>
      </c>
      <c r="L171">
        <v>0</v>
      </c>
      <c r="M171">
        <v>2</v>
      </c>
      <c r="N171">
        <v>1</v>
      </c>
      <c r="O171" t="str">
        <f>IF(Table1[[#This Row],[sex]]=1,"Male","Female")</f>
        <v>Male</v>
      </c>
      <c r="P171" t="str">
        <f>IF(Table1[[#This Row],[cp]]=0,"Typical Angina",IF(Table1[[#This Row],[cp]]=1,"Atypical Angina",IF(Table1[[#This Row],[cp]]=2,"Non-Anginal Pain","Asymptomatic")))</f>
        <v>Non-Anginal Pain</v>
      </c>
      <c r="Q171">
        <f>IF(Table1[[#This Row],[trestbps]]&gt;=130, 1, 0)</f>
        <v>1</v>
      </c>
      <c r="R171">
        <f>IF(AND(Table1[[#This Row],[target]]=1,OR(Table1[[#This Row],[cp]]=0,Table1[[#This Row],[cp]]=1,Table1[[#This Row],[cp]]=2,Table1[[#This Row],[cp]])),1,0)</f>
        <v>1</v>
      </c>
      <c r="S171">
        <f>IF(AND(Table1[[#This Row],[Chest Pain + Target]]=1,Table1[[#This Row],[trestbps]]&gt;=130),1,0)</f>
        <v>1</v>
      </c>
      <c r="T171">
        <f>IF(AND(Table1[[#This Row],[Add BP]]=1,Table1[[#This Row],[chol]]&gt;=200),1,0)</f>
        <v>1</v>
      </c>
      <c r="U171">
        <f>IF(AND(Table1[[#This Row],[Add Cholestrol]]=1,Table1[[#This Row],[slope]]&gt;=2),1,0)</f>
        <v>1</v>
      </c>
      <c r="V171">
        <f>COUNTIFS(Table1[target],1)</f>
        <v>165</v>
      </c>
    </row>
    <row r="172" spans="1:22" x14ac:dyDescent="0.25">
      <c r="A172">
        <v>65</v>
      </c>
      <c r="B172">
        <v>0</v>
      </c>
      <c r="C172">
        <v>2</v>
      </c>
      <c r="D172">
        <v>140</v>
      </c>
      <c r="E172">
        <v>417</v>
      </c>
      <c r="F172">
        <v>1</v>
      </c>
      <c r="G172">
        <v>0</v>
      </c>
      <c r="H172">
        <v>157</v>
      </c>
      <c r="I172">
        <v>0</v>
      </c>
      <c r="J172">
        <v>0.8</v>
      </c>
      <c r="K172">
        <v>2</v>
      </c>
      <c r="L172">
        <v>1</v>
      </c>
      <c r="M172">
        <v>2</v>
      </c>
      <c r="N172">
        <v>1</v>
      </c>
      <c r="O172" t="str">
        <f>IF(Table1[[#This Row],[sex]]=1,"Male","Female")</f>
        <v>Female</v>
      </c>
      <c r="P172" t="str">
        <f>IF(Table1[[#This Row],[cp]]=0,"Typical Angina",IF(Table1[[#This Row],[cp]]=1,"Atypical Angina",IF(Table1[[#This Row],[cp]]=2,"Non-Anginal Pain","Asymptomatic")))</f>
        <v>Non-Anginal Pain</v>
      </c>
      <c r="Q172">
        <f>IF(Table1[[#This Row],[trestbps]]&gt;=130, 1, 0)</f>
        <v>1</v>
      </c>
      <c r="R172">
        <f>IF(AND(Table1[[#This Row],[target]]=1,OR(Table1[[#This Row],[cp]]=0,Table1[[#This Row],[cp]]=1,Table1[[#This Row],[cp]]=2,Table1[[#This Row],[cp]])),1,0)</f>
        <v>1</v>
      </c>
      <c r="S172">
        <f>IF(AND(Table1[[#This Row],[Chest Pain + Target]]=1,Table1[[#This Row],[trestbps]]&gt;=130),1,0)</f>
        <v>1</v>
      </c>
      <c r="T172">
        <f>IF(AND(Table1[[#This Row],[Add BP]]=1,Table1[[#This Row],[chol]]&gt;=200),1,0)</f>
        <v>1</v>
      </c>
      <c r="U172">
        <f>IF(AND(Table1[[#This Row],[Add Cholestrol]]=1,Table1[[#This Row],[slope]]&gt;=2),1,0)</f>
        <v>1</v>
      </c>
      <c r="V172">
        <f>COUNTIFS(Table1[target],1)</f>
        <v>165</v>
      </c>
    </row>
    <row r="173" spans="1:22" x14ac:dyDescent="0.25">
      <c r="A173">
        <v>62</v>
      </c>
      <c r="B173">
        <v>0</v>
      </c>
      <c r="C173">
        <v>0</v>
      </c>
      <c r="D173">
        <v>140</v>
      </c>
      <c r="E173">
        <v>394</v>
      </c>
      <c r="F173">
        <v>0</v>
      </c>
      <c r="G173">
        <v>0</v>
      </c>
      <c r="H173">
        <v>157</v>
      </c>
      <c r="I173">
        <v>0</v>
      </c>
      <c r="J173">
        <v>1.2</v>
      </c>
      <c r="K173">
        <v>1</v>
      </c>
      <c r="L173">
        <v>0</v>
      </c>
      <c r="M173">
        <v>2</v>
      </c>
      <c r="N173">
        <v>1</v>
      </c>
      <c r="O173" t="str">
        <f>IF(Table1[[#This Row],[sex]]=1,"Male","Female")</f>
        <v>Female</v>
      </c>
      <c r="P173" t="str">
        <f>IF(Table1[[#This Row],[cp]]=0,"Typical Angina",IF(Table1[[#This Row],[cp]]=1,"Atypical Angina",IF(Table1[[#This Row],[cp]]=2,"Non-Anginal Pain","Asymptomatic")))</f>
        <v>Typical Angina</v>
      </c>
      <c r="Q173">
        <f>IF(Table1[[#This Row],[trestbps]]&gt;=130, 1, 0)</f>
        <v>1</v>
      </c>
      <c r="R173">
        <f>IF(AND(Table1[[#This Row],[target]]=1,OR(Table1[[#This Row],[cp]]=0,Table1[[#This Row],[cp]]=1,Table1[[#This Row],[cp]]=2,Table1[[#This Row],[cp]])),1,0)</f>
        <v>1</v>
      </c>
      <c r="S173">
        <f>IF(AND(Table1[[#This Row],[Chest Pain + Target]]=1,Table1[[#This Row],[trestbps]]&gt;=130),1,0)</f>
        <v>1</v>
      </c>
      <c r="T173">
        <f>IF(AND(Table1[[#This Row],[Add BP]]=1,Table1[[#This Row],[chol]]&gt;=200),1,0)</f>
        <v>1</v>
      </c>
      <c r="U173">
        <f>IF(AND(Table1[[#This Row],[Add Cholestrol]]=1,Table1[[#This Row],[slope]]&gt;=2),1,0)</f>
        <v>0</v>
      </c>
      <c r="V173">
        <f>COUNTIFS(Table1[target],1)</f>
        <v>165</v>
      </c>
    </row>
    <row r="174" spans="1:22" x14ac:dyDescent="0.25">
      <c r="A174">
        <v>51</v>
      </c>
      <c r="B174">
        <v>0</v>
      </c>
      <c r="C174">
        <v>2</v>
      </c>
      <c r="D174">
        <v>120</v>
      </c>
      <c r="E174">
        <v>295</v>
      </c>
      <c r="F174">
        <v>0</v>
      </c>
      <c r="G174">
        <v>0</v>
      </c>
      <c r="H174">
        <v>157</v>
      </c>
      <c r="I174">
        <v>0</v>
      </c>
      <c r="J174">
        <v>0.6</v>
      </c>
      <c r="K174">
        <v>2</v>
      </c>
      <c r="L174">
        <v>0</v>
      </c>
      <c r="M174">
        <v>2</v>
      </c>
      <c r="N174">
        <v>1</v>
      </c>
      <c r="O174" t="str">
        <f>IF(Table1[[#This Row],[sex]]=1,"Male","Female")</f>
        <v>Female</v>
      </c>
      <c r="P174" t="str">
        <f>IF(Table1[[#This Row],[cp]]=0,"Typical Angina",IF(Table1[[#This Row],[cp]]=1,"Atypical Angina",IF(Table1[[#This Row],[cp]]=2,"Non-Anginal Pain","Asymptomatic")))</f>
        <v>Non-Anginal Pain</v>
      </c>
      <c r="Q174">
        <f>IF(Table1[[#This Row],[trestbps]]&gt;=130, 1, 0)</f>
        <v>0</v>
      </c>
      <c r="R174">
        <f>IF(AND(Table1[[#This Row],[target]]=1,OR(Table1[[#This Row],[cp]]=0,Table1[[#This Row],[cp]]=1,Table1[[#This Row],[cp]]=2,Table1[[#This Row],[cp]])),1,0)</f>
        <v>1</v>
      </c>
      <c r="S174">
        <f>IF(AND(Table1[[#This Row],[Chest Pain + Target]]=1,Table1[[#This Row],[trestbps]]&gt;=130),1,0)</f>
        <v>0</v>
      </c>
      <c r="T174">
        <f>IF(AND(Table1[[#This Row],[Add BP]]=1,Table1[[#This Row],[chol]]&gt;=200),1,0)</f>
        <v>0</v>
      </c>
      <c r="U174">
        <f>IF(AND(Table1[[#This Row],[Add Cholestrol]]=1,Table1[[#This Row],[slope]]&gt;=2),1,0)</f>
        <v>0</v>
      </c>
      <c r="V174">
        <f>COUNTIFS(Table1[target],1)</f>
        <v>165</v>
      </c>
    </row>
    <row r="175" spans="1:22" x14ac:dyDescent="0.25">
      <c r="A175">
        <v>60</v>
      </c>
      <c r="B175">
        <v>0</v>
      </c>
      <c r="C175">
        <v>0</v>
      </c>
      <c r="D175">
        <v>150</v>
      </c>
      <c r="E175">
        <v>258</v>
      </c>
      <c r="F175">
        <v>0</v>
      </c>
      <c r="G175">
        <v>0</v>
      </c>
      <c r="H175">
        <v>157</v>
      </c>
      <c r="I175">
        <v>0</v>
      </c>
      <c r="J175">
        <v>2.6</v>
      </c>
      <c r="K175">
        <v>1</v>
      </c>
      <c r="L175">
        <v>2</v>
      </c>
      <c r="M175">
        <v>3</v>
      </c>
      <c r="N175">
        <v>0</v>
      </c>
      <c r="O175" t="str">
        <f>IF(Table1[[#This Row],[sex]]=1,"Male","Female")</f>
        <v>Female</v>
      </c>
      <c r="P175" t="str">
        <f>IF(Table1[[#This Row],[cp]]=0,"Typical Angina",IF(Table1[[#This Row],[cp]]=1,"Atypical Angina",IF(Table1[[#This Row],[cp]]=2,"Non-Anginal Pain","Asymptomatic")))</f>
        <v>Typical Angina</v>
      </c>
      <c r="Q175">
        <f>IF(Table1[[#This Row],[trestbps]]&gt;=130, 1, 0)</f>
        <v>1</v>
      </c>
      <c r="R175">
        <f>IF(AND(Table1[[#This Row],[target]]=1,OR(Table1[[#This Row],[cp]]=0,Table1[[#This Row],[cp]]=1,Table1[[#This Row],[cp]]=2,Table1[[#This Row],[cp]])),1,0)</f>
        <v>0</v>
      </c>
      <c r="S175">
        <f>IF(AND(Table1[[#This Row],[Chest Pain + Target]]=1,Table1[[#This Row],[trestbps]]&gt;=130),1,0)</f>
        <v>0</v>
      </c>
      <c r="T175">
        <f>IF(AND(Table1[[#This Row],[Add BP]]=1,Table1[[#This Row],[chol]]&gt;=200),1,0)</f>
        <v>0</v>
      </c>
      <c r="U175">
        <f>IF(AND(Table1[[#This Row],[Add Cholestrol]]=1,Table1[[#This Row],[slope]]&gt;=2),1,0)</f>
        <v>0</v>
      </c>
      <c r="V175">
        <f>COUNTIFS(Table1[target],1)</f>
        <v>165</v>
      </c>
    </row>
    <row r="176" spans="1:22" x14ac:dyDescent="0.25">
      <c r="A176">
        <v>50</v>
      </c>
      <c r="B176">
        <v>0</v>
      </c>
      <c r="C176">
        <v>2</v>
      </c>
      <c r="D176">
        <v>120</v>
      </c>
      <c r="E176">
        <v>219</v>
      </c>
      <c r="F176">
        <v>0</v>
      </c>
      <c r="G176">
        <v>1</v>
      </c>
      <c r="H176">
        <v>158</v>
      </c>
      <c r="I176">
        <v>0</v>
      </c>
      <c r="J176">
        <v>1.6</v>
      </c>
      <c r="K176">
        <v>1</v>
      </c>
      <c r="L176">
        <v>0</v>
      </c>
      <c r="M176">
        <v>2</v>
      </c>
      <c r="N176">
        <v>1</v>
      </c>
      <c r="O176" t="str">
        <f>IF(Table1[[#This Row],[sex]]=1,"Male","Female")</f>
        <v>Female</v>
      </c>
      <c r="P176" t="str">
        <f>IF(Table1[[#This Row],[cp]]=0,"Typical Angina",IF(Table1[[#This Row],[cp]]=1,"Atypical Angina",IF(Table1[[#This Row],[cp]]=2,"Non-Anginal Pain","Asymptomatic")))</f>
        <v>Non-Anginal Pain</v>
      </c>
      <c r="Q176">
        <f>IF(Table1[[#This Row],[trestbps]]&gt;=130, 1, 0)</f>
        <v>0</v>
      </c>
      <c r="R176">
        <f>IF(AND(Table1[[#This Row],[target]]=1,OR(Table1[[#This Row],[cp]]=0,Table1[[#This Row],[cp]]=1,Table1[[#This Row],[cp]]=2,Table1[[#This Row],[cp]])),1,0)</f>
        <v>1</v>
      </c>
      <c r="S176">
        <f>IF(AND(Table1[[#This Row],[Chest Pain + Target]]=1,Table1[[#This Row],[trestbps]]&gt;=130),1,0)</f>
        <v>0</v>
      </c>
      <c r="T176">
        <f>IF(AND(Table1[[#This Row],[Add BP]]=1,Table1[[#This Row],[chol]]&gt;=200),1,0)</f>
        <v>0</v>
      </c>
      <c r="U176">
        <f>IF(AND(Table1[[#This Row],[Add Cholestrol]]=1,Table1[[#This Row],[slope]]&gt;=2),1,0)</f>
        <v>0</v>
      </c>
      <c r="V176">
        <f>COUNTIFS(Table1[target],1)</f>
        <v>165</v>
      </c>
    </row>
    <row r="177" spans="1:22" x14ac:dyDescent="0.25">
      <c r="A177">
        <v>52</v>
      </c>
      <c r="B177">
        <v>1</v>
      </c>
      <c r="C177">
        <v>1</v>
      </c>
      <c r="D177">
        <v>134</v>
      </c>
      <c r="E177">
        <v>201</v>
      </c>
      <c r="F177">
        <v>0</v>
      </c>
      <c r="G177">
        <v>1</v>
      </c>
      <c r="H177">
        <v>158</v>
      </c>
      <c r="I177">
        <v>0</v>
      </c>
      <c r="J177">
        <v>0.8</v>
      </c>
      <c r="K177">
        <v>2</v>
      </c>
      <c r="L177">
        <v>1</v>
      </c>
      <c r="M177">
        <v>2</v>
      </c>
      <c r="N177">
        <v>1</v>
      </c>
      <c r="O177" t="str">
        <f>IF(Table1[[#This Row],[sex]]=1,"Male","Female")</f>
        <v>Male</v>
      </c>
      <c r="P177" t="str">
        <f>IF(Table1[[#This Row],[cp]]=0,"Typical Angina",IF(Table1[[#This Row],[cp]]=1,"Atypical Angina",IF(Table1[[#This Row],[cp]]=2,"Non-Anginal Pain","Asymptomatic")))</f>
        <v>Atypical Angina</v>
      </c>
      <c r="Q177">
        <f>IF(Table1[[#This Row],[trestbps]]&gt;=130, 1, 0)</f>
        <v>1</v>
      </c>
      <c r="R177">
        <f>IF(AND(Table1[[#This Row],[target]]=1,OR(Table1[[#This Row],[cp]]=0,Table1[[#This Row],[cp]]=1,Table1[[#This Row],[cp]]=2,Table1[[#This Row],[cp]])),1,0)</f>
        <v>1</v>
      </c>
      <c r="S177">
        <f>IF(AND(Table1[[#This Row],[Chest Pain + Target]]=1,Table1[[#This Row],[trestbps]]&gt;=130),1,0)</f>
        <v>1</v>
      </c>
      <c r="T177">
        <f>IF(AND(Table1[[#This Row],[Add BP]]=1,Table1[[#This Row],[chol]]&gt;=200),1,0)</f>
        <v>1</v>
      </c>
      <c r="U177">
        <f>IF(AND(Table1[[#This Row],[Add Cholestrol]]=1,Table1[[#This Row],[slope]]&gt;=2),1,0)</f>
        <v>1</v>
      </c>
      <c r="V177">
        <f>COUNTIFS(Table1[target],1)</f>
        <v>165</v>
      </c>
    </row>
    <row r="178" spans="1:22" x14ac:dyDescent="0.25">
      <c r="A178">
        <v>54</v>
      </c>
      <c r="B178">
        <v>0</v>
      </c>
      <c r="C178">
        <v>2</v>
      </c>
      <c r="D178">
        <v>110</v>
      </c>
      <c r="E178">
        <v>214</v>
      </c>
      <c r="F178">
        <v>0</v>
      </c>
      <c r="G178">
        <v>1</v>
      </c>
      <c r="H178">
        <v>158</v>
      </c>
      <c r="I178">
        <v>0</v>
      </c>
      <c r="J178">
        <v>1.6</v>
      </c>
      <c r="K178">
        <v>1</v>
      </c>
      <c r="L178">
        <v>0</v>
      </c>
      <c r="M178">
        <v>2</v>
      </c>
      <c r="N178">
        <v>1</v>
      </c>
      <c r="O178" t="str">
        <f>IF(Table1[[#This Row],[sex]]=1,"Male","Female")</f>
        <v>Female</v>
      </c>
      <c r="P178" t="str">
        <f>IF(Table1[[#This Row],[cp]]=0,"Typical Angina",IF(Table1[[#This Row],[cp]]=1,"Atypical Angina",IF(Table1[[#This Row],[cp]]=2,"Non-Anginal Pain","Asymptomatic")))</f>
        <v>Non-Anginal Pain</v>
      </c>
      <c r="Q178">
        <f>IF(Table1[[#This Row],[trestbps]]&gt;=130, 1, 0)</f>
        <v>0</v>
      </c>
      <c r="R178">
        <f>IF(AND(Table1[[#This Row],[target]]=1,OR(Table1[[#This Row],[cp]]=0,Table1[[#This Row],[cp]]=1,Table1[[#This Row],[cp]]=2,Table1[[#This Row],[cp]])),1,0)</f>
        <v>1</v>
      </c>
      <c r="S178">
        <f>IF(AND(Table1[[#This Row],[Chest Pain + Target]]=1,Table1[[#This Row],[trestbps]]&gt;=130),1,0)</f>
        <v>0</v>
      </c>
      <c r="T178">
        <f>IF(AND(Table1[[#This Row],[Add BP]]=1,Table1[[#This Row],[chol]]&gt;=200),1,0)</f>
        <v>0</v>
      </c>
      <c r="U178">
        <f>IF(AND(Table1[[#This Row],[Add Cholestrol]]=1,Table1[[#This Row],[slope]]&gt;=2),1,0)</f>
        <v>0</v>
      </c>
      <c r="V178">
        <f>COUNTIFS(Table1[target],1)</f>
        <v>165</v>
      </c>
    </row>
    <row r="179" spans="1:22" x14ac:dyDescent="0.25">
      <c r="A179">
        <v>64</v>
      </c>
      <c r="B179">
        <v>1</v>
      </c>
      <c r="C179">
        <v>2</v>
      </c>
      <c r="D179">
        <v>140</v>
      </c>
      <c r="E179">
        <v>335</v>
      </c>
      <c r="F179">
        <v>0</v>
      </c>
      <c r="G179">
        <v>1</v>
      </c>
      <c r="H179">
        <v>158</v>
      </c>
      <c r="I179">
        <v>0</v>
      </c>
      <c r="J179">
        <v>0</v>
      </c>
      <c r="K179">
        <v>2</v>
      </c>
      <c r="L179">
        <v>0</v>
      </c>
      <c r="M179">
        <v>2</v>
      </c>
      <c r="N179">
        <v>0</v>
      </c>
      <c r="O179" t="str">
        <f>IF(Table1[[#This Row],[sex]]=1,"Male","Female")</f>
        <v>Male</v>
      </c>
      <c r="P179" t="str">
        <f>IF(Table1[[#This Row],[cp]]=0,"Typical Angina",IF(Table1[[#This Row],[cp]]=1,"Atypical Angina",IF(Table1[[#This Row],[cp]]=2,"Non-Anginal Pain","Asymptomatic")))</f>
        <v>Non-Anginal Pain</v>
      </c>
      <c r="Q179">
        <f>IF(Table1[[#This Row],[trestbps]]&gt;=130, 1, 0)</f>
        <v>1</v>
      </c>
      <c r="R179">
        <f>IF(AND(Table1[[#This Row],[target]]=1,OR(Table1[[#This Row],[cp]]=0,Table1[[#This Row],[cp]]=1,Table1[[#This Row],[cp]]=2,Table1[[#This Row],[cp]])),1,0)</f>
        <v>0</v>
      </c>
      <c r="S179">
        <f>IF(AND(Table1[[#This Row],[Chest Pain + Target]]=1,Table1[[#This Row],[trestbps]]&gt;=130),1,0)</f>
        <v>0</v>
      </c>
      <c r="T179">
        <f>IF(AND(Table1[[#This Row],[Add BP]]=1,Table1[[#This Row],[chol]]&gt;=200),1,0)</f>
        <v>0</v>
      </c>
      <c r="U179">
        <f>IF(AND(Table1[[#This Row],[Add Cholestrol]]=1,Table1[[#This Row],[slope]]&gt;=2),1,0)</f>
        <v>0</v>
      </c>
      <c r="V179">
        <f>COUNTIFS(Table1[target],1)</f>
        <v>165</v>
      </c>
    </row>
    <row r="180" spans="1:22" x14ac:dyDescent="0.25">
      <c r="A180">
        <v>41</v>
      </c>
      <c r="B180">
        <v>1</v>
      </c>
      <c r="C180">
        <v>0</v>
      </c>
      <c r="D180">
        <v>110</v>
      </c>
      <c r="E180">
        <v>172</v>
      </c>
      <c r="F180">
        <v>0</v>
      </c>
      <c r="G180">
        <v>0</v>
      </c>
      <c r="H180">
        <v>158</v>
      </c>
      <c r="I180">
        <v>0</v>
      </c>
      <c r="J180">
        <v>0</v>
      </c>
      <c r="K180">
        <v>2</v>
      </c>
      <c r="L180">
        <v>0</v>
      </c>
      <c r="M180">
        <v>3</v>
      </c>
      <c r="N180">
        <v>0</v>
      </c>
      <c r="O180" t="str">
        <f>IF(Table1[[#This Row],[sex]]=1,"Male","Female")</f>
        <v>Male</v>
      </c>
      <c r="P180" t="str">
        <f>IF(Table1[[#This Row],[cp]]=0,"Typical Angina",IF(Table1[[#This Row],[cp]]=1,"Atypical Angina",IF(Table1[[#This Row],[cp]]=2,"Non-Anginal Pain","Asymptomatic")))</f>
        <v>Typical Angina</v>
      </c>
      <c r="Q180">
        <f>IF(Table1[[#This Row],[trestbps]]&gt;=130, 1, 0)</f>
        <v>0</v>
      </c>
      <c r="R180">
        <f>IF(AND(Table1[[#This Row],[target]]=1,OR(Table1[[#This Row],[cp]]=0,Table1[[#This Row],[cp]]=1,Table1[[#This Row],[cp]]=2,Table1[[#This Row],[cp]])),1,0)</f>
        <v>0</v>
      </c>
      <c r="S180">
        <f>IF(AND(Table1[[#This Row],[Chest Pain + Target]]=1,Table1[[#This Row],[trestbps]]&gt;=130),1,0)</f>
        <v>0</v>
      </c>
      <c r="T180">
        <f>IF(AND(Table1[[#This Row],[Add BP]]=1,Table1[[#This Row],[chol]]&gt;=200),1,0)</f>
        <v>0</v>
      </c>
      <c r="U180">
        <f>IF(AND(Table1[[#This Row],[Add Cholestrol]]=1,Table1[[#This Row],[slope]]&gt;=2),1,0)</f>
        <v>0</v>
      </c>
      <c r="V180">
        <f>COUNTIFS(Table1[target],1)</f>
        <v>165</v>
      </c>
    </row>
    <row r="181" spans="1:22" x14ac:dyDescent="0.25">
      <c r="A181">
        <v>65</v>
      </c>
      <c r="B181">
        <v>1</v>
      </c>
      <c r="C181">
        <v>0</v>
      </c>
      <c r="D181">
        <v>110</v>
      </c>
      <c r="E181">
        <v>248</v>
      </c>
      <c r="F181">
        <v>0</v>
      </c>
      <c r="G181">
        <v>0</v>
      </c>
      <c r="H181">
        <v>158</v>
      </c>
      <c r="I181">
        <v>0</v>
      </c>
      <c r="J181">
        <v>0.6</v>
      </c>
      <c r="K181">
        <v>2</v>
      </c>
      <c r="L181">
        <v>2</v>
      </c>
      <c r="M181">
        <v>1</v>
      </c>
      <c r="N181">
        <v>0</v>
      </c>
      <c r="O181" t="str">
        <f>IF(Table1[[#This Row],[sex]]=1,"Male","Female")</f>
        <v>Male</v>
      </c>
      <c r="P181" t="str">
        <f>IF(Table1[[#This Row],[cp]]=0,"Typical Angina",IF(Table1[[#This Row],[cp]]=1,"Atypical Angina",IF(Table1[[#This Row],[cp]]=2,"Non-Anginal Pain","Asymptomatic")))</f>
        <v>Typical Angina</v>
      </c>
      <c r="Q181">
        <f>IF(Table1[[#This Row],[trestbps]]&gt;=130, 1, 0)</f>
        <v>0</v>
      </c>
      <c r="R181">
        <f>IF(AND(Table1[[#This Row],[target]]=1,OR(Table1[[#This Row],[cp]]=0,Table1[[#This Row],[cp]]=1,Table1[[#This Row],[cp]]=2,Table1[[#This Row],[cp]])),1,0)</f>
        <v>0</v>
      </c>
      <c r="S181">
        <f>IF(AND(Table1[[#This Row],[Chest Pain + Target]]=1,Table1[[#This Row],[trestbps]]&gt;=130),1,0)</f>
        <v>0</v>
      </c>
      <c r="T181">
        <f>IF(AND(Table1[[#This Row],[Add BP]]=1,Table1[[#This Row],[chol]]&gt;=200),1,0)</f>
        <v>0</v>
      </c>
      <c r="U181">
        <f>IF(AND(Table1[[#This Row],[Add Cholestrol]]=1,Table1[[#This Row],[slope]]&gt;=2),1,0)</f>
        <v>0</v>
      </c>
      <c r="V181">
        <f>COUNTIFS(Table1[target],1)</f>
        <v>165</v>
      </c>
    </row>
    <row r="182" spans="1:22" x14ac:dyDescent="0.25">
      <c r="A182">
        <v>57</v>
      </c>
      <c r="B182">
        <v>0</v>
      </c>
      <c r="C182">
        <v>0</v>
      </c>
      <c r="D182">
        <v>128</v>
      </c>
      <c r="E182">
        <v>303</v>
      </c>
      <c r="F182">
        <v>0</v>
      </c>
      <c r="G182">
        <v>0</v>
      </c>
      <c r="H182">
        <v>159</v>
      </c>
      <c r="I182">
        <v>0</v>
      </c>
      <c r="J182">
        <v>0</v>
      </c>
      <c r="K182">
        <v>2</v>
      </c>
      <c r="L182">
        <v>1</v>
      </c>
      <c r="M182">
        <v>2</v>
      </c>
      <c r="N182">
        <v>1</v>
      </c>
      <c r="O182" t="str">
        <f>IF(Table1[[#This Row],[sex]]=1,"Male","Female")</f>
        <v>Female</v>
      </c>
      <c r="P182" t="str">
        <f>IF(Table1[[#This Row],[cp]]=0,"Typical Angina",IF(Table1[[#This Row],[cp]]=1,"Atypical Angina",IF(Table1[[#This Row],[cp]]=2,"Non-Anginal Pain","Asymptomatic")))</f>
        <v>Typical Angina</v>
      </c>
      <c r="Q182">
        <f>IF(Table1[[#This Row],[trestbps]]&gt;=130, 1, 0)</f>
        <v>0</v>
      </c>
      <c r="R182">
        <f>IF(AND(Table1[[#This Row],[target]]=1,OR(Table1[[#This Row],[cp]]=0,Table1[[#This Row],[cp]]=1,Table1[[#This Row],[cp]]=2,Table1[[#This Row],[cp]])),1,0)</f>
        <v>1</v>
      </c>
      <c r="S182">
        <f>IF(AND(Table1[[#This Row],[Chest Pain + Target]]=1,Table1[[#This Row],[trestbps]]&gt;=130),1,0)</f>
        <v>0</v>
      </c>
      <c r="T182">
        <f>IF(AND(Table1[[#This Row],[Add BP]]=1,Table1[[#This Row],[chol]]&gt;=200),1,0)</f>
        <v>0</v>
      </c>
      <c r="U182">
        <f>IF(AND(Table1[[#This Row],[Add Cholestrol]]=1,Table1[[#This Row],[slope]]&gt;=2),1,0)</f>
        <v>0</v>
      </c>
      <c r="V182">
        <f>COUNTIFS(Table1[target],1)</f>
        <v>165</v>
      </c>
    </row>
    <row r="183" spans="1:22" x14ac:dyDescent="0.25">
      <c r="A183">
        <v>54</v>
      </c>
      <c r="B183">
        <v>0</v>
      </c>
      <c r="C183">
        <v>1</v>
      </c>
      <c r="D183">
        <v>132</v>
      </c>
      <c r="E183">
        <v>288</v>
      </c>
      <c r="F183">
        <v>1</v>
      </c>
      <c r="G183">
        <v>0</v>
      </c>
      <c r="H183">
        <v>159</v>
      </c>
      <c r="I183">
        <v>1</v>
      </c>
      <c r="J183">
        <v>0</v>
      </c>
      <c r="K183">
        <v>2</v>
      </c>
      <c r="L183">
        <v>1</v>
      </c>
      <c r="M183">
        <v>2</v>
      </c>
      <c r="N183">
        <v>1</v>
      </c>
      <c r="O183" t="str">
        <f>IF(Table1[[#This Row],[sex]]=1,"Male","Female")</f>
        <v>Female</v>
      </c>
      <c r="P183" t="str">
        <f>IF(Table1[[#This Row],[cp]]=0,"Typical Angina",IF(Table1[[#This Row],[cp]]=1,"Atypical Angina",IF(Table1[[#This Row],[cp]]=2,"Non-Anginal Pain","Asymptomatic")))</f>
        <v>Atypical Angina</v>
      </c>
      <c r="Q183">
        <f>IF(Table1[[#This Row],[trestbps]]&gt;=130, 1, 0)</f>
        <v>1</v>
      </c>
      <c r="R183">
        <f>IF(AND(Table1[[#This Row],[target]]=1,OR(Table1[[#This Row],[cp]]=0,Table1[[#This Row],[cp]]=1,Table1[[#This Row],[cp]]=2,Table1[[#This Row],[cp]])),1,0)</f>
        <v>1</v>
      </c>
      <c r="S183">
        <f>IF(AND(Table1[[#This Row],[Chest Pain + Target]]=1,Table1[[#This Row],[trestbps]]&gt;=130),1,0)</f>
        <v>1</v>
      </c>
      <c r="T183">
        <f>IF(AND(Table1[[#This Row],[Add BP]]=1,Table1[[#This Row],[chol]]&gt;=200),1,0)</f>
        <v>1</v>
      </c>
      <c r="U183">
        <f>IF(AND(Table1[[#This Row],[Add Cholestrol]]=1,Table1[[#This Row],[slope]]&gt;=2),1,0)</f>
        <v>1</v>
      </c>
      <c r="V183">
        <f>COUNTIFS(Table1[target],1)</f>
        <v>165</v>
      </c>
    </row>
    <row r="184" spans="1:22" x14ac:dyDescent="0.25">
      <c r="A184">
        <v>50</v>
      </c>
      <c r="B184">
        <v>0</v>
      </c>
      <c r="C184">
        <v>0</v>
      </c>
      <c r="D184">
        <v>110</v>
      </c>
      <c r="E184">
        <v>254</v>
      </c>
      <c r="F184">
        <v>0</v>
      </c>
      <c r="G184">
        <v>0</v>
      </c>
      <c r="H184">
        <v>159</v>
      </c>
      <c r="I184">
        <v>0</v>
      </c>
      <c r="J184">
        <v>0</v>
      </c>
      <c r="K184">
        <v>2</v>
      </c>
      <c r="L184">
        <v>0</v>
      </c>
      <c r="M184">
        <v>2</v>
      </c>
      <c r="N184">
        <v>1</v>
      </c>
      <c r="O184" t="str">
        <f>IF(Table1[[#This Row],[sex]]=1,"Male","Female")</f>
        <v>Female</v>
      </c>
      <c r="P184" t="str">
        <f>IF(Table1[[#This Row],[cp]]=0,"Typical Angina",IF(Table1[[#This Row],[cp]]=1,"Atypical Angina",IF(Table1[[#This Row],[cp]]=2,"Non-Anginal Pain","Asymptomatic")))</f>
        <v>Typical Angina</v>
      </c>
      <c r="Q184">
        <f>IF(Table1[[#This Row],[trestbps]]&gt;=130, 1, 0)</f>
        <v>0</v>
      </c>
      <c r="R184">
        <f>IF(AND(Table1[[#This Row],[target]]=1,OR(Table1[[#This Row],[cp]]=0,Table1[[#This Row],[cp]]=1,Table1[[#This Row],[cp]]=2,Table1[[#This Row],[cp]])),1,0)</f>
        <v>1</v>
      </c>
      <c r="S184">
        <f>IF(AND(Table1[[#This Row],[Chest Pain + Target]]=1,Table1[[#This Row],[trestbps]]&gt;=130),1,0)</f>
        <v>0</v>
      </c>
      <c r="T184">
        <f>IF(AND(Table1[[#This Row],[Add BP]]=1,Table1[[#This Row],[chol]]&gt;=200),1,0)</f>
        <v>0</v>
      </c>
      <c r="U184">
        <f>IF(AND(Table1[[#This Row],[Add Cholestrol]]=1,Table1[[#This Row],[slope]]&gt;=2),1,0)</f>
        <v>0</v>
      </c>
      <c r="V184">
        <f>COUNTIFS(Table1[target],1)</f>
        <v>165</v>
      </c>
    </row>
    <row r="185" spans="1:22" x14ac:dyDescent="0.25">
      <c r="A185">
        <v>59</v>
      </c>
      <c r="B185">
        <v>1</v>
      </c>
      <c r="C185">
        <v>3</v>
      </c>
      <c r="D185">
        <v>170</v>
      </c>
      <c r="E185">
        <v>288</v>
      </c>
      <c r="F185">
        <v>0</v>
      </c>
      <c r="G185">
        <v>0</v>
      </c>
      <c r="H185">
        <v>159</v>
      </c>
      <c r="I185">
        <v>0</v>
      </c>
      <c r="J185">
        <v>0.2</v>
      </c>
      <c r="K185">
        <v>1</v>
      </c>
      <c r="L185">
        <v>0</v>
      </c>
      <c r="M185">
        <v>3</v>
      </c>
      <c r="N185">
        <v>0</v>
      </c>
      <c r="O185" t="str">
        <f>IF(Table1[[#This Row],[sex]]=1,"Male","Female")</f>
        <v>Male</v>
      </c>
      <c r="P185" t="str">
        <f>IF(Table1[[#This Row],[cp]]=0,"Typical Angina",IF(Table1[[#This Row],[cp]]=1,"Atypical Angina",IF(Table1[[#This Row],[cp]]=2,"Non-Anginal Pain","Asymptomatic")))</f>
        <v>Asymptomatic</v>
      </c>
      <c r="Q185">
        <f>IF(Table1[[#This Row],[trestbps]]&gt;=130, 1, 0)</f>
        <v>1</v>
      </c>
      <c r="R185">
        <f>IF(AND(Table1[[#This Row],[target]]=1,OR(Table1[[#This Row],[cp]]=0,Table1[[#This Row],[cp]]=1,Table1[[#This Row],[cp]]=2,Table1[[#This Row],[cp]])),1,0)</f>
        <v>0</v>
      </c>
      <c r="S185">
        <f>IF(AND(Table1[[#This Row],[Chest Pain + Target]]=1,Table1[[#This Row],[trestbps]]&gt;=130),1,0)</f>
        <v>0</v>
      </c>
      <c r="T185">
        <f>IF(AND(Table1[[#This Row],[Add BP]]=1,Table1[[#This Row],[chol]]&gt;=200),1,0)</f>
        <v>0</v>
      </c>
      <c r="U185">
        <f>IF(AND(Table1[[#This Row],[Add Cholestrol]]=1,Table1[[#This Row],[slope]]&gt;=2),1,0)</f>
        <v>0</v>
      </c>
      <c r="V185">
        <f>COUNTIFS(Table1[target],1)</f>
        <v>165</v>
      </c>
    </row>
    <row r="186" spans="1:22" x14ac:dyDescent="0.25">
      <c r="A186">
        <v>54</v>
      </c>
      <c r="B186">
        <v>1</v>
      </c>
      <c r="C186">
        <v>0</v>
      </c>
      <c r="D186">
        <v>140</v>
      </c>
      <c r="E186">
        <v>239</v>
      </c>
      <c r="F186">
        <v>0</v>
      </c>
      <c r="G186">
        <v>1</v>
      </c>
      <c r="H186">
        <v>160</v>
      </c>
      <c r="I186">
        <v>0</v>
      </c>
      <c r="J186">
        <v>1.2</v>
      </c>
      <c r="K186">
        <v>2</v>
      </c>
      <c r="L186">
        <v>0</v>
      </c>
      <c r="M186">
        <v>2</v>
      </c>
      <c r="N186">
        <v>1</v>
      </c>
      <c r="O186" t="str">
        <f>IF(Table1[[#This Row],[sex]]=1,"Male","Female")</f>
        <v>Male</v>
      </c>
      <c r="P186" t="str">
        <f>IF(Table1[[#This Row],[cp]]=0,"Typical Angina",IF(Table1[[#This Row],[cp]]=1,"Atypical Angina",IF(Table1[[#This Row],[cp]]=2,"Non-Anginal Pain","Asymptomatic")))</f>
        <v>Typical Angina</v>
      </c>
      <c r="Q186">
        <f>IF(Table1[[#This Row],[trestbps]]&gt;=130, 1, 0)</f>
        <v>1</v>
      </c>
      <c r="R186">
        <f>IF(AND(Table1[[#This Row],[target]]=1,OR(Table1[[#This Row],[cp]]=0,Table1[[#This Row],[cp]]=1,Table1[[#This Row],[cp]]=2,Table1[[#This Row],[cp]])),1,0)</f>
        <v>1</v>
      </c>
      <c r="S186">
        <f>IF(AND(Table1[[#This Row],[Chest Pain + Target]]=1,Table1[[#This Row],[trestbps]]&gt;=130),1,0)</f>
        <v>1</v>
      </c>
      <c r="T186">
        <f>IF(AND(Table1[[#This Row],[Add BP]]=1,Table1[[#This Row],[chol]]&gt;=200),1,0)</f>
        <v>1</v>
      </c>
      <c r="U186">
        <f>IF(AND(Table1[[#This Row],[Add Cholestrol]]=1,Table1[[#This Row],[slope]]&gt;=2),1,0)</f>
        <v>1</v>
      </c>
      <c r="V186">
        <f>COUNTIFS(Table1[target],1)</f>
        <v>165</v>
      </c>
    </row>
    <row r="187" spans="1:22" x14ac:dyDescent="0.25">
      <c r="A187">
        <v>46</v>
      </c>
      <c r="B187">
        <v>0</v>
      </c>
      <c r="C187">
        <v>2</v>
      </c>
      <c r="D187">
        <v>142</v>
      </c>
      <c r="E187">
        <v>177</v>
      </c>
      <c r="F187">
        <v>0</v>
      </c>
      <c r="G187">
        <v>0</v>
      </c>
      <c r="H187">
        <v>160</v>
      </c>
      <c r="I187">
        <v>1</v>
      </c>
      <c r="J187">
        <v>1.4</v>
      </c>
      <c r="K187">
        <v>0</v>
      </c>
      <c r="L187">
        <v>0</v>
      </c>
      <c r="M187">
        <v>2</v>
      </c>
      <c r="N187">
        <v>1</v>
      </c>
      <c r="O187" t="str">
        <f>IF(Table1[[#This Row],[sex]]=1,"Male","Female")</f>
        <v>Female</v>
      </c>
      <c r="P187" t="str">
        <f>IF(Table1[[#This Row],[cp]]=0,"Typical Angina",IF(Table1[[#This Row],[cp]]=1,"Atypical Angina",IF(Table1[[#This Row],[cp]]=2,"Non-Anginal Pain","Asymptomatic")))</f>
        <v>Non-Anginal Pain</v>
      </c>
      <c r="Q187">
        <f>IF(Table1[[#This Row],[trestbps]]&gt;=130, 1, 0)</f>
        <v>1</v>
      </c>
      <c r="R187">
        <f>IF(AND(Table1[[#This Row],[target]]=1,OR(Table1[[#This Row],[cp]]=0,Table1[[#This Row],[cp]]=1,Table1[[#This Row],[cp]]=2,Table1[[#This Row],[cp]])),1,0)</f>
        <v>1</v>
      </c>
      <c r="S187">
        <f>IF(AND(Table1[[#This Row],[Chest Pain + Target]]=1,Table1[[#This Row],[trestbps]]&gt;=130),1,0)</f>
        <v>1</v>
      </c>
      <c r="T187">
        <f>IF(AND(Table1[[#This Row],[Add BP]]=1,Table1[[#This Row],[chol]]&gt;=200),1,0)</f>
        <v>0</v>
      </c>
      <c r="U187">
        <f>IF(AND(Table1[[#This Row],[Add Cholestrol]]=1,Table1[[#This Row],[slope]]&gt;=2),1,0)</f>
        <v>0</v>
      </c>
      <c r="V187">
        <f>COUNTIFS(Table1[target],1)</f>
        <v>165</v>
      </c>
    </row>
    <row r="188" spans="1:22" x14ac:dyDescent="0.25">
      <c r="A188">
        <v>53</v>
      </c>
      <c r="B188">
        <v>0</v>
      </c>
      <c r="C188">
        <v>0</v>
      </c>
      <c r="D188">
        <v>138</v>
      </c>
      <c r="E188">
        <v>234</v>
      </c>
      <c r="F188">
        <v>0</v>
      </c>
      <c r="G188">
        <v>0</v>
      </c>
      <c r="H188">
        <v>160</v>
      </c>
      <c r="I188">
        <v>0</v>
      </c>
      <c r="J188">
        <v>0</v>
      </c>
      <c r="K188">
        <v>2</v>
      </c>
      <c r="L188">
        <v>0</v>
      </c>
      <c r="M188">
        <v>2</v>
      </c>
      <c r="N188">
        <v>1</v>
      </c>
      <c r="O188" t="str">
        <f>IF(Table1[[#This Row],[sex]]=1,"Male","Female")</f>
        <v>Female</v>
      </c>
      <c r="P188" t="str">
        <f>IF(Table1[[#This Row],[cp]]=0,"Typical Angina",IF(Table1[[#This Row],[cp]]=1,"Atypical Angina",IF(Table1[[#This Row],[cp]]=2,"Non-Anginal Pain","Asymptomatic")))</f>
        <v>Typical Angina</v>
      </c>
      <c r="Q188">
        <f>IF(Table1[[#This Row],[trestbps]]&gt;=130, 1, 0)</f>
        <v>1</v>
      </c>
      <c r="R188">
        <f>IF(AND(Table1[[#This Row],[target]]=1,OR(Table1[[#This Row],[cp]]=0,Table1[[#This Row],[cp]]=1,Table1[[#This Row],[cp]]=2,Table1[[#This Row],[cp]])),1,0)</f>
        <v>1</v>
      </c>
      <c r="S188">
        <f>IF(AND(Table1[[#This Row],[Chest Pain + Target]]=1,Table1[[#This Row],[trestbps]]&gt;=130),1,0)</f>
        <v>1</v>
      </c>
      <c r="T188">
        <f>IF(AND(Table1[[#This Row],[Add BP]]=1,Table1[[#This Row],[chol]]&gt;=200),1,0)</f>
        <v>1</v>
      </c>
      <c r="U188">
        <f>IF(AND(Table1[[#This Row],[Add Cholestrol]]=1,Table1[[#This Row],[slope]]&gt;=2),1,0)</f>
        <v>1</v>
      </c>
      <c r="V188">
        <f>COUNTIFS(Table1[target],1)</f>
        <v>165</v>
      </c>
    </row>
    <row r="189" spans="1:22" x14ac:dyDescent="0.25">
      <c r="A189">
        <v>60</v>
      </c>
      <c r="B189">
        <v>0</v>
      </c>
      <c r="C189">
        <v>2</v>
      </c>
      <c r="D189">
        <v>102</v>
      </c>
      <c r="E189">
        <v>318</v>
      </c>
      <c r="F189">
        <v>0</v>
      </c>
      <c r="G189">
        <v>1</v>
      </c>
      <c r="H189">
        <v>160</v>
      </c>
      <c r="I189">
        <v>0</v>
      </c>
      <c r="J189">
        <v>0</v>
      </c>
      <c r="K189">
        <v>2</v>
      </c>
      <c r="L189">
        <v>1</v>
      </c>
      <c r="M189">
        <v>2</v>
      </c>
      <c r="N189">
        <v>1</v>
      </c>
      <c r="O189" t="str">
        <f>IF(Table1[[#This Row],[sex]]=1,"Male","Female")</f>
        <v>Female</v>
      </c>
      <c r="P189" t="str">
        <f>IF(Table1[[#This Row],[cp]]=0,"Typical Angina",IF(Table1[[#This Row],[cp]]=1,"Atypical Angina",IF(Table1[[#This Row],[cp]]=2,"Non-Anginal Pain","Asymptomatic")))</f>
        <v>Non-Anginal Pain</v>
      </c>
      <c r="Q189">
        <f>IF(Table1[[#This Row],[trestbps]]&gt;=130, 1, 0)</f>
        <v>0</v>
      </c>
      <c r="R189">
        <f>IF(AND(Table1[[#This Row],[target]]=1,OR(Table1[[#This Row],[cp]]=0,Table1[[#This Row],[cp]]=1,Table1[[#This Row],[cp]]=2,Table1[[#This Row],[cp]])),1,0)</f>
        <v>1</v>
      </c>
      <c r="S189">
        <f>IF(AND(Table1[[#This Row],[Chest Pain + Target]]=1,Table1[[#This Row],[trestbps]]&gt;=130),1,0)</f>
        <v>0</v>
      </c>
      <c r="T189">
        <f>IF(AND(Table1[[#This Row],[Add BP]]=1,Table1[[#This Row],[chol]]&gt;=200),1,0)</f>
        <v>0</v>
      </c>
      <c r="U189">
        <f>IF(AND(Table1[[#This Row],[Add Cholestrol]]=1,Table1[[#This Row],[slope]]&gt;=2),1,0)</f>
        <v>0</v>
      </c>
      <c r="V189">
        <f>COUNTIFS(Table1[target],1)</f>
        <v>165</v>
      </c>
    </row>
    <row r="190" spans="1:22" x14ac:dyDescent="0.25">
      <c r="A190">
        <v>67</v>
      </c>
      <c r="B190">
        <v>0</v>
      </c>
      <c r="C190">
        <v>2</v>
      </c>
      <c r="D190">
        <v>115</v>
      </c>
      <c r="E190">
        <v>564</v>
      </c>
      <c r="F190">
        <v>0</v>
      </c>
      <c r="G190">
        <v>0</v>
      </c>
      <c r="H190">
        <v>160</v>
      </c>
      <c r="I190">
        <v>0</v>
      </c>
      <c r="J190">
        <v>1.6</v>
      </c>
      <c r="K190">
        <v>1</v>
      </c>
      <c r="L190">
        <v>0</v>
      </c>
      <c r="M190">
        <v>3</v>
      </c>
      <c r="N190">
        <v>1</v>
      </c>
      <c r="O190" t="str">
        <f>IF(Table1[[#This Row],[sex]]=1,"Male","Female")</f>
        <v>Female</v>
      </c>
      <c r="P190" t="str">
        <f>IF(Table1[[#This Row],[cp]]=0,"Typical Angina",IF(Table1[[#This Row],[cp]]=1,"Atypical Angina",IF(Table1[[#This Row],[cp]]=2,"Non-Anginal Pain","Asymptomatic")))</f>
        <v>Non-Anginal Pain</v>
      </c>
      <c r="Q190">
        <f>IF(Table1[[#This Row],[trestbps]]&gt;=130, 1, 0)</f>
        <v>0</v>
      </c>
      <c r="R190">
        <f>IF(AND(Table1[[#This Row],[target]]=1,OR(Table1[[#This Row],[cp]]=0,Table1[[#This Row],[cp]]=1,Table1[[#This Row],[cp]]=2,Table1[[#This Row],[cp]])),1,0)</f>
        <v>1</v>
      </c>
      <c r="S190">
        <f>IF(AND(Table1[[#This Row],[Chest Pain + Target]]=1,Table1[[#This Row],[trestbps]]&gt;=130),1,0)</f>
        <v>0</v>
      </c>
      <c r="T190">
        <f>IF(AND(Table1[[#This Row],[Add BP]]=1,Table1[[#This Row],[chol]]&gt;=200),1,0)</f>
        <v>0</v>
      </c>
      <c r="U190">
        <f>IF(AND(Table1[[#This Row],[Add Cholestrol]]=1,Table1[[#This Row],[slope]]&gt;=2),1,0)</f>
        <v>0</v>
      </c>
      <c r="V190">
        <f>COUNTIFS(Table1[target],1)</f>
        <v>165</v>
      </c>
    </row>
    <row r="191" spans="1:22" x14ac:dyDescent="0.25">
      <c r="A191">
        <v>62</v>
      </c>
      <c r="B191">
        <v>0</v>
      </c>
      <c r="C191">
        <v>0</v>
      </c>
      <c r="D191">
        <v>140</v>
      </c>
      <c r="E191">
        <v>268</v>
      </c>
      <c r="F191">
        <v>0</v>
      </c>
      <c r="G191">
        <v>0</v>
      </c>
      <c r="H191">
        <v>160</v>
      </c>
      <c r="I191">
        <v>0</v>
      </c>
      <c r="J191">
        <v>3.6</v>
      </c>
      <c r="K191">
        <v>0</v>
      </c>
      <c r="L191">
        <v>2</v>
      </c>
      <c r="M191">
        <v>2</v>
      </c>
      <c r="N191">
        <v>0</v>
      </c>
      <c r="O191" t="str">
        <f>IF(Table1[[#This Row],[sex]]=1,"Male","Female")</f>
        <v>Female</v>
      </c>
      <c r="P191" t="str">
        <f>IF(Table1[[#This Row],[cp]]=0,"Typical Angina",IF(Table1[[#This Row],[cp]]=1,"Atypical Angina",IF(Table1[[#This Row],[cp]]=2,"Non-Anginal Pain","Asymptomatic")))</f>
        <v>Typical Angina</v>
      </c>
      <c r="Q191">
        <f>IF(Table1[[#This Row],[trestbps]]&gt;=130, 1, 0)</f>
        <v>1</v>
      </c>
      <c r="R191">
        <f>IF(AND(Table1[[#This Row],[target]]=1,OR(Table1[[#This Row],[cp]]=0,Table1[[#This Row],[cp]]=1,Table1[[#This Row],[cp]]=2,Table1[[#This Row],[cp]])),1,0)</f>
        <v>0</v>
      </c>
      <c r="S191">
        <f>IF(AND(Table1[[#This Row],[Chest Pain + Target]]=1,Table1[[#This Row],[trestbps]]&gt;=130),1,0)</f>
        <v>0</v>
      </c>
      <c r="T191">
        <f>IF(AND(Table1[[#This Row],[Add BP]]=1,Table1[[#This Row],[chol]]&gt;=200),1,0)</f>
        <v>0</v>
      </c>
      <c r="U191">
        <f>IF(AND(Table1[[#This Row],[Add Cholestrol]]=1,Table1[[#This Row],[slope]]&gt;=2),1,0)</f>
        <v>0</v>
      </c>
      <c r="V191">
        <f>COUNTIFS(Table1[target],1)</f>
        <v>165</v>
      </c>
    </row>
    <row r="192" spans="1:22" x14ac:dyDescent="0.25">
      <c r="A192">
        <v>58</v>
      </c>
      <c r="B192">
        <v>1</v>
      </c>
      <c r="C192">
        <v>1</v>
      </c>
      <c r="D192">
        <v>120</v>
      </c>
      <c r="E192">
        <v>284</v>
      </c>
      <c r="F192">
        <v>0</v>
      </c>
      <c r="G192">
        <v>0</v>
      </c>
      <c r="H192">
        <v>160</v>
      </c>
      <c r="I192">
        <v>0</v>
      </c>
      <c r="J192">
        <v>1.8</v>
      </c>
      <c r="K192">
        <v>1</v>
      </c>
      <c r="L192">
        <v>0</v>
      </c>
      <c r="M192">
        <v>2</v>
      </c>
      <c r="N192">
        <v>0</v>
      </c>
      <c r="O192" t="str">
        <f>IF(Table1[[#This Row],[sex]]=1,"Male","Female")</f>
        <v>Male</v>
      </c>
      <c r="P192" t="str">
        <f>IF(Table1[[#This Row],[cp]]=0,"Typical Angina",IF(Table1[[#This Row],[cp]]=1,"Atypical Angina",IF(Table1[[#This Row],[cp]]=2,"Non-Anginal Pain","Asymptomatic")))</f>
        <v>Atypical Angina</v>
      </c>
      <c r="Q192">
        <f>IF(Table1[[#This Row],[trestbps]]&gt;=130, 1, 0)</f>
        <v>0</v>
      </c>
      <c r="R192">
        <f>IF(AND(Table1[[#This Row],[target]]=1,OR(Table1[[#This Row],[cp]]=0,Table1[[#This Row],[cp]]=1,Table1[[#This Row],[cp]]=2,Table1[[#This Row],[cp]])),1,0)</f>
        <v>0</v>
      </c>
      <c r="S192">
        <f>IF(AND(Table1[[#This Row],[Chest Pain + Target]]=1,Table1[[#This Row],[trestbps]]&gt;=130),1,0)</f>
        <v>0</v>
      </c>
      <c r="T192">
        <f>IF(AND(Table1[[#This Row],[Add BP]]=1,Table1[[#This Row],[chol]]&gt;=200),1,0)</f>
        <v>0</v>
      </c>
      <c r="U192">
        <f>IF(AND(Table1[[#This Row],[Add Cholestrol]]=1,Table1[[#This Row],[slope]]&gt;=2),1,0)</f>
        <v>0</v>
      </c>
      <c r="V192">
        <f>COUNTIFS(Table1[target],1)</f>
        <v>165</v>
      </c>
    </row>
    <row r="193" spans="1:22" x14ac:dyDescent="0.25">
      <c r="A193">
        <v>60</v>
      </c>
      <c r="B193">
        <v>1</v>
      </c>
      <c r="C193">
        <v>0</v>
      </c>
      <c r="D193">
        <v>117</v>
      </c>
      <c r="E193">
        <v>230</v>
      </c>
      <c r="F193">
        <v>1</v>
      </c>
      <c r="G193">
        <v>1</v>
      </c>
      <c r="H193">
        <v>160</v>
      </c>
      <c r="I193">
        <v>1</v>
      </c>
      <c r="J193">
        <v>1.4</v>
      </c>
      <c r="K193">
        <v>2</v>
      </c>
      <c r="L193">
        <v>2</v>
      </c>
      <c r="M193">
        <v>3</v>
      </c>
      <c r="N193">
        <v>0</v>
      </c>
      <c r="O193" t="str">
        <f>IF(Table1[[#This Row],[sex]]=1,"Male","Female")</f>
        <v>Male</v>
      </c>
      <c r="P193" t="str">
        <f>IF(Table1[[#This Row],[cp]]=0,"Typical Angina",IF(Table1[[#This Row],[cp]]=1,"Atypical Angina",IF(Table1[[#This Row],[cp]]=2,"Non-Anginal Pain","Asymptomatic")))</f>
        <v>Typical Angina</v>
      </c>
      <c r="Q193">
        <f>IF(Table1[[#This Row],[trestbps]]&gt;=130, 1, 0)</f>
        <v>0</v>
      </c>
      <c r="R193">
        <f>IF(AND(Table1[[#This Row],[target]]=1,OR(Table1[[#This Row],[cp]]=0,Table1[[#This Row],[cp]]=1,Table1[[#This Row],[cp]]=2,Table1[[#This Row],[cp]])),1,0)</f>
        <v>0</v>
      </c>
      <c r="S193">
        <f>IF(AND(Table1[[#This Row],[Chest Pain + Target]]=1,Table1[[#This Row],[trestbps]]&gt;=130),1,0)</f>
        <v>0</v>
      </c>
      <c r="T193">
        <f>IF(AND(Table1[[#This Row],[Add BP]]=1,Table1[[#This Row],[chol]]&gt;=200),1,0)</f>
        <v>0</v>
      </c>
      <c r="U193">
        <f>IF(AND(Table1[[#This Row],[Add Cholestrol]]=1,Table1[[#This Row],[slope]]&gt;=2),1,0)</f>
        <v>0</v>
      </c>
      <c r="V193">
        <f>COUNTIFS(Table1[target],1)</f>
        <v>165</v>
      </c>
    </row>
    <row r="194" spans="1:22" x14ac:dyDescent="0.25">
      <c r="A194">
        <v>52</v>
      </c>
      <c r="B194">
        <v>1</v>
      </c>
      <c r="C194">
        <v>0</v>
      </c>
      <c r="D194">
        <v>112</v>
      </c>
      <c r="E194">
        <v>230</v>
      </c>
      <c r="F194">
        <v>0</v>
      </c>
      <c r="G194">
        <v>1</v>
      </c>
      <c r="H194">
        <v>160</v>
      </c>
      <c r="I194">
        <v>0</v>
      </c>
      <c r="J194">
        <v>0</v>
      </c>
      <c r="K194">
        <v>2</v>
      </c>
      <c r="L194">
        <v>1</v>
      </c>
      <c r="M194">
        <v>2</v>
      </c>
      <c r="N194">
        <v>0</v>
      </c>
      <c r="O194" t="str">
        <f>IF(Table1[[#This Row],[sex]]=1,"Male","Female")</f>
        <v>Male</v>
      </c>
      <c r="P194" t="str">
        <f>IF(Table1[[#This Row],[cp]]=0,"Typical Angina",IF(Table1[[#This Row],[cp]]=1,"Atypical Angina",IF(Table1[[#This Row],[cp]]=2,"Non-Anginal Pain","Asymptomatic")))</f>
        <v>Typical Angina</v>
      </c>
      <c r="Q194">
        <f>IF(Table1[[#This Row],[trestbps]]&gt;=130, 1, 0)</f>
        <v>0</v>
      </c>
      <c r="R194">
        <f>IF(AND(Table1[[#This Row],[target]]=1,OR(Table1[[#This Row],[cp]]=0,Table1[[#This Row],[cp]]=1,Table1[[#This Row],[cp]]=2,Table1[[#This Row],[cp]])),1,0)</f>
        <v>0</v>
      </c>
      <c r="S194">
        <f>IF(AND(Table1[[#This Row],[Chest Pain + Target]]=1,Table1[[#This Row],[trestbps]]&gt;=130),1,0)</f>
        <v>0</v>
      </c>
      <c r="T194">
        <f>IF(AND(Table1[[#This Row],[Add BP]]=1,Table1[[#This Row],[chol]]&gt;=200),1,0)</f>
        <v>0</v>
      </c>
      <c r="U194">
        <f>IF(AND(Table1[[#This Row],[Add Cholestrol]]=1,Table1[[#This Row],[slope]]&gt;=2),1,0)</f>
        <v>0</v>
      </c>
      <c r="V194">
        <f>COUNTIFS(Table1[target],1)</f>
        <v>165</v>
      </c>
    </row>
    <row r="195" spans="1:22" x14ac:dyDescent="0.25">
      <c r="A195">
        <v>59</v>
      </c>
      <c r="B195">
        <v>1</v>
      </c>
      <c r="C195">
        <v>0</v>
      </c>
      <c r="D195">
        <v>135</v>
      </c>
      <c r="E195">
        <v>234</v>
      </c>
      <c r="F195">
        <v>0</v>
      </c>
      <c r="G195">
        <v>1</v>
      </c>
      <c r="H195">
        <v>161</v>
      </c>
      <c r="I195">
        <v>0</v>
      </c>
      <c r="J195">
        <v>0.5</v>
      </c>
      <c r="K195">
        <v>1</v>
      </c>
      <c r="L195">
        <v>0</v>
      </c>
      <c r="M195">
        <v>3</v>
      </c>
      <c r="N195">
        <v>1</v>
      </c>
      <c r="O195" t="str">
        <f>IF(Table1[[#This Row],[sex]]=1,"Male","Female")</f>
        <v>Male</v>
      </c>
      <c r="P195" t="str">
        <f>IF(Table1[[#This Row],[cp]]=0,"Typical Angina",IF(Table1[[#This Row],[cp]]=1,"Atypical Angina",IF(Table1[[#This Row],[cp]]=2,"Non-Anginal Pain","Asymptomatic")))</f>
        <v>Typical Angina</v>
      </c>
      <c r="Q195">
        <f>IF(Table1[[#This Row],[trestbps]]&gt;=130, 1, 0)</f>
        <v>1</v>
      </c>
      <c r="R195">
        <f>IF(AND(Table1[[#This Row],[target]]=1,OR(Table1[[#This Row],[cp]]=0,Table1[[#This Row],[cp]]=1,Table1[[#This Row],[cp]]=2,Table1[[#This Row],[cp]])),1,0)</f>
        <v>1</v>
      </c>
      <c r="S195">
        <f>IF(AND(Table1[[#This Row],[Chest Pain + Target]]=1,Table1[[#This Row],[trestbps]]&gt;=130),1,0)</f>
        <v>1</v>
      </c>
      <c r="T195">
        <f>IF(AND(Table1[[#This Row],[Add BP]]=1,Table1[[#This Row],[chol]]&gt;=200),1,0)</f>
        <v>1</v>
      </c>
      <c r="U195">
        <f>IF(AND(Table1[[#This Row],[Add Cholestrol]]=1,Table1[[#This Row],[slope]]&gt;=2),1,0)</f>
        <v>0</v>
      </c>
      <c r="V195">
        <f>COUNTIFS(Table1[target],1)</f>
        <v>165</v>
      </c>
    </row>
    <row r="196" spans="1:22" x14ac:dyDescent="0.25">
      <c r="A196">
        <v>55</v>
      </c>
      <c r="B196">
        <v>0</v>
      </c>
      <c r="C196">
        <v>1</v>
      </c>
      <c r="D196">
        <v>135</v>
      </c>
      <c r="E196">
        <v>250</v>
      </c>
      <c r="F196">
        <v>0</v>
      </c>
      <c r="G196">
        <v>0</v>
      </c>
      <c r="H196">
        <v>161</v>
      </c>
      <c r="I196">
        <v>0</v>
      </c>
      <c r="J196">
        <v>1.4</v>
      </c>
      <c r="K196">
        <v>1</v>
      </c>
      <c r="L196">
        <v>0</v>
      </c>
      <c r="M196">
        <v>2</v>
      </c>
      <c r="N196">
        <v>1</v>
      </c>
      <c r="O196" t="str">
        <f>IF(Table1[[#This Row],[sex]]=1,"Male","Female")</f>
        <v>Female</v>
      </c>
      <c r="P196" t="str">
        <f>IF(Table1[[#This Row],[cp]]=0,"Typical Angina",IF(Table1[[#This Row],[cp]]=1,"Atypical Angina",IF(Table1[[#This Row],[cp]]=2,"Non-Anginal Pain","Asymptomatic")))</f>
        <v>Atypical Angina</v>
      </c>
      <c r="Q196">
        <f>IF(Table1[[#This Row],[trestbps]]&gt;=130, 1, 0)</f>
        <v>1</v>
      </c>
      <c r="R196">
        <f>IF(AND(Table1[[#This Row],[target]]=1,OR(Table1[[#This Row],[cp]]=0,Table1[[#This Row],[cp]]=1,Table1[[#This Row],[cp]]=2,Table1[[#This Row],[cp]])),1,0)</f>
        <v>1</v>
      </c>
      <c r="S196">
        <f>IF(AND(Table1[[#This Row],[Chest Pain + Target]]=1,Table1[[#This Row],[trestbps]]&gt;=130),1,0)</f>
        <v>1</v>
      </c>
      <c r="T196">
        <f>IF(AND(Table1[[#This Row],[Add BP]]=1,Table1[[#This Row],[chol]]&gt;=200),1,0)</f>
        <v>1</v>
      </c>
      <c r="U196">
        <f>IF(AND(Table1[[#This Row],[Add Cholestrol]]=1,Table1[[#This Row],[slope]]&gt;=2),1,0)</f>
        <v>0</v>
      </c>
      <c r="V196">
        <f>COUNTIFS(Table1[target],1)</f>
        <v>165</v>
      </c>
    </row>
    <row r="197" spans="1:22" x14ac:dyDescent="0.25">
      <c r="A197">
        <v>43</v>
      </c>
      <c r="B197">
        <v>1</v>
      </c>
      <c r="C197">
        <v>0</v>
      </c>
      <c r="D197">
        <v>110</v>
      </c>
      <c r="E197">
        <v>211</v>
      </c>
      <c r="F197">
        <v>0</v>
      </c>
      <c r="G197">
        <v>1</v>
      </c>
      <c r="H197">
        <v>161</v>
      </c>
      <c r="I197">
        <v>0</v>
      </c>
      <c r="J197">
        <v>0</v>
      </c>
      <c r="K197">
        <v>2</v>
      </c>
      <c r="L197">
        <v>0</v>
      </c>
      <c r="M197">
        <v>3</v>
      </c>
      <c r="N197">
        <v>1</v>
      </c>
      <c r="O197" t="str">
        <f>IF(Table1[[#This Row],[sex]]=1,"Male","Female")</f>
        <v>Male</v>
      </c>
      <c r="P197" t="str">
        <f>IF(Table1[[#This Row],[cp]]=0,"Typical Angina",IF(Table1[[#This Row],[cp]]=1,"Atypical Angina",IF(Table1[[#This Row],[cp]]=2,"Non-Anginal Pain","Asymptomatic")))</f>
        <v>Typical Angina</v>
      </c>
      <c r="Q197">
        <f>IF(Table1[[#This Row],[trestbps]]&gt;=130, 1, 0)</f>
        <v>0</v>
      </c>
      <c r="R197">
        <f>IF(AND(Table1[[#This Row],[target]]=1,OR(Table1[[#This Row],[cp]]=0,Table1[[#This Row],[cp]]=1,Table1[[#This Row],[cp]]=2,Table1[[#This Row],[cp]])),1,0)</f>
        <v>1</v>
      </c>
      <c r="S197">
        <f>IF(AND(Table1[[#This Row],[Chest Pain + Target]]=1,Table1[[#This Row],[trestbps]]&gt;=130),1,0)</f>
        <v>0</v>
      </c>
      <c r="T197">
        <f>IF(AND(Table1[[#This Row],[Add BP]]=1,Table1[[#This Row],[chol]]&gt;=200),1,0)</f>
        <v>0</v>
      </c>
      <c r="U197">
        <f>IF(AND(Table1[[#This Row],[Add Cholestrol]]=1,Table1[[#This Row],[slope]]&gt;=2),1,0)</f>
        <v>0</v>
      </c>
      <c r="V197">
        <f>COUNTIFS(Table1[target],1)</f>
        <v>165</v>
      </c>
    </row>
    <row r="198" spans="1:22" x14ac:dyDescent="0.25">
      <c r="A198">
        <v>52</v>
      </c>
      <c r="B198">
        <v>1</v>
      </c>
      <c r="C198">
        <v>0</v>
      </c>
      <c r="D198">
        <v>128</v>
      </c>
      <c r="E198">
        <v>255</v>
      </c>
      <c r="F198">
        <v>0</v>
      </c>
      <c r="G198">
        <v>1</v>
      </c>
      <c r="H198">
        <v>161</v>
      </c>
      <c r="I198">
        <v>1</v>
      </c>
      <c r="J198">
        <v>0</v>
      </c>
      <c r="K198">
        <v>2</v>
      </c>
      <c r="L198">
        <v>1</v>
      </c>
      <c r="M198">
        <v>3</v>
      </c>
      <c r="N198">
        <v>0</v>
      </c>
      <c r="O198" t="str">
        <f>IF(Table1[[#This Row],[sex]]=1,"Male","Female")</f>
        <v>Male</v>
      </c>
      <c r="P198" t="str">
        <f>IF(Table1[[#This Row],[cp]]=0,"Typical Angina",IF(Table1[[#This Row],[cp]]=1,"Atypical Angina",IF(Table1[[#This Row],[cp]]=2,"Non-Anginal Pain","Asymptomatic")))</f>
        <v>Typical Angina</v>
      </c>
      <c r="Q198">
        <f>IF(Table1[[#This Row],[trestbps]]&gt;=130, 1, 0)</f>
        <v>0</v>
      </c>
      <c r="R198">
        <f>IF(AND(Table1[[#This Row],[target]]=1,OR(Table1[[#This Row],[cp]]=0,Table1[[#This Row],[cp]]=1,Table1[[#This Row],[cp]]=2,Table1[[#This Row],[cp]])),1,0)</f>
        <v>0</v>
      </c>
      <c r="S198">
        <f>IF(AND(Table1[[#This Row],[Chest Pain + Target]]=1,Table1[[#This Row],[trestbps]]&gt;=130),1,0)</f>
        <v>0</v>
      </c>
      <c r="T198">
        <f>IF(AND(Table1[[#This Row],[Add BP]]=1,Table1[[#This Row],[chol]]&gt;=200),1,0)</f>
        <v>0</v>
      </c>
      <c r="U198">
        <f>IF(AND(Table1[[#This Row],[Add Cholestrol]]=1,Table1[[#This Row],[slope]]&gt;=2),1,0)</f>
        <v>0</v>
      </c>
      <c r="V198">
        <f>COUNTIFS(Table1[target],1)</f>
        <v>165</v>
      </c>
    </row>
    <row r="199" spans="1:22" x14ac:dyDescent="0.25">
      <c r="A199">
        <v>61</v>
      </c>
      <c r="B199">
        <v>1</v>
      </c>
      <c r="C199">
        <v>0</v>
      </c>
      <c r="D199">
        <v>148</v>
      </c>
      <c r="E199">
        <v>203</v>
      </c>
      <c r="F199">
        <v>0</v>
      </c>
      <c r="G199">
        <v>1</v>
      </c>
      <c r="H199">
        <v>161</v>
      </c>
      <c r="I199">
        <v>0</v>
      </c>
      <c r="J199">
        <v>0</v>
      </c>
      <c r="K199">
        <v>2</v>
      </c>
      <c r="L199">
        <v>1</v>
      </c>
      <c r="M199">
        <v>3</v>
      </c>
      <c r="N199">
        <v>0</v>
      </c>
      <c r="O199" t="str">
        <f>IF(Table1[[#This Row],[sex]]=1,"Male","Female")</f>
        <v>Male</v>
      </c>
      <c r="P199" t="str">
        <f>IF(Table1[[#This Row],[cp]]=0,"Typical Angina",IF(Table1[[#This Row],[cp]]=1,"Atypical Angina",IF(Table1[[#This Row],[cp]]=2,"Non-Anginal Pain","Asymptomatic")))</f>
        <v>Typical Angina</v>
      </c>
      <c r="Q199">
        <f>IF(Table1[[#This Row],[trestbps]]&gt;=130, 1, 0)</f>
        <v>1</v>
      </c>
      <c r="R199">
        <f>IF(AND(Table1[[#This Row],[target]]=1,OR(Table1[[#This Row],[cp]]=0,Table1[[#This Row],[cp]]=1,Table1[[#This Row],[cp]]=2,Table1[[#This Row],[cp]])),1,0)</f>
        <v>0</v>
      </c>
      <c r="S199">
        <f>IF(AND(Table1[[#This Row],[Chest Pain + Target]]=1,Table1[[#This Row],[trestbps]]&gt;=130),1,0)</f>
        <v>0</v>
      </c>
      <c r="T199">
        <f>IF(AND(Table1[[#This Row],[Add BP]]=1,Table1[[#This Row],[chol]]&gt;=200),1,0)</f>
        <v>0</v>
      </c>
      <c r="U199">
        <f>IF(AND(Table1[[#This Row],[Add Cholestrol]]=1,Table1[[#This Row],[slope]]&gt;=2),1,0)</f>
        <v>0</v>
      </c>
      <c r="V199">
        <f>COUNTIFS(Table1[target],1)</f>
        <v>165</v>
      </c>
    </row>
    <row r="200" spans="1:22" x14ac:dyDescent="0.25">
      <c r="A200">
        <v>52</v>
      </c>
      <c r="B200">
        <v>1</v>
      </c>
      <c r="C200">
        <v>2</v>
      </c>
      <c r="D200">
        <v>172</v>
      </c>
      <c r="E200">
        <v>199</v>
      </c>
      <c r="F200">
        <v>1</v>
      </c>
      <c r="G200">
        <v>1</v>
      </c>
      <c r="H200">
        <v>162</v>
      </c>
      <c r="I200">
        <v>0</v>
      </c>
      <c r="J200">
        <v>0.5</v>
      </c>
      <c r="K200">
        <v>2</v>
      </c>
      <c r="L200">
        <v>0</v>
      </c>
      <c r="M200">
        <v>3</v>
      </c>
      <c r="N200">
        <v>1</v>
      </c>
      <c r="O200" t="str">
        <f>IF(Table1[[#This Row],[sex]]=1,"Male","Female")</f>
        <v>Male</v>
      </c>
      <c r="P200" t="str">
        <f>IF(Table1[[#This Row],[cp]]=0,"Typical Angina",IF(Table1[[#This Row],[cp]]=1,"Atypical Angina",IF(Table1[[#This Row],[cp]]=2,"Non-Anginal Pain","Asymptomatic")))</f>
        <v>Non-Anginal Pain</v>
      </c>
      <c r="Q200">
        <f>IF(Table1[[#This Row],[trestbps]]&gt;=130, 1, 0)</f>
        <v>1</v>
      </c>
      <c r="R200">
        <f>IF(AND(Table1[[#This Row],[target]]=1,OR(Table1[[#This Row],[cp]]=0,Table1[[#This Row],[cp]]=1,Table1[[#This Row],[cp]]=2,Table1[[#This Row],[cp]])),1,0)</f>
        <v>1</v>
      </c>
      <c r="S200">
        <f>IF(AND(Table1[[#This Row],[Chest Pain + Target]]=1,Table1[[#This Row],[trestbps]]&gt;=130),1,0)</f>
        <v>1</v>
      </c>
      <c r="T200">
        <f>IF(AND(Table1[[#This Row],[Add BP]]=1,Table1[[#This Row],[chol]]&gt;=200),1,0)</f>
        <v>0</v>
      </c>
      <c r="U200">
        <f>IF(AND(Table1[[#This Row],[Add Cholestrol]]=1,Table1[[#This Row],[slope]]&gt;=2),1,0)</f>
        <v>0</v>
      </c>
      <c r="V200">
        <f>COUNTIFS(Table1[target],1)</f>
        <v>165</v>
      </c>
    </row>
    <row r="201" spans="1:22" x14ac:dyDescent="0.25">
      <c r="A201">
        <v>58</v>
      </c>
      <c r="B201">
        <v>0</v>
      </c>
      <c r="C201">
        <v>3</v>
      </c>
      <c r="D201">
        <v>150</v>
      </c>
      <c r="E201">
        <v>283</v>
      </c>
      <c r="F201">
        <v>1</v>
      </c>
      <c r="G201">
        <v>0</v>
      </c>
      <c r="H201">
        <v>162</v>
      </c>
      <c r="I201">
        <v>0</v>
      </c>
      <c r="J201">
        <v>1</v>
      </c>
      <c r="K201">
        <v>2</v>
      </c>
      <c r="L201">
        <v>0</v>
      </c>
      <c r="M201">
        <v>2</v>
      </c>
      <c r="N201">
        <v>1</v>
      </c>
      <c r="O201" t="str">
        <f>IF(Table1[[#This Row],[sex]]=1,"Male","Female")</f>
        <v>Female</v>
      </c>
      <c r="P201" t="str">
        <f>IF(Table1[[#This Row],[cp]]=0,"Typical Angina",IF(Table1[[#This Row],[cp]]=1,"Atypical Angina",IF(Table1[[#This Row],[cp]]=2,"Non-Anginal Pain","Asymptomatic")))</f>
        <v>Asymptomatic</v>
      </c>
      <c r="Q201">
        <f>IF(Table1[[#This Row],[trestbps]]&gt;=130, 1, 0)</f>
        <v>1</v>
      </c>
      <c r="R201">
        <f>IF(AND(Table1[[#This Row],[target]]=1,OR(Table1[[#This Row],[cp]]=0,Table1[[#This Row],[cp]]=1,Table1[[#This Row],[cp]]=2,Table1[[#This Row],[cp]])),1,0)</f>
        <v>1</v>
      </c>
      <c r="S201">
        <f>IF(AND(Table1[[#This Row],[Chest Pain + Target]]=1,Table1[[#This Row],[trestbps]]&gt;=130),1,0)</f>
        <v>1</v>
      </c>
      <c r="T201">
        <f>IF(AND(Table1[[#This Row],[Add BP]]=1,Table1[[#This Row],[chol]]&gt;=200),1,0)</f>
        <v>1</v>
      </c>
      <c r="U201">
        <f>IF(AND(Table1[[#This Row],[Add Cholestrol]]=1,Table1[[#This Row],[slope]]&gt;=2),1,0)</f>
        <v>1</v>
      </c>
      <c r="V201">
        <f>COUNTIFS(Table1[target],1)</f>
        <v>165</v>
      </c>
    </row>
    <row r="202" spans="1:22" x14ac:dyDescent="0.25">
      <c r="A202">
        <v>71</v>
      </c>
      <c r="B202">
        <v>0</v>
      </c>
      <c r="C202">
        <v>1</v>
      </c>
      <c r="D202">
        <v>160</v>
      </c>
      <c r="E202">
        <v>302</v>
      </c>
      <c r="F202">
        <v>0</v>
      </c>
      <c r="G202">
        <v>1</v>
      </c>
      <c r="H202">
        <v>162</v>
      </c>
      <c r="I202">
        <v>0</v>
      </c>
      <c r="J202">
        <v>0.4</v>
      </c>
      <c r="K202">
        <v>2</v>
      </c>
      <c r="L202">
        <v>2</v>
      </c>
      <c r="M202">
        <v>2</v>
      </c>
      <c r="N202">
        <v>1</v>
      </c>
      <c r="O202" t="str">
        <f>IF(Table1[[#This Row],[sex]]=1,"Male","Female")</f>
        <v>Female</v>
      </c>
      <c r="P202" t="str">
        <f>IF(Table1[[#This Row],[cp]]=0,"Typical Angina",IF(Table1[[#This Row],[cp]]=1,"Atypical Angina",IF(Table1[[#This Row],[cp]]=2,"Non-Anginal Pain","Asymptomatic")))</f>
        <v>Atypical Angina</v>
      </c>
      <c r="Q202">
        <f>IF(Table1[[#This Row],[trestbps]]&gt;=130, 1, 0)</f>
        <v>1</v>
      </c>
      <c r="R202">
        <f>IF(AND(Table1[[#This Row],[target]]=1,OR(Table1[[#This Row],[cp]]=0,Table1[[#This Row],[cp]]=1,Table1[[#This Row],[cp]]=2,Table1[[#This Row],[cp]])),1,0)</f>
        <v>1</v>
      </c>
      <c r="S202">
        <f>IF(AND(Table1[[#This Row],[Chest Pain + Target]]=1,Table1[[#This Row],[trestbps]]&gt;=130),1,0)</f>
        <v>1</v>
      </c>
      <c r="T202">
        <f>IF(AND(Table1[[#This Row],[Add BP]]=1,Table1[[#This Row],[chol]]&gt;=200),1,0)</f>
        <v>1</v>
      </c>
      <c r="U202">
        <f>IF(AND(Table1[[#This Row],[Add Cholestrol]]=1,Table1[[#This Row],[slope]]&gt;=2),1,0)</f>
        <v>1</v>
      </c>
      <c r="V202">
        <f>COUNTIFS(Table1[target],1)</f>
        <v>165</v>
      </c>
    </row>
    <row r="203" spans="1:22" x14ac:dyDescent="0.25">
      <c r="A203">
        <v>43</v>
      </c>
      <c r="B203">
        <v>1</v>
      </c>
      <c r="C203">
        <v>2</v>
      </c>
      <c r="D203">
        <v>130</v>
      </c>
      <c r="E203">
        <v>315</v>
      </c>
      <c r="F203">
        <v>0</v>
      </c>
      <c r="G203">
        <v>1</v>
      </c>
      <c r="H203">
        <v>162</v>
      </c>
      <c r="I203">
        <v>0</v>
      </c>
      <c r="J203">
        <v>1.9</v>
      </c>
      <c r="K203">
        <v>2</v>
      </c>
      <c r="L203">
        <v>1</v>
      </c>
      <c r="M203">
        <v>2</v>
      </c>
      <c r="N203">
        <v>1</v>
      </c>
      <c r="O203" t="str">
        <f>IF(Table1[[#This Row],[sex]]=1,"Male","Female")</f>
        <v>Male</v>
      </c>
      <c r="P203" t="str">
        <f>IF(Table1[[#This Row],[cp]]=0,"Typical Angina",IF(Table1[[#This Row],[cp]]=1,"Atypical Angina",IF(Table1[[#This Row],[cp]]=2,"Non-Anginal Pain","Asymptomatic")))</f>
        <v>Non-Anginal Pain</v>
      </c>
      <c r="Q203">
        <f>IF(Table1[[#This Row],[trestbps]]&gt;=130, 1, 0)</f>
        <v>1</v>
      </c>
      <c r="R203">
        <f>IF(AND(Table1[[#This Row],[target]]=1,OR(Table1[[#This Row],[cp]]=0,Table1[[#This Row],[cp]]=1,Table1[[#This Row],[cp]]=2,Table1[[#This Row],[cp]])),1,0)</f>
        <v>1</v>
      </c>
      <c r="S203">
        <f>IF(AND(Table1[[#This Row],[Chest Pain + Target]]=1,Table1[[#This Row],[trestbps]]&gt;=130),1,0)</f>
        <v>1</v>
      </c>
      <c r="T203">
        <f>IF(AND(Table1[[#This Row],[Add BP]]=1,Table1[[#This Row],[chol]]&gt;=200),1,0)</f>
        <v>1</v>
      </c>
      <c r="U203">
        <f>IF(AND(Table1[[#This Row],[Add Cholestrol]]=1,Table1[[#This Row],[slope]]&gt;=2),1,0)</f>
        <v>1</v>
      </c>
      <c r="V203">
        <f>COUNTIFS(Table1[target],1)</f>
        <v>165</v>
      </c>
    </row>
    <row r="204" spans="1:22" x14ac:dyDescent="0.25">
      <c r="A204">
        <v>50</v>
      </c>
      <c r="B204">
        <v>0</v>
      </c>
      <c r="C204">
        <v>1</v>
      </c>
      <c r="D204">
        <v>120</v>
      </c>
      <c r="E204">
        <v>244</v>
      </c>
      <c r="F204">
        <v>0</v>
      </c>
      <c r="G204">
        <v>1</v>
      </c>
      <c r="H204">
        <v>162</v>
      </c>
      <c r="I204">
        <v>0</v>
      </c>
      <c r="J204">
        <v>1.1000000000000001</v>
      </c>
      <c r="K204">
        <v>2</v>
      </c>
      <c r="L204">
        <v>0</v>
      </c>
      <c r="M204">
        <v>2</v>
      </c>
      <c r="N204">
        <v>1</v>
      </c>
      <c r="O204" t="str">
        <f>IF(Table1[[#This Row],[sex]]=1,"Male","Female")</f>
        <v>Female</v>
      </c>
      <c r="P204" t="str">
        <f>IF(Table1[[#This Row],[cp]]=0,"Typical Angina",IF(Table1[[#This Row],[cp]]=1,"Atypical Angina",IF(Table1[[#This Row],[cp]]=2,"Non-Anginal Pain","Asymptomatic")))</f>
        <v>Atypical Angina</v>
      </c>
      <c r="Q204">
        <f>IF(Table1[[#This Row],[trestbps]]&gt;=130, 1, 0)</f>
        <v>0</v>
      </c>
      <c r="R204">
        <f>IF(AND(Table1[[#This Row],[target]]=1,OR(Table1[[#This Row],[cp]]=0,Table1[[#This Row],[cp]]=1,Table1[[#This Row],[cp]]=2,Table1[[#This Row],[cp]])),1,0)</f>
        <v>1</v>
      </c>
      <c r="S204">
        <f>IF(AND(Table1[[#This Row],[Chest Pain + Target]]=1,Table1[[#This Row],[trestbps]]&gt;=130),1,0)</f>
        <v>0</v>
      </c>
      <c r="T204">
        <f>IF(AND(Table1[[#This Row],[Add BP]]=1,Table1[[#This Row],[chol]]&gt;=200),1,0)</f>
        <v>0</v>
      </c>
      <c r="U204">
        <f>IF(AND(Table1[[#This Row],[Add Cholestrol]]=1,Table1[[#This Row],[slope]]&gt;=2),1,0)</f>
        <v>0</v>
      </c>
      <c r="V204">
        <f>COUNTIFS(Table1[target],1)</f>
        <v>165</v>
      </c>
    </row>
    <row r="205" spans="1:22" x14ac:dyDescent="0.25">
      <c r="A205">
        <v>56</v>
      </c>
      <c r="B205">
        <v>1</v>
      </c>
      <c r="C205">
        <v>3</v>
      </c>
      <c r="D205">
        <v>120</v>
      </c>
      <c r="E205">
        <v>193</v>
      </c>
      <c r="F205">
        <v>0</v>
      </c>
      <c r="G205">
        <v>0</v>
      </c>
      <c r="H205">
        <v>162</v>
      </c>
      <c r="I205">
        <v>0</v>
      </c>
      <c r="J205">
        <v>1.9</v>
      </c>
      <c r="K205">
        <v>1</v>
      </c>
      <c r="L205">
        <v>0</v>
      </c>
      <c r="M205">
        <v>3</v>
      </c>
      <c r="N205">
        <v>1</v>
      </c>
      <c r="O205" t="str">
        <f>IF(Table1[[#This Row],[sex]]=1,"Male","Female")</f>
        <v>Male</v>
      </c>
      <c r="P205" t="str">
        <f>IF(Table1[[#This Row],[cp]]=0,"Typical Angina",IF(Table1[[#This Row],[cp]]=1,"Atypical Angina",IF(Table1[[#This Row],[cp]]=2,"Non-Anginal Pain","Asymptomatic")))</f>
        <v>Asymptomatic</v>
      </c>
      <c r="Q205">
        <f>IF(Table1[[#This Row],[trestbps]]&gt;=130, 1, 0)</f>
        <v>0</v>
      </c>
      <c r="R205">
        <f>IF(AND(Table1[[#This Row],[target]]=1,OR(Table1[[#This Row],[cp]]=0,Table1[[#This Row],[cp]]=1,Table1[[#This Row],[cp]]=2,Table1[[#This Row],[cp]])),1,0)</f>
        <v>1</v>
      </c>
      <c r="S205">
        <f>IF(AND(Table1[[#This Row],[Chest Pain + Target]]=1,Table1[[#This Row],[trestbps]]&gt;=130),1,0)</f>
        <v>0</v>
      </c>
      <c r="T205">
        <f>IF(AND(Table1[[#This Row],[Add BP]]=1,Table1[[#This Row],[chol]]&gt;=200),1,0)</f>
        <v>0</v>
      </c>
      <c r="U205">
        <f>IF(AND(Table1[[#This Row],[Add Cholestrol]]=1,Table1[[#This Row],[slope]]&gt;=2),1,0)</f>
        <v>0</v>
      </c>
      <c r="V205">
        <f>COUNTIFS(Table1[target],1)</f>
        <v>165</v>
      </c>
    </row>
    <row r="206" spans="1:22" x14ac:dyDescent="0.25">
      <c r="A206">
        <v>49</v>
      </c>
      <c r="B206">
        <v>0</v>
      </c>
      <c r="C206">
        <v>1</v>
      </c>
      <c r="D206">
        <v>134</v>
      </c>
      <c r="E206">
        <v>271</v>
      </c>
      <c r="F206">
        <v>0</v>
      </c>
      <c r="G206">
        <v>1</v>
      </c>
      <c r="H206">
        <v>162</v>
      </c>
      <c r="I206">
        <v>0</v>
      </c>
      <c r="J206">
        <v>0</v>
      </c>
      <c r="K206">
        <v>1</v>
      </c>
      <c r="L206">
        <v>0</v>
      </c>
      <c r="M206">
        <v>2</v>
      </c>
      <c r="N206">
        <v>1</v>
      </c>
      <c r="O206" t="str">
        <f>IF(Table1[[#This Row],[sex]]=1,"Male","Female")</f>
        <v>Female</v>
      </c>
      <c r="P206" t="str">
        <f>IF(Table1[[#This Row],[cp]]=0,"Typical Angina",IF(Table1[[#This Row],[cp]]=1,"Atypical Angina",IF(Table1[[#This Row],[cp]]=2,"Non-Anginal Pain","Asymptomatic")))</f>
        <v>Atypical Angina</v>
      </c>
      <c r="Q206">
        <f>IF(Table1[[#This Row],[trestbps]]&gt;=130, 1, 0)</f>
        <v>1</v>
      </c>
      <c r="R206">
        <f>IF(AND(Table1[[#This Row],[target]]=1,OR(Table1[[#This Row],[cp]]=0,Table1[[#This Row],[cp]]=1,Table1[[#This Row],[cp]]=2,Table1[[#This Row],[cp]])),1,0)</f>
        <v>1</v>
      </c>
      <c r="S206">
        <f>IF(AND(Table1[[#This Row],[Chest Pain + Target]]=1,Table1[[#This Row],[trestbps]]&gt;=130),1,0)</f>
        <v>1</v>
      </c>
      <c r="T206">
        <f>IF(AND(Table1[[#This Row],[Add BP]]=1,Table1[[#This Row],[chol]]&gt;=200),1,0)</f>
        <v>1</v>
      </c>
      <c r="U206">
        <f>IF(AND(Table1[[#This Row],[Add Cholestrol]]=1,Table1[[#This Row],[slope]]&gt;=2),1,0)</f>
        <v>0</v>
      </c>
      <c r="V206">
        <f>COUNTIFS(Table1[target],1)</f>
        <v>165</v>
      </c>
    </row>
    <row r="207" spans="1:22" x14ac:dyDescent="0.25">
      <c r="A207">
        <v>42</v>
      </c>
      <c r="B207">
        <v>1</v>
      </c>
      <c r="C207">
        <v>1</v>
      </c>
      <c r="D207">
        <v>120</v>
      </c>
      <c r="E207">
        <v>295</v>
      </c>
      <c r="F207">
        <v>0</v>
      </c>
      <c r="G207">
        <v>1</v>
      </c>
      <c r="H207">
        <v>162</v>
      </c>
      <c r="I207">
        <v>0</v>
      </c>
      <c r="J207">
        <v>0</v>
      </c>
      <c r="K207">
        <v>2</v>
      </c>
      <c r="L207">
        <v>0</v>
      </c>
      <c r="M207">
        <v>2</v>
      </c>
      <c r="N207">
        <v>1</v>
      </c>
      <c r="O207" t="str">
        <f>IF(Table1[[#This Row],[sex]]=1,"Male","Female")</f>
        <v>Male</v>
      </c>
      <c r="P207" t="str">
        <f>IF(Table1[[#This Row],[cp]]=0,"Typical Angina",IF(Table1[[#This Row],[cp]]=1,"Atypical Angina",IF(Table1[[#This Row],[cp]]=2,"Non-Anginal Pain","Asymptomatic")))</f>
        <v>Atypical Angina</v>
      </c>
      <c r="Q207">
        <f>IF(Table1[[#This Row],[trestbps]]&gt;=130, 1, 0)</f>
        <v>0</v>
      </c>
      <c r="R207">
        <f>IF(AND(Table1[[#This Row],[target]]=1,OR(Table1[[#This Row],[cp]]=0,Table1[[#This Row],[cp]]=1,Table1[[#This Row],[cp]]=2,Table1[[#This Row],[cp]])),1,0)</f>
        <v>1</v>
      </c>
      <c r="S207">
        <f>IF(AND(Table1[[#This Row],[Chest Pain + Target]]=1,Table1[[#This Row],[trestbps]]&gt;=130),1,0)</f>
        <v>0</v>
      </c>
      <c r="T207">
        <f>IF(AND(Table1[[#This Row],[Add BP]]=1,Table1[[#This Row],[chol]]&gt;=200),1,0)</f>
        <v>0</v>
      </c>
      <c r="U207">
        <f>IF(AND(Table1[[#This Row],[Add Cholestrol]]=1,Table1[[#This Row],[slope]]&gt;=2),1,0)</f>
        <v>0</v>
      </c>
      <c r="V207">
        <f>COUNTIFS(Table1[target],1)</f>
        <v>165</v>
      </c>
    </row>
    <row r="208" spans="1:22" x14ac:dyDescent="0.25">
      <c r="A208">
        <v>59</v>
      </c>
      <c r="B208">
        <v>1</v>
      </c>
      <c r="C208">
        <v>0</v>
      </c>
      <c r="D208">
        <v>140</v>
      </c>
      <c r="E208">
        <v>177</v>
      </c>
      <c r="F208">
        <v>0</v>
      </c>
      <c r="G208">
        <v>1</v>
      </c>
      <c r="H208">
        <v>162</v>
      </c>
      <c r="I208">
        <v>1</v>
      </c>
      <c r="J208">
        <v>0</v>
      </c>
      <c r="K208">
        <v>2</v>
      </c>
      <c r="L208">
        <v>1</v>
      </c>
      <c r="M208">
        <v>3</v>
      </c>
      <c r="N208">
        <v>0</v>
      </c>
      <c r="O208" t="str">
        <f>IF(Table1[[#This Row],[sex]]=1,"Male","Female")</f>
        <v>Male</v>
      </c>
      <c r="P208" t="str">
        <f>IF(Table1[[#This Row],[cp]]=0,"Typical Angina",IF(Table1[[#This Row],[cp]]=1,"Atypical Angina",IF(Table1[[#This Row],[cp]]=2,"Non-Anginal Pain","Asymptomatic")))</f>
        <v>Typical Angina</v>
      </c>
      <c r="Q208">
        <f>IF(Table1[[#This Row],[trestbps]]&gt;=130, 1, 0)</f>
        <v>1</v>
      </c>
      <c r="R208">
        <f>IF(AND(Table1[[#This Row],[target]]=1,OR(Table1[[#This Row],[cp]]=0,Table1[[#This Row],[cp]]=1,Table1[[#This Row],[cp]]=2,Table1[[#This Row],[cp]])),1,0)</f>
        <v>0</v>
      </c>
      <c r="S208">
        <f>IF(AND(Table1[[#This Row],[Chest Pain + Target]]=1,Table1[[#This Row],[trestbps]]&gt;=130),1,0)</f>
        <v>0</v>
      </c>
      <c r="T208">
        <f>IF(AND(Table1[[#This Row],[Add BP]]=1,Table1[[#This Row],[chol]]&gt;=200),1,0)</f>
        <v>0</v>
      </c>
      <c r="U208">
        <f>IF(AND(Table1[[#This Row],[Add Cholestrol]]=1,Table1[[#This Row],[slope]]&gt;=2),1,0)</f>
        <v>0</v>
      </c>
      <c r="V208">
        <f>COUNTIFS(Table1[target],1)</f>
        <v>165</v>
      </c>
    </row>
    <row r="209" spans="1:22" x14ac:dyDescent="0.25">
      <c r="A209">
        <v>77</v>
      </c>
      <c r="B209">
        <v>1</v>
      </c>
      <c r="C209">
        <v>0</v>
      </c>
      <c r="D209">
        <v>125</v>
      </c>
      <c r="E209">
        <v>304</v>
      </c>
      <c r="F209">
        <v>0</v>
      </c>
      <c r="G209">
        <v>0</v>
      </c>
      <c r="H209">
        <v>162</v>
      </c>
      <c r="I209">
        <v>1</v>
      </c>
      <c r="J209">
        <v>0</v>
      </c>
      <c r="K209">
        <v>2</v>
      </c>
      <c r="L209">
        <v>3</v>
      </c>
      <c r="M209">
        <v>2</v>
      </c>
      <c r="N209">
        <v>0</v>
      </c>
      <c r="O209" t="str">
        <f>IF(Table1[[#This Row],[sex]]=1,"Male","Female")</f>
        <v>Male</v>
      </c>
      <c r="P209" t="str">
        <f>IF(Table1[[#This Row],[cp]]=0,"Typical Angina",IF(Table1[[#This Row],[cp]]=1,"Atypical Angina",IF(Table1[[#This Row],[cp]]=2,"Non-Anginal Pain","Asymptomatic")))</f>
        <v>Typical Angina</v>
      </c>
      <c r="Q209">
        <f>IF(Table1[[#This Row],[trestbps]]&gt;=130, 1, 0)</f>
        <v>0</v>
      </c>
      <c r="R209">
        <f>IF(AND(Table1[[#This Row],[target]]=1,OR(Table1[[#This Row],[cp]]=0,Table1[[#This Row],[cp]]=1,Table1[[#This Row],[cp]]=2,Table1[[#This Row],[cp]])),1,0)</f>
        <v>0</v>
      </c>
      <c r="S209">
        <f>IF(AND(Table1[[#This Row],[Chest Pain + Target]]=1,Table1[[#This Row],[trestbps]]&gt;=130),1,0)</f>
        <v>0</v>
      </c>
      <c r="T209">
        <f>IF(AND(Table1[[#This Row],[Add BP]]=1,Table1[[#This Row],[chol]]&gt;=200),1,0)</f>
        <v>0</v>
      </c>
      <c r="U209">
        <f>IF(AND(Table1[[#This Row],[Add Cholestrol]]=1,Table1[[#This Row],[slope]]&gt;=2),1,0)</f>
        <v>0</v>
      </c>
      <c r="V209">
        <f>COUNTIFS(Table1[target],1)</f>
        <v>165</v>
      </c>
    </row>
    <row r="210" spans="1:22" x14ac:dyDescent="0.25">
      <c r="A210">
        <v>59</v>
      </c>
      <c r="B210">
        <v>1</v>
      </c>
      <c r="C210">
        <v>3</v>
      </c>
      <c r="D210">
        <v>134</v>
      </c>
      <c r="E210">
        <v>204</v>
      </c>
      <c r="F210">
        <v>0</v>
      </c>
      <c r="G210">
        <v>1</v>
      </c>
      <c r="H210">
        <v>162</v>
      </c>
      <c r="I210">
        <v>0</v>
      </c>
      <c r="J210">
        <v>0.8</v>
      </c>
      <c r="K210">
        <v>2</v>
      </c>
      <c r="L210">
        <v>2</v>
      </c>
      <c r="M210">
        <v>2</v>
      </c>
      <c r="N210">
        <v>0</v>
      </c>
      <c r="O210" t="str">
        <f>IF(Table1[[#This Row],[sex]]=1,"Male","Female")</f>
        <v>Male</v>
      </c>
      <c r="P210" t="str">
        <f>IF(Table1[[#This Row],[cp]]=0,"Typical Angina",IF(Table1[[#This Row],[cp]]=1,"Atypical Angina",IF(Table1[[#This Row],[cp]]=2,"Non-Anginal Pain","Asymptomatic")))</f>
        <v>Asymptomatic</v>
      </c>
      <c r="Q210">
        <f>IF(Table1[[#This Row],[trestbps]]&gt;=130, 1, 0)</f>
        <v>1</v>
      </c>
      <c r="R210">
        <f>IF(AND(Table1[[#This Row],[target]]=1,OR(Table1[[#This Row],[cp]]=0,Table1[[#This Row],[cp]]=1,Table1[[#This Row],[cp]]=2,Table1[[#This Row],[cp]])),1,0)</f>
        <v>0</v>
      </c>
      <c r="S210">
        <f>IF(AND(Table1[[#This Row],[Chest Pain + Target]]=1,Table1[[#This Row],[trestbps]]&gt;=130),1,0)</f>
        <v>0</v>
      </c>
      <c r="T210">
        <f>IF(AND(Table1[[#This Row],[Add BP]]=1,Table1[[#This Row],[chol]]&gt;=200),1,0)</f>
        <v>0</v>
      </c>
      <c r="U210">
        <f>IF(AND(Table1[[#This Row],[Add Cholestrol]]=1,Table1[[#This Row],[slope]]&gt;=2),1,0)</f>
        <v>0</v>
      </c>
      <c r="V210">
        <f>COUNTIFS(Table1[target],1)</f>
        <v>165</v>
      </c>
    </row>
    <row r="211" spans="1:22" x14ac:dyDescent="0.25">
      <c r="A211">
        <v>57</v>
      </c>
      <c r="B211">
        <v>0</v>
      </c>
      <c r="C211">
        <v>0</v>
      </c>
      <c r="D211">
        <v>120</v>
      </c>
      <c r="E211">
        <v>354</v>
      </c>
      <c r="F211">
        <v>0</v>
      </c>
      <c r="G211">
        <v>1</v>
      </c>
      <c r="H211">
        <v>163</v>
      </c>
      <c r="I211">
        <v>1</v>
      </c>
      <c r="J211">
        <v>0.6</v>
      </c>
      <c r="K211">
        <v>2</v>
      </c>
      <c r="L211">
        <v>0</v>
      </c>
      <c r="M211">
        <v>2</v>
      </c>
      <c r="N211">
        <v>1</v>
      </c>
      <c r="O211" t="str">
        <f>IF(Table1[[#This Row],[sex]]=1,"Male","Female")</f>
        <v>Female</v>
      </c>
      <c r="P211" t="str">
        <f>IF(Table1[[#This Row],[cp]]=0,"Typical Angina",IF(Table1[[#This Row],[cp]]=1,"Atypical Angina",IF(Table1[[#This Row],[cp]]=2,"Non-Anginal Pain","Asymptomatic")))</f>
        <v>Typical Angina</v>
      </c>
      <c r="Q211">
        <f>IF(Table1[[#This Row],[trestbps]]&gt;=130, 1, 0)</f>
        <v>0</v>
      </c>
      <c r="R211">
        <f>IF(AND(Table1[[#This Row],[target]]=1,OR(Table1[[#This Row],[cp]]=0,Table1[[#This Row],[cp]]=1,Table1[[#This Row],[cp]]=2,Table1[[#This Row],[cp]])),1,0)</f>
        <v>1</v>
      </c>
      <c r="S211">
        <f>IF(AND(Table1[[#This Row],[Chest Pain + Target]]=1,Table1[[#This Row],[trestbps]]&gt;=130),1,0)</f>
        <v>0</v>
      </c>
      <c r="T211">
        <f>IF(AND(Table1[[#This Row],[Add BP]]=1,Table1[[#This Row],[chol]]&gt;=200),1,0)</f>
        <v>0</v>
      </c>
      <c r="U211">
        <f>IF(AND(Table1[[#This Row],[Add Cholestrol]]=1,Table1[[#This Row],[slope]]&gt;=2),1,0)</f>
        <v>0</v>
      </c>
      <c r="V211">
        <f>COUNTIFS(Table1[target],1)</f>
        <v>165</v>
      </c>
    </row>
    <row r="212" spans="1:22" x14ac:dyDescent="0.25">
      <c r="A212">
        <v>62</v>
      </c>
      <c r="B212">
        <v>0</v>
      </c>
      <c r="C212">
        <v>0</v>
      </c>
      <c r="D212">
        <v>124</v>
      </c>
      <c r="E212">
        <v>209</v>
      </c>
      <c r="F212">
        <v>0</v>
      </c>
      <c r="G212">
        <v>1</v>
      </c>
      <c r="H212">
        <v>163</v>
      </c>
      <c r="I212">
        <v>0</v>
      </c>
      <c r="J212">
        <v>0</v>
      </c>
      <c r="K212">
        <v>2</v>
      </c>
      <c r="L212">
        <v>0</v>
      </c>
      <c r="M212">
        <v>2</v>
      </c>
      <c r="N212">
        <v>1</v>
      </c>
      <c r="O212" t="str">
        <f>IF(Table1[[#This Row],[sex]]=1,"Male","Female")</f>
        <v>Female</v>
      </c>
      <c r="P212" t="str">
        <f>IF(Table1[[#This Row],[cp]]=0,"Typical Angina",IF(Table1[[#This Row],[cp]]=1,"Atypical Angina",IF(Table1[[#This Row],[cp]]=2,"Non-Anginal Pain","Asymptomatic")))</f>
        <v>Typical Angina</v>
      </c>
      <c r="Q212">
        <f>IF(Table1[[#This Row],[trestbps]]&gt;=130, 1, 0)</f>
        <v>0</v>
      </c>
      <c r="R212">
        <f>IF(AND(Table1[[#This Row],[target]]=1,OR(Table1[[#This Row],[cp]]=0,Table1[[#This Row],[cp]]=1,Table1[[#This Row],[cp]]=2,Table1[[#This Row],[cp]])),1,0)</f>
        <v>1</v>
      </c>
      <c r="S212">
        <f>IF(AND(Table1[[#This Row],[Chest Pain + Target]]=1,Table1[[#This Row],[trestbps]]&gt;=130),1,0)</f>
        <v>0</v>
      </c>
      <c r="T212">
        <f>IF(AND(Table1[[#This Row],[Add BP]]=1,Table1[[#This Row],[chol]]&gt;=200),1,0)</f>
        <v>0</v>
      </c>
      <c r="U212">
        <f>IF(AND(Table1[[#This Row],[Add Cholestrol]]=1,Table1[[#This Row],[slope]]&gt;=2),1,0)</f>
        <v>0</v>
      </c>
      <c r="V212">
        <f>COUNTIFS(Table1[target],1)</f>
        <v>165</v>
      </c>
    </row>
    <row r="213" spans="1:22" x14ac:dyDescent="0.25">
      <c r="A213">
        <v>50</v>
      </c>
      <c r="B213">
        <v>1</v>
      </c>
      <c r="C213">
        <v>2</v>
      </c>
      <c r="D213">
        <v>129</v>
      </c>
      <c r="E213">
        <v>196</v>
      </c>
      <c r="F213">
        <v>0</v>
      </c>
      <c r="G213">
        <v>1</v>
      </c>
      <c r="H213">
        <v>163</v>
      </c>
      <c r="I213">
        <v>0</v>
      </c>
      <c r="J213">
        <v>0</v>
      </c>
      <c r="K213">
        <v>2</v>
      </c>
      <c r="L213">
        <v>0</v>
      </c>
      <c r="M213">
        <v>2</v>
      </c>
      <c r="N213">
        <v>1</v>
      </c>
      <c r="O213" t="str">
        <f>IF(Table1[[#This Row],[sex]]=1,"Male","Female")</f>
        <v>Male</v>
      </c>
      <c r="P213" t="str">
        <f>IF(Table1[[#This Row],[cp]]=0,"Typical Angina",IF(Table1[[#This Row],[cp]]=1,"Atypical Angina",IF(Table1[[#This Row],[cp]]=2,"Non-Anginal Pain","Asymptomatic")))</f>
        <v>Non-Anginal Pain</v>
      </c>
      <c r="Q213">
        <f>IF(Table1[[#This Row],[trestbps]]&gt;=130, 1, 0)</f>
        <v>0</v>
      </c>
      <c r="R213">
        <f>IF(AND(Table1[[#This Row],[target]]=1,OR(Table1[[#This Row],[cp]]=0,Table1[[#This Row],[cp]]=1,Table1[[#This Row],[cp]]=2,Table1[[#This Row],[cp]])),1,0)</f>
        <v>1</v>
      </c>
      <c r="S213">
        <f>IF(AND(Table1[[#This Row],[Chest Pain + Target]]=1,Table1[[#This Row],[trestbps]]&gt;=130),1,0)</f>
        <v>0</v>
      </c>
      <c r="T213">
        <f>IF(AND(Table1[[#This Row],[Add BP]]=1,Table1[[#This Row],[chol]]&gt;=200),1,0)</f>
        <v>0</v>
      </c>
      <c r="U213">
        <f>IF(AND(Table1[[#This Row],[Add Cholestrol]]=1,Table1[[#This Row],[slope]]&gt;=2),1,0)</f>
        <v>0</v>
      </c>
      <c r="V213">
        <f>COUNTIFS(Table1[target],1)</f>
        <v>165</v>
      </c>
    </row>
    <row r="214" spans="1:22" x14ac:dyDescent="0.25">
      <c r="A214">
        <v>54</v>
      </c>
      <c r="B214">
        <v>0</v>
      </c>
      <c r="C214">
        <v>2</v>
      </c>
      <c r="D214">
        <v>160</v>
      </c>
      <c r="E214">
        <v>201</v>
      </c>
      <c r="F214">
        <v>0</v>
      </c>
      <c r="G214">
        <v>1</v>
      </c>
      <c r="H214">
        <v>163</v>
      </c>
      <c r="I214">
        <v>0</v>
      </c>
      <c r="J214">
        <v>0</v>
      </c>
      <c r="K214">
        <v>2</v>
      </c>
      <c r="L214">
        <v>1</v>
      </c>
      <c r="M214">
        <v>2</v>
      </c>
      <c r="N214">
        <v>1</v>
      </c>
      <c r="O214" t="str">
        <f>IF(Table1[[#This Row],[sex]]=1,"Male","Female")</f>
        <v>Female</v>
      </c>
      <c r="P214" t="str">
        <f>IF(Table1[[#This Row],[cp]]=0,"Typical Angina",IF(Table1[[#This Row],[cp]]=1,"Atypical Angina",IF(Table1[[#This Row],[cp]]=2,"Non-Anginal Pain","Asymptomatic")))</f>
        <v>Non-Anginal Pain</v>
      </c>
      <c r="Q214">
        <f>IF(Table1[[#This Row],[trestbps]]&gt;=130, 1, 0)</f>
        <v>1</v>
      </c>
      <c r="R214">
        <f>IF(AND(Table1[[#This Row],[target]]=1,OR(Table1[[#This Row],[cp]]=0,Table1[[#This Row],[cp]]=1,Table1[[#This Row],[cp]]=2,Table1[[#This Row],[cp]])),1,0)</f>
        <v>1</v>
      </c>
      <c r="S214">
        <f>IF(AND(Table1[[#This Row],[Chest Pain + Target]]=1,Table1[[#This Row],[trestbps]]&gt;=130),1,0)</f>
        <v>1</v>
      </c>
      <c r="T214">
        <f>IF(AND(Table1[[#This Row],[Add BP]]=1,Table1[[#This Row],[chol]]&gt;=200),1,0)</f>
        <v>1</v>
      </c>
      <c r="U214">
        <f>IF(AND(Table1[[#This Row],[Add Cholestrol]]=1,Table1[[#This Row],[slope]]&gt;=2),1,0)</f>
        <v>1</v>
      </c>
      <c r="V214">
        <f>COUNTIFS(Table1[target],1)</f>
        <v>165</v>
      </c>
    </row>
    <row r="215" spans="1:22" x14ac:dyDescent="0.25">
      <c r="A215">
        <v>41</v>
      </c>
      <c r="B215">
        <v>0</v>
      </c>
      <c r="C215">
        <v>1</v>
      </c>
      <c r="D215">
        <v>126</v>
      </c>
      <c r="E215">
        <v>306</v>
      </c>
      <c r="F215">
        <v>0</v>
      </c>
      <c r="G215">
        <v>1</v>
      </c>
      <c r="H215">
        <v>163</v>
      </c>
      <c r="I215">
        <v>0</v>
      </c>
      <c r="J215">
        <v>0</v>
      </c>
      <c r="K215">
        <v>2</v>
      </c>
      <c r="L215">
        <v>0</v>
      </c>
      <c r="M215">
        <v>2</v>
      </c>
      <c r="N215">
        <v>1</v>
      </c>
      <c r="O215" t="str">
        <f>IF(Table1[[#This Row],[sex]]=1,"Male","Female")</f>
        <v>Female</v>
      </c>
      <c r="P215" t="str">
        <f>IF(Table1[[#This Row],[cp]]=0,"Typical Angina",IF(Table1[[#This Row],[cp]]=1,"Atypical Angina",IF(Table1[[#This Row],[cp]]=2,"Non-Anginal Pain","Asymptomatic")))</f>
        <v>Atypical Angina</v>
      </c>
      <c r="Q215">
        <f>IF(Table1[[#This Row],[trestbps]]&gt;=130, 1, 0)</f>
        <v>0</v>
      </c>
      <c r="R215">
        <f>IF(AND(Table1[[#This Row],[target]]=1,OR(Table1[[#This Row],[cp]]=0,Table1[[#This Row],[cp]]=1,Table1[[#This Row],[cp]]=2,Table1[[#This Row],[cp]])),1,0)</f>
        <v>1</v>
      </c>
      <c r="S215">
        <f>IF(AND(Table1[[#This Row],[Chest Pain + Target]]=1,Table1[[#This Row],[trestbps]]&gt;=130),1,0)</f>
        <v>0</v>
      </c>
      <c r="T215">
        <f>IF(AND(Table1[[#This Row],[Add BP]]=1,Table1[[#This Row],[chol]]&gt;=200),1,0)</f>
        <v>0</v>
      </c>
      <c r="U215">
        <f>IF(AND(Table1[[#This Row],[Add Cholestrol]]=1,Table1[[#This Row],[slope]]&gt;=2),1,0)</f>
        <v>0</v>
      </c>
      <c r="V215">
        <f>COUNTIFS(Table1[target],1)</f>
        <v>165</v>
      </c>
    </row>
    <row r="216" spans="1:22" x14ac:dyDescent="0.25">
      <c r="A216">
        <v>49</v>
      </c>
      <c r="B216">
        <v>0</v>
      </c>
      <c r="C216">
        <v>0</v>
      </c>
      <c r="D216">
        <v>130</v>
      </c>
      <c r="E216">
        <v>269</v>
      </c>
      <c r="F216">
        <v>0</v>
      </c>
      <c r="G216">
        <v>1</v>
      </c>
      <c r="H216">
        <v>163</v>
      </c>
      <c r="I216">
        <v>0</v>
      </c>
      <c r="J216">
        <v>0</v>
      </c>
      <c r="K216">
        <v>2</v>
      </c>
      <c r="L216">
        <v>0</v>
      </c>
      <c r="M216">
        <v>2</v>
      </c>
      <c r="N216">
        <v>1</v>
      </c>
      <c r="O216" t="str">
        <f>IF(Table1[[#This Row],[sex]]=1,"Male","Female")</f>
        <v>Female</v>
      </c>
      <c r="P216" t="str">
        <f>IF(Table1[[#This Row],[cp]]=0,"Typical Angina",IF(Table1[[#This Row],[cp]]=1,"Atypical Angina",IF(Table1[[#This Row],[cp]]=2,"Non-Anginal Pain","Asymptomatic")))</f>
        <v>Typical Angina</v>
      </c>
      <c r="Q216">
        <f>IF(Table1[[#This Row],[trestbps]]&gt;=130, 1, 0)</f>
        <v>1</v>
      </c>
      <c r="R216">
        <f>IF(AND(Table1[[#This Row],[target]]=1,OR(Table1[[#This Row],[cp]]=0,Table1[[#This Row],[cp]]=1,Table1[[#This Row],[cp]]=2,Table1[[#This Row],[cp]])),1,0)</f>
        <v>1</v>
      </c>
      <c r="S216">
        <f>IF(AND(Table1[[#This Row],[Chest Pain + Target]]=1,Table1[[#This Row],[trestbps]]&gt;=130),1,0)</f>
        <v>1</v>
      </c>
      <c r="T216">
        <f>IF(AND(Table1[[#This Row],[Add BP]]=1,Table1[[#This Row],[chol]]&gt;=200),1,0)</f>
        <v>1</v>
      </c>
      <c r="U216">
        <f>IF(AND(Table1[[#This Row],[Add Cholestrol]]=1,Table1[[#This Row],[slope]]&gt;=2),1,0)</f>
        <v>1</v>
      </c>
      <c r="V216">
        <f>COUNTIFS(Table1[target],1)</f>
        <v>165</v>
      </c>
    </row>
    <row r="217" spans="1:22" x14ac:dyDescent="0.25">
      <c r="A217">
        <v>56</v>
      </c>
      <c r="B217">
        <v>1</v>
      </c>
      <c r="C217">
        <v>1</v>
      </c>
      <c r="D217">
        <v>130</v>
      </c>
      <c r="E217">
        <v>221</v>
      </c>
      <c r="F217">
        <v>0</v>
      </c>
      <c r="G217">
        <v>0</v>
      </c>
      <c r="H217">
        <v>163</v>
      </c>
      <c r="I217">
        <v>0</v>
      </c>
      <c r="J217">
        <v>0</v>
      </c>
      <c r="K217">
        <v>2</v>
      </c>
      <c r="L217">
        <v>0</v>
      </c>
      <c r="M217">
        <v>3</v>
      </c>
      <c r="N217">
        <v>1</v>
      </c>
      <c r="O217" t="str">
        <f>IF(Table1[[#This Row],[sex]]=1,"Male","Female")</f>
        <v>Male</v>
      </c>
      <c r="P217" t="str">
        <f>IF(Table1[[#This Row],[cp]]=0,"Typical Angina",IF(Table1[[#This Row],[cp]]=1,"Atypical Angina",IF(Table1[[#This Row],[cp]]=2,"Non-Anginal Pain","Asymptomatic")))</f>
        <v>Atypical Angina</v>
      </c>
      <c r="Q217">
        <f>IF(Table1[[#This Row],[trestbps]]&gt;=130, 1, 0)</f>
        <v>1</v>
      </c>
      <c r="R217">
        <f>IF(AND(Table1[[#This Row],[target]]=1,OR(Table1[[#This Row],[cp]]=0,Table1[[#This Row],[cp]]=1,Table1[[#This Row],[cp]]=2,Table1[[#This Row],[cp]])),1,0)</f>
        <v>1</v>
      </c>
      <c r="S217">
        <f>IF(AND(Table1[[#This Row],[Chest Pain + Target]]=1,Table1[[#This Row],[trestbps]]&gt;=130),1,0)</f>
        <v>1</v>
      </c>
      <c r="T217">
        <f>IF(AND(Table1[[#This Row],[Add BP]]=1,Table1[[#This Row],[chol]]&gt;=200),1,0)</f>
        <v>1</v>
      </c>
      <c r="U217">
        <f>IF(AND(Table1[[#This Row],[Add Cholestrol]]=1,Table1[[#This Row],[slope]]&gt;=2),1,0)</f>
        <v>1</v>
      </c>
      <c r="V217">
        <f>COUNTIFS(Table1[target],1)</f>
        <v>165</v>
      </c>
    </row>
    <row r="218" spans="1:22" x14ac:dyDescent="0.25">
      <c r="A218">
        <v>50</v>
      </c>
      <c r="B218">
        <v>1</v>
      </c>
      <c r="C218">
        <v>2</v>
      </c>
      <c r="D218">
        <v>140</v>
      </c>
      <c r="E218">
        <v>233</v>
      </c>
      <c r="F218">
        <v>0</v>
      </c>
      <c r="G218">
        <v>1</v>
      </c>
      <c r="H218">
        <v>163</v>
      </c>
      <c r="I218">
        <v>0</v>
      </c>
      <c r="J218">
        <v>0.6</v>
      </c>
      <c r="K218">
        <v>1</v>
      </c>
      <c r="L218">
        <v>1</v>
      </c>
      <c r="M218">
        <v>3</v>
      </c>
      <c r="N218">
        <v>0</v>
      </c>
      <c r="O218" t="str">
        <f>IF(Table1[[#This Row],[sex]]=1,"Male","Female")</f>
        <v>Male</v>
      </c>
      <c r="P218" t="str">
        <f>IF(Table1[[#This Row],[cp]]=0,"Typical Angina",IF(Table1[[#This Row],[cp]]=1,"Atypical Angina",IF(Table1[[#This Row],[cp]]=2,"Non-Anginal Pain","Asymptomatic")))</f>
        <v>Non-Anginal Pain</v>
      </c>
      <c r="Q218">
        <f>IF(Table1[[#This Row],[trestbps]]&gt;=130, 1, 0)</f>
        <v>1</v>
      </c>
      <c r="R218">
        <f>IF(AND(Table1[[#This Row],[target]]=1,OR(Table1[[#This Row],[cp]]=0,Table1[[#This Row],[cp]]=1,Table1[[#This Row],[cp]]=2,Table1[[#This Row],[cp]])),1,0)</f>
        <v>0</v>
      </c>
      <c r="S218">
        <f>IF(AND(Table1[[#This Row],[Chest Pain + Target]]=1,Table1[[#This Row],[trestbps]]&gt;=130),1,0)</f>
        <v>0</v>
      </c>
      <c r="T218">
        <f>IF(AND(Table1[[#This Row],[Add BP]]=1,Table1[[#This Row],[chol]]&gt;=200),1,0)</f>
        <v>0</v>
      </c>
      <c r="U218">
        <f>IF(AND(Table1[[#This Row],[Add Cholestrol]]=1,Table1[[#This Row],[slope]]&gt;=2),1,0)</f>
        <v>0</v>
      </c>
      <c r="V218">
        <f>COUNTIFS(Table1[target],1)</f>
        <v>165</v>
      </c>
    </row>
    <row r="219" spans="1:22" x14ac:dyDescent="0.25">
      <c r="A219">
        <v>67</v>
      </c>
      <c r="B219">
        <v>1</v>
      </c>
      <c r="C219">
        <v>0</v>
      </c>
      <c r="D219">
        <v>125</v>
      </c>
      <c r="E219">
        <v>254</v>
      </c>
      <c r="F219">
        <v>1</v>
      </c>
      <c r="G219">
        <v>1</v>
      </c>
      <c r="H219">
        <v>163</v>
      </c>
      <c r="I219">
        <v>0</v>
      </c>
      <c r="J219">
        <v>0.2</v>
      </c>
      <c r="K219">
        <v>1</v>
      </c>
      <c r="L219">
        <v>2</v>
      </c>
      <c r="M219">
        <v>3</v>
      </c>
      <c r="N219">
        <v>0</v>
      </c>
      <c r="O219" t="str">
        <f>IF(Table1[[#This Row],[sex]]=1,"Male","Female")</f>
        <v>Male</v>
      </c>
      <c r="P219" t="str">
        <f>IF(Table1[[#This Row],[cp]]=0,"Typical Angina",IF(Table1[[#This Row],[cp]]=1,"Atypical Angina",IF(Table1[[#This Row],[cp]]=2,"Non-Anginal Pain","Asymptomatic")))</f>
        <v>Typical Angina</v>
      </c>
      <c r="Q219">
        <f>IF(Table1[[#This Row],[trestbps]]&gt;=130, 1, 0)</f>
        <v>0</v>
      </c>
      <c r="R219">
        <f>IF(AND(Table1[[#This Row],[target]]=1,OR(Table1[[#This Row],[cp]]=0,Table1[[#This Row],[cp]]=1,Table1[[#This Row],[cp]]=2,Table1[[#This Row],[cp]])),1,0)</f>
        <v>0</v>
      </c>
      <c r="S219">
        <f>IF(AND(Table1[[#This Row],[Chest Pain + Target]]=1,Table1[[#This Row],[trestbps]]&gt;=130),1,0)</f>
        <v>0</v>
      </c>
      <c r="T219">
        <f>IF(AND(Table1[[#This Row],[Add BP]]=1,Table1[[#This Row],[chol]]&gt;=200),1,0)</f>
        <v>0</v>
      </c>
      <c r="U219">
        <f>IF(AND(Table1[[#This Row],[Add Cholestrol]]=1,Table1[[#This Row],[slope]]&gt;=2),1,0)</f>
        <v>0</v>
      </c>
      <c r="V219">
        <f>COUNTIFS(Table1[target],1)</f>
        <v>165</v>
      </c>
    </row>
    <row r="220" spans="1:22" x14ac:dyDescent="0.25">
      <c r="A220">
        <v>59</v>
      </c>
      <c r="B220">
        <v>1</v>
      </c>
      <c r="C220">
        <v>1</v>
      </c>
      <c r="D220">
        <v>140</v>
      </c>
      <c r="E220">
        <v>221</v>
      </c>
      <c r="F220">
        <v>0</v>
      </c>
      <c r="G220">
        <v>1</v>
      </c>
      <c r="H220">
        <v>164</v>
      </c>
      <c r="I220">
        <v>1</v>
      </c>
      <c r="J220">
        <v>0</v>
      </c>
      <c r="K220">
        <v>2</v>
      </c>
      <c r="L220">
        <v>0</v>
      </c>
      <c r="M220">
        <v>2</v>
      </c>
      <c r="N220">
        <v>1</v>
      </c>
      <c r="O220" t="str">
        <f>IF(Table1[[#This Row],[sex]]=1,"Male","Female")</f>
        <v>Male</v>
      </c>
      <c r="P220" t="str">
        <f>IF(Table1[[#This Row],[cp]]=0,"Typical Angina",IF(Table1[[#This Row],[cp]]=1,"Atypical Angina",IF(Table1[[#This Row],[cp]]=2,"Non-Anginal Pain","Asymptomatic")))</f>
        <v>Atypical Angina</v>
      </c>
      <c r="Q220">
        <f>IF(Table1[[#This Row],[trestbps]]&gt;=130, 1, 0)</f>
        <v>1</v>
      </c>
      <c r="R220">
        <f>IF(AND(Table1[[#This Row],[target]]=1,OR(Table1[[#This Row],[cp]]=0,Table1[[#This Row],[cp]]=1,Table1[[#This Row],[cp]]=2,Table1[[#This Row],[cp]])),1,0)</f>
        <v>1</v>
      </c>
      <c r="S220">
        <f>IF(AND(Table1[[#This Row],[Chest Pain + Target]]=1,Table1[[#This Row],[trestbps]]&gt;=130),1,0)</f>
        <v>1</v>
      </c>
      <c r="T220">
        <f>IF(AND(Table1[[#This Row],[Add BP]]=1,Table1[[#This Row],[chol]]&gt;=200),1,0)</f>
        <v>1</v>
      </c>
      <c r="U220">
        <f>IF(AND(Table1[[#This Row],[Add Cholestrol]]=1,Table1[[#This Row],[slope]]&gt;=2),1,0)</f>
        <v>1</v>
      </c>
      <c r="V220">
        <f>COUNTIFS(Table1[target],1)</f>
        <v>165</v>
      </c>
    </row>
    <row r="221" spans="1:22" x14ac:dyDescent="0.25">
      <c r="A221">
        <v>57</v>
      </c>
      <c r="B221">
        <v>1</v>
      </c>
      <c r="C221">
        <v>1</v>
      </c>
      <c r="D221">
        <v>154</v>
      </c>
      <c r="E221">
        <v>232</v>
      </c>
      <c r="F221">
        <v>0</v>
      </c>
      <c r="G221">
        <v>0</v>
      </c>
      <c r="H221">
        <v>164</v>
      </c>
      <c r="I221">
        <v>0</v>
      </c>
      <c r="J221">
        <v>0</v>
      </c>
      <c r="K221">
        <v>2</v>
      </c>
      <c r="L221">
        <v>1</v>
      </c>
      <c r="M221">
        <v>2</v>
      </c>
      <c r="N221">
        <v>0</v>
      </c>
      <c r="O221" t="str">
        <f>IF(Table1[[#This Row],[sex]]=1,"Male","Female")</f>
        <v>Male</v>
      </c>
      <c r="P221" t="str">
        <f>IF(Table1[[#This Row],[cp]]=0,"Typical Angina",IF(Table1[[#This Row],[cp]]=1,"Atypical Angina",IF(Table1[[#This Row],[cp]]=2,"Non-Anginal Pain","Asymptomatic")))</f>
        <v>Atypical Angina</v>
      </c>
      <c r="Q221">
        <f>IF(Table1[[#This Row],[trestbps]]&gt;=130, 1, 0)</f>
        <v>1</v>
      </c>
      <c r="R221">
        <f>IF(AND(Table1[[#This Row],[target]]=1,OR(Table1[[#This Row],[cp]]=0,Table1[[#This Row],[cp]]=1,Table1[[#This Row],[cp]]=2,Table1[[#This Row],[cp]])),1,0)</f>
        <v>0</v>
      </c>
      <c r="S221">
        <f>IF(AND(Table1[[#This Row],[Chest Pain + Target]]=1,Table1[[#This Row],[trestbps]]&gt;=130),1,0)</f>
        <v>0</v>
      </c>
      <c r="T221">
        <f>IF(AND(Table1[[#This Row],[Add BP]]=1,Table1[[#This Row],[chol]]&gt;=200),1,0)</f>
        <v>0</v>
      </c>
      <c r="U221">
        <f>IF(AND(Table1[[#This Row],[Add Cholestrol]]=1,Table1[[#This Row],[slope]]&gt;=2),1,0)</f>
        <v>0</v>
      </c>
      <c r="V221">
        <f>COUNTIFS(Table1[target],1)</f>
        <v>165</v>
      </c>
    </row>
    <row r="222" spans="1:22" x14ac:dyDescent="0.25">
      <c r="A222">
        <v>54</v>
      </c>
      <c r="B222">
        <v>1</v>
      </c>
      <c r="C222">
        <v>2</v>
      </c>
      <c r="D222">
        <v>150</v>
      </c>
      <c r="E222">
        <v>232</v>
      </c>
      <c r="F222">
        <v>0</v>
      </c>
      <c r="G222">
        <v>0</v>
      </c>
      <c r="H222">
        <v>165</v>
      </c>
      <c r="I222">
        <v>0</v>
      </c>
      <c r="J222">
        <v>1.6</v>
      </c>
      <c r="K222">
        <v>2</v>
      </c>
      <c r="L222">
        <v>0</v>
      </c>
      <c r="M222">
        <v>3</v>
      </c>
      <c r="N222">
        <v>1</v>
      </c>
      <c r="O222" t="str">
        <f>IF(Table1[[#This Row],[sex]]=1,"Male","Female")</f>
        <v>Male</v>
      </c>
      <c r="P222" t="str">
        <f>IF(Table1[[#This Row],[cp]]=0,"Typical Angina",IF(Table1[[#This Row],[cp]]=1,"Atypical Angina",IF(Table1[[#This Row],[cp]]=2,"Non-Anginal Pain","Asymptomatic")))</f>
        <v>Non-Anginal Pain</v>
      </c>
      <c r="Q222">
        <f>IF(Table1[[#This Row],[trestbps]]&gt;=130, 1, 0)</f>
        <v>1</v>
      </c>
      <c r="R222">
        <f>IF(AND(Table1[[#This Row],[target]]=1,OR(Table1[[#This Row],[cp]]=0,Table1[[#This Row],[cp]]=1,Table1[[#This Row],[cp]]=2,Table1[[#This Row],[cp]])),1,0)</f>
        <v>1</v>
      </c>
      <c r="S222">
        <f>IF(AND(Table1[[#This Row],[Chest Pain + Target]]=1,Table1[[#This Row],[trestbps]]&gt;=130),1,0)</f>
        <v>1</v>
      </c>
      <c r="T222">
        <f>IF(AND(Table1[[#This Row],[Add BP]]=1,Table1[[#This Row],[chol]]&gt;=200),1,0)</f>
        <v>1</v>
      </c>
      <c r="U222">
        <f>IF(AND(Table1[[#This Row],[Add Cholestrol]]=1,Table1[[#This Row],[slope]]&gt;=2),1,0)</f>
        <v>1</v>
      </c>
      <c r="V222">
        <f>COUNTIFS(Table1[target],1)</f>
        <v>165</v>
      </c>
    </row>
    <row r="223" spans="1:22" x14ac:dyDescent="0.25">
      <c r="A223">
        <v>58</v>
      </c>
      <c r="B223">
        <v>1</v>
      </c>
      <c r="C223">
        <v>2</v>
      </c>
      <c r="D223">
        <v>140</v>
      </c>
      <c r="E223">
        <v>211</v>
      </c>
      <c r="F223">
        <v>1</v>
      </c>
      <c r="G223">
        <v>0</v>
      </c>
      <c r="H223">
        <v>165</v>
      </c>
      <c r="I223">
        <v>0</v>
      </c>
      <c r="J223">
        <v>0</v>
      </c>
      <c r="K223">
        <v>2</v>
      </c>
      <c r="L223">
        <v>0</v>
      </c>
      <c r="M223">
        <v>2</v>
      </c>
      <c r="N223">
        <v>1</v>
      </c>
      <c r="O223" t="str">
        <f>IF(Table1[[#This Row],[sex]]=1,"Male","Female")</f>
        <v>Male</v>
      </c>
      <c r="P223" t="str">
        <f>IF(Table1[[#This Row],[cp]]=0,"Typical Angina",IF(Table1[[#This Row],[cp]]=1,"Atypical Angina",IF(Table1[[#This Row],[cp]]=2,"Non-Anginal Pain","Asymptomatic")))</f>
        <v>Non-Anginal Pain</v>
      </c>
      <c r="Q223">
        <f>IF(Table1[[#This Row],[trestbps]]&gt;=130, 1, 0)</f>
        <v>1</v>
      </c>
      <c r="R223">
        <f>IF(AND(Table1[[#This Row],[target]]=1,OR(Table1[[#This Row],[cp]]=0,Table1[[#This Row],[cp]]=1,Table1[[#This Row],[cp]]=2,Table1[[#This Row],[cp]])),1,0)</f>
        <v>1</v>
      </c>
      <c r="S223">
        <f>IF(AND(Table1[[#This Row],[Chest Pain + Target]]=1,Table1[[#This Row],[trestbps]]&gt;=130),1,0)</f>
        <v>1</v>
      </c>
      <c r="T223">
        <f>IF(AND(Table1[[#This Row],[Add BP]]=1,Table1[[#This Row],[chol]]&gt;=200),1,0)</f>
        <v>1</v>
      </c>
      <c r="U223">
        <f>IF(AND(Table1[[#This Row],[Add Cholestrol]]=1,Table1[[#This Row],[slope]]&gt;=2),1,0)</f>
        <v>1</v>
      </c>
      <c r="V223">
        <f>COUNTIFS(Table1[target],1)</f>
        <v>165</v>
      </c>
    </row>
    <row r="224" spans="1:22" x14ac:dyDescent="0.25">
      <c r="A224">
        <v>43</v>
      </c>
      <c r="B224">
        <v>0</v>
      </c>
      <c r="C224">
        <v>2</v>
      </c>
      <c r="D224">
        <v>122</v>
      </c>
      <c r="E224">
        <v>213</v>
      </c>
      <c r="F224">
        <v>0</v>
      </c>
      <c r="G224">
        <v>1</v>
      </c>
      <c r="H224">
        <v>165</v>
      </c>
      <c r="I224">
        <v>0</v>
      </c>
      <c r="J224">
        <v>0.2</v>
      </c>
      <c r="K224">
        <v>1</v>
      </c>
      <c r="L224">
        <v>0</v>
      </c>
      <c r="M224">
        <v>2</v>
      </c>
      <c r="N224">
        <v>1</v>
      </c>
      <c r="O224" t="str">
        <f>IF(Table1[[#This Row],[sex]]=1,"Male","Female")</f>
        <v>Female</v>
      </c>
      <c r="P224" t="str">
        <f>IF(Table1[[#This Row],[cp]]=0,"Typical Angina",IF(Table1[[#This Row],[cp]]=1,"Atypical Angina",IF(Table1[[#This Row],[cp]]=2,"Non-Anginal Pain","Asymptomatic")))</f>
        <v>Non-Anginal Pain</v>
      </c>
      <c r="Q224">
        <f>IF(Table1[[#This Row],[trestbps]]&gt;=130, 1, 0)</f>
        <v>0</v>
      </c>
      <c r="R224">
        <f>IF(AND(Table1[[#This Row],[target]]=1,OR(Table1[[#This Row],[cp]]=0,Table1[[#This Row],[cp]]=1,Table1[[#This Row],[cp]]=2,Table1[[#This Row],[cp]])),1,0)</f>
        <v>1</v>
      </c>
      <c r="S224">
        <f>IF(AND(Table1[[#This Row],[Chest Pain + Target]]=1,Table1[[#This Row],[trestbps]]&gt;=130),1,0)</f>
        <v>0</v>
      </c>
      <c r="T224">
        <f>IF(AND(Table1[[#This Row],[Add BP]]=1,Table1[[#This Row],[chol]]&gt;=200),1,0)</f>
        <v>0</v>
      </c>
      <c r="U224">
        <f>IF(AND(Table1[[#This Row],[Add Cholestrol]]=1,Table1[[#This Row],[slope]]&gt;=2),1,0)</f>
        <v>0</v>
      </c>
      <c r="V224">
        <f>COUNTIFS(Table1[target],1)</f>
        <v>165</v>
      </c>
    </row>
    <row r="225" spans="1:22" x14ac:dyDescent="0.25">
      <c r="A225">
        <v>58</v>
      </c>
      <c r="B225">
        <v>1</v>
      </c>
      <c r="C225">
        <v>2</v>
      </c>
      <c r="D225">
        <v>112</v>
      </c>
      <c r="E225">
        <v>230</v>
      </c>
      <c r="F225">
        <v>0</v>
      </c>
      <c r="G225">
        <v>0</v>
      </c>
      <c r="H225">
        <v>165</v>
      </c>
      <c r="I225">
        <v>0</v>
      </c>
      <c r="J225">
        <v>2.5</v>
      </c>
      <c r="K225">
        <v>1</v>
      </c>
      <c r="L225">
        <v>1</v>
      </c>
      <c r="M225">
        <v>3</v>
      </c>
      <c r="N225">
        <v>0</v>
      </c>
      <c r="O225" t="str">
        <f>IF(Table1[[#This Row],[sex]]=1,"Male","Female")</f>
        <v>Male</v>
      </c>
      <c r="P225" t="str">
        <f>IF(Table1[[#This Row],[cp]]=0,"Typical Angina",IF(Table1[[#This Row],[cp]]=1,"Atypical Angina",IF(Table1[[#This Row],[cp]]=2,"Non-Anginal Pain","Asymptomatic")))</f>
        <v>Non-Anginal Pain</v>
      </c>
      <c r="Q225">
        <f>IF(Table1[[#This Row],[trestbps]]&gt;=130, 1, 0)</f>
        <v>0</v>
      </c>
      <c r="R225">
        <f>IF(AND(Table1[[#This Row],[target]]=1,OR(Table1[[#This Row],[cp]]=0,Table1[[#This Row],[cp]]=1,Table1[[#This Row],[cp]]=2,Table1[[#This Row],[cp]])),1,0)</f>
        <v>0</v>
      </c>
      <c r="S225">
        <f>IF(AND(Table1[[#This Row],[Chest Pain + Target]]=1,Table1[[#This Row],[trestbps]]&gt;=130),1,0)</f>
        <v>0</v>
      </c>
      <c r="T225">
        <f>IF(AND(Table1[[#This Row],[Add BP]]=1,Table1[[#This Row],[chol]]&gt;=200),1,0)</f>
        <v>0</v>
      </c>
      <c r="U225">
        <f>IF(AND(Table1[[#This Row],[Add Cholestrol]]=1,Table1[[#This Row],[slope]]&gt;=2),1,0)</f>
        <v>0</v>
      </c>
      <c r="V225">
        <f>COUNTIFS(Table1[target],1)</f>
        <v>165</v>
      </c>
    </row>
    <row r="226" spans="1:22" x14ac:dyDescent="0.25">
      <c r="A226">
        <v>66</v>
      </c>
      <c r="B226">
        <v>0</v>
      </c>
      <c r="C226">
        <v>0</v>
      </c>
      <c r="D226">
        <v>178</v>
      </c>
      <c r="E226">
        <v>228</v>
      </c>
      <c r="F226">
        <v>1</v>
      </c>
      <c r="G226">
        <v>1</v>
      </c>
      <c r="H226">
        <v>165</v>
      </c>
      <c r="I226">
        <v>1</v>
      </c>
      <c r="J226">
        <v>1</v>
      </c>
      <c r="K226">
        <v>1</v>
      </c>
      <c r="L226">
        <v>2</v>
      </c>
      <c r="M226">
        <v>3</v>
      </c>
      <c r="N226">
        <v>0</v>
      </c>
      <c r="O226" t="str">
        <f>IF(Table1[[#This Row],[sex]]=1,"Male","Female")</f>
        <v>Female</v>
      </c>
      <c r="P226" t="str">
        <f>IF(Table1[[#This Row],[cp]]=0,"Typical Angina",IF(Table1[[#This Row],[cp]]=1,"Atypical Angina",IF(Table1[[#This Row],[cp]]=2,"Non-Anginal Pain","Asymptomatic")))</f>
        <v>Typical Angina</v>
      </c>
      <c r="Q226">
        <f>IF(Table1[[#This Row],[trestbps]]&gt;=130, 1, 0)</f>
        <v>1</v>
      </c>
      <c r="R226">
        <f>IF(AND(Table1[[#This Row],[target]]=1,OR(Table1[[#This Row],[cp]]=0,Table1[[#This Row],[cp]]=1,Table1[[#This Row],[cp]]=2,Table1[[#This Row],[cp]])),1,0)</f>
        <v>0</v>
      </c>
      <c r="S226">
        <f>IF(AND(Table1[[#This Row],[Chest Pain + Target]]=1,Table1[[#This Row],[trestbps]]&gt;=130),1,0)</f>
        <v>0</v>
      </c>
      <c r="T226">
        <f>IF(AND(Table1[[#This Row],[Add BP]]=1,Table1[[#This Row],[chol]]&gt;=200),1,0)</f>
        <v>0</v>
      </c>
      <c r="U226">
        <f>IF(AND(Table1[[#This Row],[Add Cholestrol]]=1,Table1[[#This Row],[slope]]&gt;=2),1,0)</f>
        <v>0</v>
      </c>
      <c r="V226">
        <f>COUNTIFS(Table1[target],1)</f>
        <v>165</v>
      </c>
    </row>
    <row r="227" spans="1:22" x14ac:dyDescent="0.25">
      <c r="A227">
        <v>51</v>
      </c>
      <c r="B227">
        <v>1</v>
      </c>
      <c r="C227">
        <v>2</v>
      </c>
      <c r="D227">
        <v>125</v>
      </c>
      <c r="E227">
        <v>245</v>
      </c>
      <c r="F227">
        <v>1</v>
      </c>
      <c r="G227">
        <v>0</v>
      </c>
      <c r="H227">
        <v>166</v>
      </c>
      <c r="I227">
        <v>0</v>
      </c>
      <c r="J227">
        <v>2.4</v>
      </c>
      <c r="K227">
        <v>1</v>
      </c>
      <c r="L227">
        <v>0</v>
      </c>
      <c r="M227">
        <v>2</v>
      </c>
      <c r="N227">
        <v>1</v>
      </c>
      <c r="O227" t="str">
        <f>IF(Table1[[#This Row],[sex]]=1,"Male","Female")</f>
        <v>Male</v>
      </c>
      <c r="P227" t="str">
        <f>IF(Table1[[#This Row],[cp]]=0,"Typical Angina",IF(Table1[[#This Row],[cp]]=1,"Atypical Angina",IF(Table1[[#This Row],[cp]]=2,"Non-Anginal Pain","Asymptomatic")))</f>
        <v>Non-Anginal Pain</v>
      </c>
      <c r="Q227">
        <f>IF(Table1[[#This Row],[trestbps]]&gt;=130, 1, 0)</f>
        <v>0</v>
      </c>
      <c r="R227">
        <f>IF(AND(Table1[[#This Row],[target]]=1,OR(Table1[[#This Row],[cp]]=0,Table1[[#This Row],[cp]]=1,Table1[[#This Row],[cp]]=2,Table1[[#This Row],[cp]])),1,0)</f>
        <v>1</v>
      </c>
      <c r="S227">
        <f>IF(AND(Table1[[#This Row],[Chest Pain + Target]]=1,Table1[[#This Row],[trestbps]]&gt;=130),1,0)</f>
        <v>0</v>
      </c>
      <c r="T227">
        <f>IF(AND(Table1[[#This Row],[Add BP]]=1,Table1[[#This Row],[chol]]&gt;=200),1,0)</f>
        <v>0</v>
      </c>
      <c r="U227">
        <f>IF(AND(Table1[[#This Row],[Add Cholestrol]]=1,Table1[[#This Row],[slope]]&gt;=2),1,0)</f>
        <v>0</v>
      </c>
      <c r="V227">
        <f>COUNTIFS(Table1[target],1)</f>
        <v>165</v>
      </c>
    </row>
    <row r="228" spans="1:22" x14ac:dyDescent="0.25">
      <c r="A228">
        <v>55</v>
      </c>
      <c r="B228">
        <v>0</v>
      </c>
      <c r="C228">
        <v>1</v>
      </c>
      <c r="D228">
        <v>132</v>
      </c>
      <c r="E228">
        <v>342</v>
      </c>
      <c r="F228">
        <v>0</v>
      </c>
      <c r="G228">
        <v>1</v>
      </c>
      <c r="H228">
        <v>166</v>
      </c>
      <c r="I228">
        <v>0</v>
      </c>
      <c r="J228">
        <v>1.2</v>
      </c>
      <c r="K228">
        <v>2</v>
      </c>
      <c r="L228">
        <v>0</v>
      </c>
      <c r="M228">
        <v>2</v>
      </c>
      <c r="N228">
        <v>1</v>
      </c>
      <c r="O228" t="str">
        <f>IF(Table1[[#This Row],[sex]]=1,"Male","Female")</f>
        <v>Female</v>
      </c>
      <c r="P228" t="str">
        <f>IF(Table1[[#This Row],[cp]]=0,"Typical Angina",IF(Table1[[#This Row],[cp]]=1,"Atypical Angina",IF(Table1[[#This Row],[cp]]=2,"Non-Anginal Pain","Asymptomatic")))</f>
        <v>Atypical Angina</v>
      </c>
      <c r="Q228">
        <f>IF(Table1[[#This Row],[trestbps]]&gt;=130, 1, 0)</f>
        <v>1</v>
      </c>
      <c r="R228">
        <f>IF(AND(Table1[[#This Row],[target]]=1,OR(Table1[[#This Row],[cp]]=0,Table1[[#This Row],[cp]]=1,Table1[[#This Row],[cp]]=2,Table1[[#This Row],[cp]])),1,0)</f>
        <v>1</v>
      </c>
      <c r="S228">
        <f>IF(AND(Table1[[#This Row],[Chest Pain + Target]]=1,Table1[[#This Row],[trestbps]]&gt;=130),1,0)</f>
        <v>1</v>
      </c>
      <c r="T228">
        <f>IF(AND(Table1[[#This Row],[Add BP]]=1,Table1[[#This Row],[chol]]&gt;=200),1,0)</f>
        <v>1</v>
      </c>
      <c r="U228">
        <f>IF(AND(Table1[[#This Row],[Add Cholestrol]]=1,Table1[[#This Row],[slope]]&gt;=2),1,0)</f>
        <v>1</v>
      </c>
      <c r="V228">
        <f>COUNTIFS(Table1[target],1)</f>
        <v>165</v>
      </c>
    </row>
    <row r="229" spans="1:22" x14ac:dyDescent="0.25">
      <c r="A229">
        <v>48</v>
      </c>
      <c r="B229">
        <v>1</v>
      </c>
      <c r="C229">
        <v>0</v>
      </c>
      <c r="D229">
        <v>124</v>
      </c>
      <c r="E229">
        <v>274</v>
      </c>
      <c r="F229">
        <v>0</v>
      </c>
      <c r="G229">
        <v>0</v>
      </c>
      <c r="H229">
        <v>166</v>
      </c>
      <c r="I229">
        <v>0</v>
      </c>
      <c r="J229">
        <v>0.5</v>
      </c>
      <c r="K229">
        <v>1</v>
      </c>
      <c r="L229">
        <v>0</v>
      </c>
      <c r="M229">
        <v>3</v>
      </c>
      <c r="N229">
        <v>0</v>
      </c>
      <c r="O229" t="str">
        <f>IF(Table1[[#This Row],[sex]]=1,"Male","Female")</f>
        <v>Male</v>
      </c>
      <c r="P229" t="str">
        <f>IF(Table1[[#This Row],[cp]]=0,"Typical Angina",IF(Table1[[#This Row],[cp]]=1,"Atypical Angina",IF(Table1[[#This Row],[cp]]=2,"Non-Anginal Pain","Asymptomatic")))</f>
        <v>Typical Angina</v>
      </c>
      <c r="Q229">
        <f>IF(Table1[[#This Row],[trestbps]]&gt;=130, 1, 0)</f>
        <v>0</v>
      </c>
      <c r="R229">
        <f>IF(AND(Table1[[#This Row],[target]]=1,OR(Table1[[#This Row],[cp]]=0,Table1[[#This Row],[cp]]=1,Table1[[#This Row],[cp]]=2,Table1[[#This Row],[cp]])),1,0)</f>
        <v>0</v>
      </c>
      <c r="S229">
        <f>IF(AND(Table1[[#This Row],[Chest Pain + Target]]=1,Table1[[#This Row],[trestbps]]&gt;=130),1,0)</f>
        <v>0</v>
      </c>
      <c r="T229">
        <f>IF(AND(Table1[[#This Row],[Add BP]]=1,Table1[[#This Row],[chol]]&gt;=200),1,0)</f>
        <v>0</v>
      </c>
      <c r="U229">
        <f>IF(AND(Table1[[#This Row],[Add Cholestrol]]=1,Table1[[#This Row],[slope]]&gt;=2),1,0)</f>
        <v>0</v>
      </c>
      <c r="V229">
        <f>COUNTIFS(Table1[target],1)</f>
        <v>165</v>
      </c>
    </row>
    <row r="230" spans="1:22" x14ac:dyDescent="0.25">
      <c r="A230">
        <v>54</v>
      </c>
      <c r="B230">
        <v>0</v>
      </c>
      <c r="C230">
        <v>2</v>
      </c>
      <c r="D230">
        <v>108</v>
      </c>
      <c r="E230">
        <v>267</v>
      </c>
      <c r="F230">
        <v>0</v>
      </c>
      <c r="G230">
        <v>0</v>
      </c>
      <c r="H230">
        <v>167</v>
      </c>
      <c r="I230">
        <v>0</v>
      </c>
      <c r="J230">
        <v>0</v>
      </c>
      <c r="K230">
        <v>2</v>
      </c>
      <c r="L230">
        <v>0</v>
      </c>
      <c r="M230">
        <v>2</v>
      </c>
      <c r="N230">
        <v>1</v>
      </c>
      <c r="O230" t="str">
        <f>IF(Table1[[#This Row],[sex]]=1,"Male","Female")</f>
        <v>Female</v>
      </c>
      <c r="P230" t="str">
        <f>IF(Table1[[#This Row],[cp]]=0,"Typical Angina",IF(Table1[[#This Row],[cp]]=1,"Atypical Angina",IF(Table1[[#This Row],[cp]]=2,"Non-Anginal Pain","Asymptomatic")))</f>
        <v>Non-Anginal Pain</v>
      </c>
      <c r="Q230">
        <f>IF(Table1[[#This Row],[trestbps]]&gt;=130, 1, 0)</f>
        <v>0</v>
      </c>
      <c r="R230">
        <f>IF(AND(Table1[[#This Row],[target]]=1,OR(Table1[[#This Row],[cp]]=0,Table1[[#This Row],[cp]]=1,Table1[[#This Row],[cp]]=2,Table1[[#This Row],[cp]])),1,0)</f>
        <v>1</v>
      </c>
      <c r="S230">
        <f>IF(AND(Table1[[#This Row],[Chest Pain + Target]]=1,Table1[[#This Row],[trestbps]]&gt;=130),1,0)</f>
        <v>0</v>
      </c>
      <c r="T230">
        <f>IF(AND(Table1[[#This Row],[Add BP]]=1,Table1[[#This Row],[chol]]&gt;=200),1,0)</f>
        <v>0</v>
      </c>
      <c r="U230">
        <f>IF(AND(Table1[[#This Row],[Add Cholestrol]]=1,Table1[[#This Row],[slope]]&gt;=2),1,0)</f>
        <v>0</v>
      </c>
      <c r="V230">
        <f>COUNTIFS(Table1[target],1)</f>
        <v>165</v>
      </c>
    </row>
    <row r="231" spans="1:22" x14ac:dyDescent="0.25">
      <c r="A231">
        <v>41</v>
      </c>
      <c r="B231">
        <v>0</v>
      </c>
      <c r="C231">
        <v>1</v>
      </c>
      <c r="D231">
        <v>105</v>
      </c>
      <c r="E231">
        <v>198</v>
      </c>
      <c r="F231">
        <v>0</v>
      </c>
      <c r="G231">
        <v>1</v>
      </c>
      <c r="H231">
        <v>168</v>
      </c>
      <c r="I231">
        <v>0</v>
      </c>
      <c r="J231">
        <v>0</v>
      </c>
      <c r="K231">
        <v>2</v>
      </c>
      <c r="L231">
        <v>1</v>
      </c>
      <c r="M231">
        <v>2</v>
      </c>
      <c r="N231">
        <v>1</v>
      </c>
      <c r="O231" t="str">
        <f>IF(Table1[[#This Row],[sex]]=1,"Male","Female")</f>
        <v>Female</v>
      </c>
      <c r="P231" t="str">
        <f>IF(Table1[[#This Row],[cp]]=0,"Typical Angina",IF(Table1[[#This Row],[cp]]=1,"Atypical Angina",IF(Table1[[#This Row],[cp]]=2,"Non-Anginal Pain","Asymptomatic")))</f>
        <v>Atypical Angina</v>
      </c>
      <c r="Q231">
        <f>IF(Table1[[#This Row],[trestbps]]&gt;=130, 1, 0)</f>
        <v>0</v>
      </c>
      <c r="R231">
        <f>IF(AND(Table1[[#This Row],[target]]=1,OR(Table1[[#This Row],[cp]]=0,Table1[[#This Row],[cp]]=1,Table1[[#This Row],[cp]]=2,Table1[[#This Row],[cp]])),1,0)</f>
        <v>1</v>
      </c>
      <c r="S231">
        <f>IF(AND(Table1[[#This Row],[Chest Pain + Target]]=1,Table1[[#This Row],[trestbps]]&gt;=130),1,0)</f>
        <v>0</v>
      </c>
      <c r="T231">
        <f>IF(AND(Table1[[#This Row],[Add BP]]=1,Table1[[#This Row],[chol]]&gt;=200),1,0)</f>
        <v>0</v>
      </c>
      <c r="U231">
        <f>IF(AND(Table1[[#This Row],[Add Cholestrol]]=1,Table1[[#This Row],[slope]]&gt;=2),1,0)</f>
        <v>0</v>
      </c>
      <c r="V231">
        <f>COUNTIFS(Table1[target],1)</f>
        <v>165</v>
      </c>
    </row>
    <row r="232" spans="1:22" x14ac:dyDescent="0.25">
      <c r="A232">
        <v>57</v>
      </c>
      <c r="B232">
        <v>1</v>
      </c>
      <c r="C232">
        <v>0</v>
      </c>
      <c r="D232">
        <v>132</v>
      </c>
      <c r="E232">
        <v>207</v>
      </c>
      <c r="F232">
        <v>0</v>
      </c>
      <c r="G232">
        <v>1</v>
      </c>
      <c r="H232">
        <v>168</v>
      </c>
      <c r="I232">
        <v>1</v>
      </c>
      <c r="J232">
        <v>0</v>
      </c>
      <c r="K232">
        <v>2</v>
      </c>
      <c r="L232">
        <v>0</v>
      </c>
      <c r="M232">
        <v>3</v>
      </c>
      <c r="N232">
        <v>1</v>
      </c>
      <c r="O232" t="str">
        <f>IF(Table1[[#This Row],[sex]]=1,"Male","Female")</f>
        <v>Male</v>
      </c>
      <c r="P232" t="str">
        <f>IF(Table1[[#This Row],[cp]]=0,"Typical Angina",IF(Table1[[#This Row],[cp]]=1,"Atypical Angina",IF(Table1[[#This Row],[cp]]=2,"Non-Anginal Pain","Asymptomatic")))</f>
        <v>Typical Angina</v>
      </c>
      <c r="Q232">
        <f>IF(Table1[[#This Row],[trestbps]]&gt;=130, 1, 0)</f>
        <v>1</v>
      </c>
      <c r="R232">
        <f>IF(AND(Table1[[#This Row],[target]]=1,OR(Table1[[#This Row],[cp]]=0,Table1[[#This Row],[cp]]=1,Table1[[#This Row],[cp]]=2,Table1[[#This Row],[cp]])),1,0)</f>
        <v>1</v>
      </c>
      <c r="S232">
        <f>IF(AND(Table1[[#This Row],[Chest Pain + Target]]=1,Table1[[#This Row],[trestbps]]&gt;=130),1,0)</f>
        <v>1</v>
      </c>
      <c r="T232">
        <f>IF(AND(Table1[[#This Row],[Add BP]]=1,Table1[[#This Row],[chol]]&gt;=200),1,0)</f>
        <v>1</v>
      </c>
      <c r="U232">
        <f>IF(AND(Table1[[#This Row],[Add Cholestrol]]=1,Table1[[#This Row],[slope]]&gt;=2),1,0)</f>
        <v>1</v>
      </c>
      <c r="V232">
        <f>COUNTIFS(Table1[target],1)</f>
        <v>165</v>
      </c>
    </row>
    <row r="233" spans="1:22" x14ac:dyDescent="0.25">
      <c r="A233">
        <v>41</v>
      </c>
      <c r="B233">
        <v>1</v>
      </c>
      <c r="C233">
        <v>2</v>
      </c>
      <c r="D233">
        <v>130</v>
      </c>
      <c r="E233">
        <v>214</v>
      </c>
      <c r="F233">
        <v>0</v>
      </c>
      <c r="G233">
        <v>0</v>
      </c>
      <c r="H233">
        <v>168</v>
      </c>
      <c r="I233">
        <v>0</v>
      </c>
      <c r="J233">
        <v>2</v>
      </c>
      <c r="K233">
        <v>1</v>
      </c>
      <c r="L233">
        <v>0</v>
      </c>
      <c r="M233">
        <v>2</v>
      </c>
      <c r="N233">
        <v>1</v>
      </c>
      <c r="O233" t="str">
        <f>IF(Table1[[#This Row],[sex]]=1,"Male","Female")</f>
        <v>Male</v>
      </c>
      <c r="P233" t="str">
        <f>IF(Table1[[#This Row],[cp]]=0,"Typical Angina",IF(Table1[[#This Row],[cp]]=1,"Atypical Angina",IF(Table1[[#This Row],[cp]]=2,"Non-Anginal Pain","Asymptomatic")))</f>
        <v>Non-Anginal Pain</v>
      </c>
      <c r="Q233">
        <f>IF(Table1[[#This Row],[trestbps]]&gt;=130, 1, 0)</f>
        <v>1</v>
      </c>
      <c r="R233">
        <f>IF(AND(Table1[[#This Row],[target]]=1,OR(Table1[[#This Row],[cp]]=0,Table1[[#This Row],[cp]]=1,Table1[[#This Row],[cp]]=2,Table1[[#This Row],[cp]])),1,0)</f>
        <v>1</v>
      </c>
      <c r="S233">
        <f>IF(AND(Table1[[#This Row],[Chest Pain + Target]]=1,Table1[[#This Row],[trestbps]]&gt;=130),1,0)</f>
        <v>1</v>
      </c>
      <c r="T233">
        <f>IF(AND(Table1[[#This Row],[Add BP]]=1,Table1[[#This Row],[chol]]&gt;=200),1,0)</f>
        <v>1</v>
      </c>
      <c r="U233">
        <f>IF(AND(Table1[[#This Row],[Add Cholestrol]]=1,Table1[[#This Row],[slope]]&gt;=2),1,0)</f>
        <v>0</v>
      </c>
      <c r="V233">
        <f>COUNTIFS(Table1[target],1)</f>
        <v>165</v>
      </c>
    </row>
    <row r="234" spans="1:22" x14ac:dyDescent="0.25">
      <c r="A234">
        <v>48</v>
      </c>
      <c r="B234">
        <v>1</v>
      </c>
      <c r="C234">
        <v>1</v>
      </c>
      <c r="D234">
        <v>110</v>
      </c>
      <c r="E234">
        <v>229</v>
      </c>
      <c r="F234">
        <v>0</v>
      </c>
      <c r="G234">
        <v>1</v>
      </c>
      <c r="H234">
        <v>168</v>
      </c>
      <c r="I234">
        <v>0</v>
      </c>
      <c r="J234">
        <v>1</v>
      </c>
      <c r="K234">
        <v>0</v>
      </c>
      <c r="L234">
        <v>0</v>
      </c>
      <c r="M234">
        <v>3</v>
      </c>
      <c r="N234">
        <v>0</v>
      </c>
      <c r="O234" t="str">
        <f>IF(Table1[[#This Row],[sex]]=1,"Male","Female")</f>
        <v>Male</v>
      </c>
      <c r="P234" t="str">
        <f>IF(Table1[[#This Row],[cp]]=0,"Typical Angina",IF(Table1[[#This Row],[cp]]=1,"Atypical Angina",IF(Table1[[#This Row],[cp]]=2,"Non-Anginal Pain","Asymptomatic")))</f>
        <v>Atypical Angina</v>
      </c>
      <c r="Q234">
        <f>IF(Table1[[#This Row],[trestbps]]&gt;=130, 1, 0)</f>
        <v>0</v>
      </c>
      <c r="R234">
        <f>IF(AND(Table1[[#This Row],[target]]=1,OR(Table1[[#This Row],[cp]]=0,Table1[[#This Row],[cp]]=1,Table1[[#This Row],[cp]]=2,Table1[[#This Row],[cp]])),1,0)</f>
        <v>0</v>
      </c>
      <c r="S234">
        <f>IF(AND(Table1[[#This Row],[Chest Pain + Target]]=1,Table1[[#This Row],[trestbps]]&gt;=130),1,0)</f>
        <v>0</v>
      </c>
      <c r="T234">
        <f>IF(AND(Table1[[#This Row],[Add BP]]=1,Table1[[#This Row],[chol]]&gt;=200),1,0)</f>
        <v>0</v>
      </c>
      <c r="U234">
        <f>IF(AND(Table1[[#This Row],[Add Cholestrol]]=1,Table1[[#This Row],[slope]]&gt;=2),1,0)</f>
        <v>0</v>
      </c>
      <c r="V234">
        <f>COUNTIFS(Table1[target],1)</f>
        <v>165</v>
      </c>
    </row>
    <row r="235" spans="1:22" x14ac:dyDescent="0.25">
      <c r="A235">
        <v>52</v>
      </c>
      <c r="B235">
        <v>1</v>
      </c>
      <c r="C235">
        <v>0</v>
      </c>
      <c r="D235">
        <v>125</v>
      </c>
      <c r="E235">
        <v>212</v>
      </c>
      <c r="F235">
        <v>0</v>
      </c>
      <c r="G235">
        <v>1</v>
      </c>
      <c r="H235">
        <v>168</v>
      </c>
      <c r="I235">
        <v>0</v>
      </c>
      <c r="J235">
        <v>1</v>
      </c>
      <c r="K235">
        <v>2</v>
      </c>
      <c r="L235">
        <v>2</v>
      </c>
      <c r="M235">
        <v>3</v>
      </c>
      <c r="N235">
        <v>0</v>
      </c>
      <c r="O235" t="str">
        <f>IF(Table1[[#This Row],[sex]]=1,"Male","Female")</f>
        <v>Male</v>
      </c>
      <c r="P235" t="str">
        <f>IF(Table1[[#This Row],[cp]]=0,"Typical Angina",IF(Table1[[#This Row],[cp]]=1,"Atypical Angina",IF(Table1[[#This Row],[cp]]=2,"Non-Anginal Pain","Asymptomatic")))</f>
        <v>Typical Angina</v>
      </c>
      <c r="Q235">
        <f>IF(Table1[[#This Row],[trestbps]]&gt;=130, 1, 0)</f>
        <v>0</v>
      </c>
      <c r="R235">
        <f>IF(AND(Table1[[#This Row],[target]]=1,OR(Table1[[#This Row],[cp]]=0,Table1[[#This Row],[cp]]=1,Table1[[#This Row],[cp]]=2,Table1[[#This Row],[cp]])),1,0)</f>
        <v>0</v>
      </c>
      <c r="S235">
        <f>IF(AND(Table1[[#This Row],[Chest Pain + Target]]=1,Table1[[#This Row],[trestbps]]&gt;=130),1,0)</f>
        <v>0</v>
      </c>
      <c r="T235">
        <f>IF(AND(Table1[[#This Row],[Add BP]]=1,Table1[[#This Row],[chol]]&gt;=200),1,0)</f>
        <v>0</v>
      </c>
      <c r="U235">
        <f>IF(AND(Table1[[#This Row],[Add Cholestrol]]=1,Table1[[#This Row],[slope]]&gt;=2),1,0)</f>
        <v>0</v>
      </c>
      <c r="V235">
        <f>COUNTIFS(Table1[target],1)</f>
        <v>165</v>
      </c>
    </row>
    <row r="236" spans="1:22" x14ac:dyDescent="0.25">
      <c r="A236">
        <v>52</v>
      </c>
      <c r="B236">
        <v>1</v>
      </c>
      <c r="C236">
        <v>2</v>
      </c>
      <c r="D236">
        <v>138</v>
      </c>
      <c r="E236">
        <v>223</v>
      </c>
      <c r="F236">
        <v>0</v>
      </c>
      <c r="G236">
        <v>1</v>
      </c>
      <c r="H236">
        <v>169</v>
      </c>
      <c r="I236">
        <v>0</v>
      </c>
      <c r="J236">
        <v>0</v>
      </c>
      <c r="K236">
        <v>2</v>
      </c>
      <c r="L236">
        <v>4</v>
      </c>
      <c r="M236">
        <v>2</v>
      </c>
      <c r="N236">
        <v>1</v>
      </c>
      <c r="O236" t="str">
        <f>IF(Table1[[#This Row],[sex]]=1,"Male","Female")</f>
        <v>Male</v>
      </c>
      <c r="P236" t="str">
        <f>IF(Table1[[#This Row],[cp]]=0,"Typical Angina",IF(Table1[[#This Row],[cp]]=1,"Atypical Angina",IF(Table1[[#This Row],[cp]]=2,"Non-Anginal Pain","Asymptomatic")))</f>
        <v>Non-Anginal Pain</v>
      </c>
      <c r="Q236">
        <f>IF(Table1[[#This Row],[trestbps]]&gt;=130, 1, 0)</f>
        <v>1</v>
      </c>
      <c r="R236">
        <f>IF(AND(Table1[[#This Row],[target]]=1,OR(Table1[[#This Row],[cp]]=0,Table1[[#This Row],[cp]]=1,Table1[[#This Row],[cp]]=2,Table1[[#This Row],[cp]])),1,0)</f>
        <v>1</v>
      </c>
      <c r="S236">
        <f>IF(AND(Table1[[#This Row],[Chest Pain + Target]]=1,Table1[[#This Row],[trestbps]]&gt;=130),1,0)</f>
        <v>1</v>
      </c>
      <c r="T236">
        <f>IF(AND(Table1[[#This Row],[Add BP]]=1,Table1[[#This Row],[chol]]&gt;=200),1,0)</f>
        <v>1</v>
      </c>
      <c r="U236">
        <f>IF(AND(Table1[[#This Row],[Add Cholestrol]]=1,Table1[[#This Row],[slope]]&gt;=2),1,0)</f>
        <v>1</v>
      </c>
      <c r="V236">
        <f>COUNTIFS(Table1[target],1)</f>
        <v>165</v>
      </c>
    </row>
    <row r="237" spans="1:22" x14ac:dyDescent="0.25">
      <c r="A237">
        <v>52</v>
      </c>
      <c r="B237">
        <v>0</v>
      </c>
      <c r="C237">
        <v>2</v>
      </c>
      <c r="D237">
        <v>136</v>
      </c>
      <c r="E237">
        <v>196</v>
      </c>
      <c r="F237">
        <v>0</v>
      </c>
      <c r="G237">
        <v>0</v>
      </c>
      <c r="H237">
        <v>169</v>
      </c>
      <c r="I237">
        <v>0</v>
      </c>
      <c r="J237">
        <v>0.1</v>
      </c>
      <c r="K237">
        <v>1</v>
      </c>
      <c r="L237">
        <v>0</v>
      </c>
      <c r="M237">
        <v>2</v>
      </c>
      <c r="N237">
        <v>1</v>
      </c>
      <c r="O237" t="str">
        <f>IF(Table1[[#This Row],[sex]]=1,"Male","Female")</f>
        <v>Female</v>
      </c>
      <c r="P237" t="str">
        <f>IF(Table1[[#This Row],[cp]]=0,"Typical Angina",IF(Table1[[#This Row],[cp]]=1,"Atypical Angina",IF(Table1[[#This Row],[cp]]=2,"Non-Anginal Pain","Asymptomatic")))</f>
        <v>Non-Anginal Pain</v>
      </c>
      <c r="Q237">
        <f>IF(Table1[[#This Row],[trestbps]]&gt;=130, 1, 0)</f>
        <v>1</v>
      </c>
      <c r="R237">
        <f>IF(AND(Table1[[#This Row],[target]]=1,OR(Table1[[#This Row],[cp]]=0,Table1[[#This Row],[cp]]=1,Table1[[#This Row],[cp]]=2,Table1[[#This Row],[cp]])),1,0)</f>
        <v>1</v>
      </c>
      <c r="S237">
        <f>IF(AND(Table1[[#This Row],[Chest Pain + Target]]=1,Table1[[#This Row],[trestbps]]&gt;=130),1,0)</f>
        <v>1</v>
      </c>
      <c r="T237">
        <f>IF(AND(Table1[[#This Row],[Add BP]]=1,Table1[[#This Row],[chol]]&gt;=200),1,0)</f>
        <v>0</v>
      </c>
      <c r="U237">
        <f>IF(AND(Table1[[#This Row],[Add Cholestrol]]=1,Table1[[#This Row],[slope]]&gt;=2),1,0)</f>
        <v>0</v>
      </c>
      <c r="V237">
        <f>COUNTIFS(Table1[target],1)</f>
        <v>165</v>
      </c>
    </row>
    <row r="238" spans="1:22" x14ac:dyDescent="0.25">
      <c r="A238">
        <v>44</v>
      </c>
      <c r="B238">
        <v>1</v>
      </c>
      <c r="C238">
        <v>2</v>
      </c>
      <c r="D238">
        <v>120</v>
      </c>
      <c r="E238">
        <v>226</v>
      </c>
      <c r="F238">
        <v>0</v>
      </c>
      <c r="G238">
        <v>1</v>
      </c>
      <c r="H238">
        <v>169</v>
      </c>
      <c r="I238">
        <v>0</v>
      </c>
      <c r="J238">
        <v>0</v>
      </c>
      <c r="K238">
        <v>2</v>
      </c>
      <c r="L238">
        <v>0</v>
      </c>
      <c r="M238">
        <v>2</v>
      </c>
      <c r="N238">
        <v>1</v>
      </c>
      <c r="O238" t="str">
        <f>IF(Table1[[#This Row],[sex]]=1,"Male","Female")</f>
        <v>Male</v>
      </c>
      <c r="P238" t="str">
        <f>IF(Table1[[#This Row],[cp]]=0,"Typical Angina",IF(Table1[[#This Row],[cp]]=1,"Atypical Angina",IF(Table1[[#This Row],[cp]]=2,"Non-Anginal Pain","Asymptomatic")))</f>
        <v>Non-Anginal Pain</v>
      </c>
      <c r="Q238">
        <f>IF(Table1[[#This Row],[trestbps]]&gt;=130, 1, 0)</f>
        <v>0</v>
      </c>
      <c r="R238">
        <f>IF(AND(Table1[[#This Row],[target]]=1,OR(Table1[[#This Row],[cp]]=0,Table1[[#This Row],[cp]]=1,Table1[[#This Row],[cp]]=2,Table1[[#This Row],[cp]])),1,0)</f>
        <v>1</v>
      </c>
      <c r="S238">
        <f>IF(AND(Table1[[#This Row],[Chest Pain + Target]]=1,Table1[[#This Row],[trestbps]]&gt;=130),1,0)</f>
        <v>0</v>
      </c>
      <c r="T238">
        <f>IF(AND(Table1[[#This Row],[Add BP]]=1,Table1[[#This Row],[chol]]&gt;=200),1,0)</f>
        <v>0</v>
      </c>
      <c r="U238">
        <f>IF(AND(Table1[[#This Row],[Add Cholestrol]]=1,Table1[[#This Row],[slope]]&gt;=2),1,0)</f>
        <v>0</v>
      </c>
      <c r="V238">
        <f>COUNTIFS(Table1[target],1)</f>
        <v>165</v>
      </c>
    </row>
    <row r="239" spans="1:22" x14ac:dyDescent="0.25">
      <c r="A239">
        <v>56</v>
      </c>
      <c r="B239">
        <v>1</v>
      </c>
      <c r="C239">
        <v>1</v>
      </c>
      <c r="D239">
        <v>120</v>
      </c>
      <c r="E239">
        <v>240</v>
      </c>
      <c r="F239">
        <v>0</v>
      </c>
      <c r="G239">
        <v>1</v>
      </c>
      <c r="H239">
        <v>169</v>
      </c>
      <c r="I239">
        <v>0</v>
      </c>
      <c r="J239">
        <v>0</v>
      </c>
      <c r="K239">
        <v>0</v>
      </c>
      <c r="L239">
        <v>0</v>
      </c>
      <c r="M239">
        <v>2</v>
      </c>
      <c r="N239">
        <v>1</v>
      </c>
      <c r="O239" t="str">
        <f>IF(Table1[[#This Row],[sex]]=1,"Male","Female")</f>
        <v>Male</v>
      </c>
      <c r="P239" t="str">
        <f>IF(Table1[[#This Row],[cp]]=0,"Typical Angina",IF(Table1[[#This Row],[cp]]=1,"Atypical Angina",IF(Table1[[#This Row],[cp]]=2,"Non-Anginal Pain","Asymptomatic")))</f>
        <v>Atypical Angina</v>
      </c>
      <c r="Q239">
        <f>IF(Table1[[#This Row],[trestbps]]&gt;=130, 1, 0)</f>
        <v>0</v>
      </c>
      <c r="R239">
        <f>IF(AND(Table1[[#This Row],[target]]=1,OR(Table1[[#This Row],[cp]]=0,Table1[[#This Row],[cp]]=1,Table1[[#This Row],[cp]]=2,Table1[[#This Row],[cp]])),1,0)</f>
        <v>1</v>
      </c>
      <c r="S239">
        <f>IF(AND(Table1[[#This Row],[Chest Pain + Target]]=1,Table1[[#This Row],[trestbps]]&gt;=130),1,0)</f>
        <v>0</v>
      </c>
      <c r="T239">
        <f>IF(AND(Table1[[#This Row],[Add BP]]=1,Table1[[#This Row],[chol]]&gt;=200),1,0)</f>
        <v>0</v>
      </c>
      <c r="U239">
        <f>IF(AND(Table1[[#This Row],[Add Cholestrol]]=1,Table1[[#This Row],[slope]]&gt;=2),1,0)</f>
        <v>0</v>
      </c>
      <c r="V239">
        <f>COUNTIFS(Table1[target],1)</f>
        <v>165</v>
      </c>
    </row>
    <row r="240" spans="1:22" x14ac:dyDescent="0.25">
      <c r="A240">
        <v>61</v>
      </c>
      <c r="B240">
        <v>0</v>
      </c>
      <c r="C240">
        <v>0</v>
      </c>
      <c r="D240">
        <v>130</v>
      </c>
      <c r="E240">
        <v>330</v>
      </c>
      <c r="F240">
        <v>0</v>
      </c>
      <c r="G240">
        <v>0</v>
      </c>
      <c r="H240">
        <v>169</v>
      </c>
      <c r="I240">
        <v>0</v>
      </c>
      <c r="J240">
        <v>0</v>
      </c>
      <c r="K240">
        <v>2</v>
      </c>
      <c r="L240">
        <v>0</v>
      </c>
      <c r="M240">
        <v>2</v>
      </c>
      <c r="N240">
        <v>0</v>
      </c>
      <c r="O240" t="str">
        <f>IF(Table1[[#This Row],[sex]]=1,"Male","Female")</f>
        <v>Female</v>
      </c>
      <c r="P240" t="str">
        <f>IF(Table1[[#This Row],[cp]]=0,"Typical Angina",IF(Table1[[#This Row],[cp]]=1,"Atypical Angina",IF(Table1[[#This Row],[cp]]=2,"Non-Anginal Pain","Asymptomatic")))</f>
        <v>Typical Angina</v>
      </c>
      <c r="Q240">
        <f>IF(Table1[[#This Row],[trestbps]]&gt;=130, 1, 0)</f>
        <v>1</v>
      </c>
      <c r="R240">
        <f>IF(AND(Table1[[#This Row],[target]]=1,OR(Table1[[#This Row],[cp]]=0,Table1[[#This Row],[cp]]=1,Table1[[#This Row],[cp]]=2,Table1[[#This Row],[cp]])),1,0)</f>
        <v>0</v>
      </c>
      <c r="S240">
        <f>IF(AND(Table1[[#This Row],[Chest Pain + Target]]=1,Table1[[#This Row],[trestbps]]&gt;=130),1,0)</f>
        <v>0</v>
      </c>
      <c r="T240">
        <f>IF(AND(Table1[[#This Row],[Add BP]]=1,Table1[[#This Row],[chol]]&gt;=200),1,0)</f>
        <v>0</v>
      </c>
      <c r="U240">
        <f>IF(AND(Table1[[#This Row],[Add Cholestrol]]=1,Table1[[#This Row],[slope]]&gt;=2),1,0)</f>
        <v>0</v>
      </c>
      <c r="V240">
        <f>COUNTIFS(Table1[target],1)</f>
        <v>165</v>
      </c>
    </row>
    <row r="241" spans="1:22" x14ac:dyDescent="0.25">
      <c r="A241">
        <v>63</v>
      </c>
      <c r="B241">
        <v>0</v>
      </c>
      <c r="C241">
        <v>0</v>
      </c>
      <c r="D241">
        <v>108</v>
      </c>
      <c r="E241">
        <v>269</v>
      </c>
      <c r="F241">
        <v>0</v>
      </c>
      <c r="G241">
        <v>1</v>
      </c>
      <c r="H241">
        <v>169</v>
      </c>
      <c r="I241">
        <v>1</v>
      </c>
      <c r="J241">
        <v>1.8</v>
      </c>
      <c r="K241">
        <v>1</v>
      </c>
      <c r="L241">
        <v>2</v>
      </c>
      <c r="M241">
        <v>2</v>
      </c>
      <c r="N241">
        <v>0</v>
      </c>
      <c r="O241" t="str">
        <f>IF(Table1[[#This Row],[sex]]=1,"Male","Female")</f>
        <v>Female</v>
      </c>
      <c r="P241" t="str">
        <f>IF(Table1[[#This Row],[cp]]=0,"Typical Angina",IF(Table1[[#This Row],[cp]]=1,"Atypical Angina",IF(Table1[[#This Row],[cp]]=2,"Non-Anginal Pain","Asymptomatic")))</f>
        <v>Typical Angina</v>
      </c>
      <c r="Q241">
        <f>IF(Table1[[#This Row],[trestbps]]&gt;=130, 1, 0)</f>
        <v>0</v>
      </c>
      <c r="R241">
        <f>IF(AND(Table1[[#This Row],[target]]=1,OR(Table1[[#This Row],[cp]]=0,Table1[[#This Row],[cp]]=1,Table1[[#This Row],[cp]]=2,Table1[[#This Row],[cp]])),1,0)</f>
        <v>0</v>
      </c>
      <c r="S241">
        <f>IF(AND(Table1[[#This Row],[Chest Pain + Target]]=1,Table1[[#This Row],[trestbps]]&gt;=130),1,0)</f>
        <v>0</v>
      </c>
      <c r="T241">
        <f>IF(AND(Table1[[#This Row],[Add BP]]=1,Table1[[#This Row],[chol]]&gt;=200),1,0)</f>
        <v>0</v>
      </c>
      <c r="U241">
        <f>IF(AND(Table1[[#This Row],[Add Cholestrol]]=1,Table1[[#This Row],[slope]]&gt;=2),1,0)</f>
        <v>0</v>
      </c>
      <c r="V241">
        <f>COUNTIFS(Table1[target],1)</f>
        <v>165</v>
      </c>
    </row>
    <row r="242" spans="1:22" x14ac:dyDescent="0.25">
      <c r="A242">
        <v>54</v>
      </c>
      <c r="B242">
        <v>0</v>
      </c>
      <c r="C242">
        <v>2</v>
      </c>
      <c r="D242">
        <v>135</v>
      </c>
      <c r="E242">
        <v>304</v>
      </c>
      <c r="F242">
        <v>1</v>
      </c>
      <c r="G242">
        <v>1</v>
      </c>
      <c r="H242">
        <v>170</v>
      </c>
      <c r="I242">
        <v>0</v>
      </c>
      <c r="J242">
        <v>0</v>
      </c>
      <c r="K242">
        <v>2</v>
      </c>
      <c r="L242">
        <v>0</v>
      </c>
      <c r="M242">
        <v>2</v>
      </c>
      <c r="N242">
        <v>1</v>
      </c>
      <c r="O242" t="str">
        <f>IF(Table1[[#This Row],[sex]]=1,"Male","Female")</f>
        <v>Female</v>
      </c>
      <c r="P242" t="str">
        <f>IF(Table1[[#This Row],[cp]]=0,"Typical Angina",IF(Table1[[#This Row],[cp]]=1,"Atypical Angina",IF(Table1[[#This Row],[cp]]=2,"Non-Anginal Pain","Asymptomatic")))</f>
        <v>Non-Anginal Pain</v>
      </c>
      <c r="Q242">
        <f>IF(Table1[[#This Row],[trestbps]]&gt;=130, 1, 0)</f>
        <v>1</v>
      </c>
      <c r="R242">
        <f>IF(AND(Table1[[#This Row],[target]]=1,OR(Table1[[#This Row],[cp]]=0,Table1[[#This Row],[cp]]=1,Table1[[#This Row],[cp]]=2,Table1[[#This Row],[cp]])),1,0)</f>
        <v>1</v>
      </c>
      <c r="S242">
        <f>IF(AND(Table1[[#This Row],[Chest Pain + Target]]=1,Table1[[#This Row],[trestbps]]&gt;=130),1,0)</f>
        <v>1</v>
      </c>
      <c r="T242">
        <f>IF(AND(Table1[[#This Row],[Add BP]]=1,Table1[[#This Row],[chol]]&gt;=200),1,0)</f>
        <v>1</v>
      </c>
      <c r="U242">
        <f>IF(AND(Table1[[#This Row],[Add Cholestrol]]=1,Table1[[#This Row],[slope]]&gt;=2),1,0)</f>
        <v>1</v>
      </c>
      <c r="V242">
        <f>COUNTIFS(Table1[target],1)</f>
        <v>165</v>
      </c>
    </row>
    <row r="243" spans="1:22" x14ac:dyDescent="0.25">
      <c r="A243">
        <v>44</v>
      </c>
      <c r="B243">
        <v>1</v>
      </c>
      <c r="C243">
        <v>1</v>
      </c>
      <c r="D243">
        <v>120</v>
      </c>
      <c r="E243">
        <v>220</v>
      </c>
      <c r="F243">
        <v>0</v>
      </c>
      <c r="G243">
        <v>1</v>
      </c>
      <c r="H243">
        <v>170</v>
      </c>
      <c r="I243">
        <v>0</v>
      </c>
      <c r="J243">
        <v>0</v>
      </c>
      <c r="K243">
        <v>2</v>
      </c>
      <c r="L243">
        <v>0</v>
      </c>
      <c r="M243">
        <v>2</v>
      </c>
      <c r="N243">
        <v>1</v>
      </c>
      <c r="O243" t="str">
        <f>IF(Table1[[#This Row],[sex]]=1,"Male","Female")</f>
        <v>Male</v>
      </c>
      <c r="P243" t="str">
        <f>IF(Table1[[#This Row],[cp]]=0,"Typical Angina",IF(Table1[[#This Row],[cp]]=1,"Atypical Angina",IF(Table1[[#This Row],[cp]]=2,"Non-Anginal Pain","Asymptomatic")))</f>
        <v>Atypical Angina</v>
      </c>
      <c r="Q243">
        <f>IF(Table1[[#This Row],[trestbps]]&gt;=130, 1, 0)</f>
        <v>0</v>
      </c>
      <c r="R243">
        <f>IF(AND(Table1[[#This Row],[target]]=1,OR(Table1[[#This Row],[cp]]=0,Table1[[#This Row],[cp]]=1,Table1[[#This Row],[cp]]=2,Table1[[#This Row],[cp]])),1,0)</f>
        <v>1</v>
      </c>
      <c r="S243">
        <f>IF(AND(Table1[[#This Row],[Chest Pain + Target]]=1,Table1[[#This Row],[trestbps]]&gt;=130),1,0)</f>
        <v>0</v>
      </c>
      <c r="T243">
        <f>IF(AND(Table1[[#This Row],[Add BP]]=1,Table1[[#This Row],[chol]]&gt;=200),1,0)</f>
        <v>0</v>
      </c>
      <c r="U243">
        <f>IF(AND(Table1[[#This Row],[Add Cholestrol]]=1,Table1[[#This Row],[slope]]&gt;=2),1,0)</f>
        <v>0</v>
      </c>
      <c r="V243">
        <f>COUNTIFS(Table1[target],1)</f>
        <v>165</v>
      </c>
    </row>
    <row r="244" spans="1:22" x14ac:dyDescent="0.25">
      <c r="A244">
        <v>45</v>
      </c>
      <c r="B244">
        <v>1</v>
      </c>
      <c r="C244">
        <v>1</v>
      </c>
      <c r="D244">
        <v>128</v>
      </c>
      <c r="E244">
        <v>308</v>
      </c>
      <c r="F244">
        <v>0</v>
      </c>
      <c r="G244">
        <v>0</v>
      </c>
      <c r="H244">
        <v>170</v>
      </c>
      <c r="I244">
        <v>0</v>
      </c>
      <c r="J244">
        <v>0</v>
      </c>
      <c r="K244">
        <v>2</v>
      </c>
      <c r="L244">
        <v>0</v>
      </c>
      <c r="M244">
        <v>2</v>
      </c>
      <c r="N244">
        <v>1</v>
      </c>
      <c r="O244" t="str">
        <f>IF(Table1[[#This Row],[sex]]=1,"Male","Female")</f>
        <v>Male</v>
      </c>
      <c r="P244" t="str">
        <f>IF(Table1[[#This Row],[cp]]=0,"Typical Angina",IF(Table1[[#This Row],[cp]]=1,"Atypical Angina",IF(Table1[[#This Row],[cp]]=2,"Non-Anginal Pain","Asymptomatic")))</f>
        <v>Atypical Angina</v>
      </c>
      <c r="Q244">
        <f>IF(Table1[[#This Row],[trestbps]]&gt;=130, 1, 0)</f>
        <v>0</v>
      </c>
      <c r="R244">
        <f>IF(AND(Table1[[#This Row],[target]]=1,OR(Table1[[#This Row],[cp]]=0,Table1[[#This Row],[cp]]=1,Table1[[#This Row],[cp]]=2,Table1[[#This Row],[cp]])),1,0)</f>
        <v>1</v>
      </c>
      <c r="S244">
        <f>IF(AND(Table1[[#This Row],[Chest Pain + Target]]=1,Table1[[#This Row],[trestbps]]&gt;=130),1,0)</f>
        <v>0</v>
      </c>
      <c r="T244">
        <f>IF(AND(Table1[[#This Row],[Add BP]]=1,Table1[[#This Row],[chol]]&gt;=200),1,0)</f>
        <v>0</v>
      </c>
      <c r="U244">
        <f>IF(AND(Table1[[#This Row],[Add Cholestrol]]=1,Table1[[#This Row],[slope]]&gt;=2),1,0)</f>
        <v>0</v>
      </c>
      <c r="V244">
        <f>COUNTIFS(Table1[target],1)</f>
        <v>165</v>
      </c>
    </row>
    <row r="245" spans="1:22" x14ac:dyDescent="0.25">
      <c r="A245">
        <v>37</v>
      </c>
      <c r="B245">
        <v>0</v>
      </c>
      <c r="C245">
        <v>2</v>
      </c>
      <c r="D245">
        <v>120</v>
      </c>
      <c r="E245">
        <v>215</v>
      </c>
      <c r="F245">
        <v>0</v>
      </c>
      <c r="G245">
        <v>1</v>
      </c>
      <c r="H245">
        <v>170</v>
      </c>
      <c r="I245">
        <v>0</v>
      </c>
      <c r="J245">
        <v>0</v>
      </c>
      <c r="K245">
        <v>2</v>
      </c>
      <c r="L245">
        <v>0</v>
      </c>
      <c r="M245">
        <v>2</v>
      </c>
      <c r="N245">
        <v>1</v>
      </c>
      <c r="O245" t="str">
        <f>IF(Table1[[#This Row],[sex]]=1,"Male","Female")</f>
        <v>Female</v>
      </c>
      <c r="P245" t="str">
        <f>IF(Table1[[#This Row],[cp]]=0,"Typical Angina",IF(Table1[[#This Row],[cp]]=1,"Atypical Angina",IF(Table1[[#This Row],[cp]]=2,"Non-Anginal Pain","Asymptomatic")))</f>
        <v>Non-Anginal Pain</v>
      </c>
      <c r="Q245">
        <f>IF(Table1[[#This Row],[trestbps]]&gt;=130, 1, 0)</f>
        <v>0</v>
      </c>
      <c r="R245">
        <f>IF(AND(Table1[[#This Row],[target]]=1,OR(Table1[[#This Row],[cp]]=0,Table1[[#This Row],[cp]]=1,Table1[[#This Row],[cp]]=2,Table1[[#This Row],[cp]])),1,0)</f>
        <v>1</v>
      </c>
      <c r="S245">
        <f>IF(AND(Table1[[#This Row],[Chest Pain + Target]]=1,Table1[[#This Row],[trestbps]]&gt;=130),1,0)</f>
        <v>0</v>
      </c>
      <c r="T245">
        <f>IF(AND(Table1[[#This Row],[Add BP]]=1,Table1[[#This Row],[chol]]&gt;=200),1,0)</f>
        <v>0</v>
      </c>
      <c r="U245">
        <f>IF(AND(Table1[[#This Row],[Add Cholestrol]]=1,Table1[[#This Row],[slope]]&gt;=2),1,0)</f>
        <v>0</v>
      </c>
      <c r="V245">
        <f>COUNTIFS(Table1[target],1)</f>
        <v>165</v>
      </c>
    </row>
    <row r="246" spans="1:22" x14ac:dyDescent="0.25">
      <c r="A246">
        <v>60</v>
      </c>
      <c r="B246">
        <v>1</v>
      </c>
      <c r="C246">
        <v>0</v>
      </c>
      <c r="D246">
        <v>140</v>
      </c>
      <c r="E246">
        <v>293</v>
      </c>
      <c r="F246">
        <v>0</v>
      </c>
      <c r="G246">
        <v>0</v>
      </c>
      <c r="H246">
        <v>170</v>
      </c>
      <c r="I246">
        <v>0</v>
      </c>
      <c r="J246">
        <v>1.2</v>
      </c>
      <c r="K246">
        <v>1</v>
      </c>
      <c r="L246">
        <v>2</v>
      </c>
      <c r="M246">
        <v>3</v>
      </c>
      <c r="N246">
        <v>0</v>
      </c>
      <c r="O246" t="str">
        <f>IF(Table1[[#This Row],[sex]]=1,"Male","Female")</f>
        <v>Male</v>
      </c>
      <c r="P246" t="str">
        <f>IF(Table1[[#This Row],[cp]]=0,"Typical Angina",IF(Table1[[#This Row],[cp]]=1,"Atypical Angina",IF(Table1[[#This Row],[cp]]=2,"Non-Anginal Pain","Asymptomatic")))</f>
        <v>Typical Angina</v>
      </c>
      <c r="Q246">
        <f>IF(Table1[[#This Row],[trestbps]]&gt;=130, 1, 0)</f>
        <v>1</v>
      </c>
      <c r="R246">
        <f>IF(AND(Table1[[#This Row],[target]]=1,OR(Table1[[#This Row],[cp]]=0,Table1[[#This Row],[cp]]=1,Table1[[#This Row],[cp]]=2,Table1[[#This Row],[cp]])),1,0)</f>
        <v>0</v>
      </c>
      <c r="S246">
        <f>IF(AND(Table1[[#This Row],[Chest Pain + Target]]=1,Table1[[#This Row],[trestbps]]&gt;=130),1,0)</f>
        <v>0</v>
      </c>
      <c r="T246">
        <f>IF(AND(Table1[[#This Row],[Add BP]]=1,Table1[[#This Row],[chol]]&gt;=200),1,0)</f>
        <v>0</v>
      </c>
      <c r="U246">
        <f>IF(AND(Table1[[#This Row],[Add Cholestrol]]=1,Table1[[#This Row],[slope]]&gt;=2),1,0)</f>
        <v>0</v>
      </c>
      <c r="V246">
        <f>COUNTIFS(Table1[target],1)</f>
        <v>165</v>
      </c>
    </row>
    <row r="247" spans="1:22" x14ac:dyDescent="0.25">
      <c r="A247">
        <v>49</v>
      </c>
      <c r="B247">
        <v>1</v>
      </c>
      <c r="C247">
        <v>1</v>
      </c>
      <c r="D247">
        <v>130</v>
      </c>
      <c r="E247">
        <v>266</v>
      </c>
      <c r="F247">
        <v>0</v>
      </c>
      <c r="G247">
        <v>1</v>
      </c>
      <c r="H247">
        <v>171</v>
      </c>
      <c r="I247">
        <v>0</v>
      </c>
      <c r="J247">
        <v>0.6</v>
      </c>
      <c r="K247">
        <v>2</v>
      </c>
      <c r="L247">
        <v>0</v>
      </c>
      <c r="M247">
        <v>2</v>
      </c>
      <c r="N247">
        <v>1</v>
      </c>
      <c r="O247" t="str">
        <f>IF(Table1[[#This Row],[sex]]=1,"Male","Female")</f>
        <v>Male</v>
      </c>
      <c r="P247" t="str">
        <f>IF(Table1[[#This Row],[cp]]=0,"Typical Angina",IF(Table1[[#This Row],[cp]]=1,"Atypical Angina",IF(Table1[[#This Row],[cp]]=2,"Non-Anginal Pain","Asymptomatic")))</f>
        <v>Atypical Angina</v>
      </c>
      <c r="Q247">
        <f>IF(Table1[[#This Row],[trestbps]]&gt;=130, 1, 0)</f>
        <v>1</v>
      </c>
      <c r="R247">
        <f>IF(AND(Table1[[#This Row],[target]]=1,OR(Table1[[#This Row],[cp]]=0,Table1[[#This Row],[cp]]=1,Table1[[#This Row],[cp]]=2,Table1[[#This Row],[cp]])),1,0)</f>
        <v>1</v>
      </c>
      <c r="S247">
        <f>IF(AND(Table1[[#This Row],[Chest Pain + Target]]=1,Table1[[#This Row],[trestbps]]&gt;=130),1,0)</f>
        <v>1</v>
      </c>
      <c r="T247">
        <f>IF(AND(Table1[[#This Row],[Add BP]]=1,Table1[[#This Row],[chol]]&gt;=200),1,0)</f>
        <v>1</v>
      </c>
      <c r="U247">
        <f>IF(AND(Table1[[#This Row],[Add Cholestrol]]=1,Table1[[#This Row],[slope]]&gt;=2),1,0)</f>
        <v>1</v>
      </c>
      <c r="V247">
        <f>COUNTIFS(Table1[target],1)</f>
        <v>165</v>
      </c>
    </row>
    <row r="248" spans="1:22" x14ac:dyDescent="0.25">
      <c r="A248">
        <v>43</v>
      </c>
      <c r="B248">
        <v>1</v>
      </c>
      <c r="C248">
        <v>0</v>
      </c>
      <c r="D248">
        <v>150</v>
      </c>
      <c r="E248">
        <v>247</v>
      </c>
      <c r="F248">
        <v>0</v>
      </c>
      <c r="G248">
        <v>1</v>
      </c>
      <c r="H248">
        <v>171</v>
      </c>
      <c r="I248">
        <v>0</v>
      </c>
      <c r="J248">
        <v>1.5</v>
      </c>
      <c r="K248">
        <v>2</v>
      </c>
      <c r="L248">
        <v>0</v>
      </c>
      <c r="M248">
        <v>2</v>
      </c>
      <c r="N248">
        <v>1</v>
      </c>
      <c r="O248" t="str">
        <f>IF(Table1[[#This Row],[sex]]=1,"Male","Female")</f>
        <v>Male</v>
      </c>
      <c r="P248" t="str">
        <f>IF(Table1[[#This Row],[cp]]=0,"Typical Angina",IF(Table1[[#This Row],[cp]]=1,"Atypical Angina",IF(Table1[[#This Row],[cp]]=2,"Non-Anginal Pain","Asymptomatic")))</f>
        <v>Typical Angina</v>
      </c>
      <c r="Q248">
        <f>IF(Table1[[#This Row],[trestbps]]&gt;=130, 1, 0)</f>
        <v>1</v>
      </c>
      <c r="R248">
        <f>IF(AND(Table1[[#This Row],[target]]=1,OR(Table1[[#This Row],[cp]]=0,Table1[[#This Row],[cp]]=1,Table1[[#This Row],[cp]]=2,Table1[[#This Row],[cp]])),1,0)</f>
        <v>1</v>
      </c>
      <c r="S248">
        <f>IF(AND(Table1[[#This Row],[Chest Pain + Target]]=1,Table1[[#This Row],[trestbps]]&gt;=130),1,0)</f>
        <v>1</v>
      </c>
      <c r="T248">
        <f>IF(AND(Table1[[#This Row],[Add BP]]=1,Table1[[#This Row],[chol]]&gt;=200),1,0)</f>
        <v>1</v>
      </c>
      <c r="U248">
        <f>IF(AND(Table1[[#This Row],[Add Cholestrol]]=1,Table1[[#This Row],[slope]]&gt;=2),1,0)</f>
        <v>1</v>
      </c>
      <c r="V248">
        <f>COUNTIFS(Table1[target],1)</f>
        <v>165</v>
      </c>
    </row>
    <row r="249" spans="1:22" x14ac:dyDescent="0.25">
      <c r="A249">
        <v>60</v>
      </c>
      <c r="B249">
        <v>0</v>
      </c>
      <c r="C249">
        <v>3</v>
      </c>
      <c r="D249">
        <v>150</v>
      </c>
      <c r="E249">
        <v>240</v>
      </c>
      <c r="F249">
        <v>0</v>
      </c>
      <c r="G249">
        <v>1</v>
      </c>
      <c r="H249">
        <v>171</v>
      </c>
      <c r="I249">
        <v>0</v>
      </c>
      <c r="J249">
        <v>0.9</v>
      </c>
      <c r="K249">
        <v>2</v>
      </c>
      <c r="L249">
        <v>0</v>
      </c>
      <c r="M249">
        <v>2</v>
      </c>
      <c r="N249">
        <v>1</v>
      </c>
      <c r="O249" t="str">
        <f>IF(Table1[[#This Row],[sex]]=1,"Male","Female")</f>
        <v>Female</v>
      </c>
      <c r="P249" t="str">
        <f>IF(Table1[[#This Row],[cp]]=0,"Typical Angina",IF(Table1[[#This Row],[cp]]=1,"Atypical Angina",IF(Table1[[#This Row],[cp]]=2,"Non-Anginal Pain","Asymptomatic")))</f>
        <v>Asymptomatic</v>
      </c>
      <c r="Q249">
        <f>IF(Table1[[#This Row],[trestbps]]&gt;=130, 1, 0)</f>
        <v>1</v>
      </c>
      <c r="R249">
        <f>IF(AND(Table1[[#This Row],[target]]=1,OR(Table1[[#This Row],[cp]]=0,Table1[[#This Row],[cp]]=1,Table1[[#This Row],[cp]]=2,Table1[[#This Row],[cp]])),1,0)</f>
        <v>1</v>
      </c>
      <c r="S249">
        <f>IF(AND(Table1[[#This Row],[Chest Pain + Target]]=1,Table1[[#This Row],[trestbps]]&gt;=130),1,0)</f>
        <v>1</v>
      </c>
      <c r="T249">
        <f>IF(AND(Table1[[#This Row],[Add BP]]=1,Table1[[#This Row],[chol]]&gt;=200),1,0)</f>
        <v>1</v>
      </c>
      <c r="U249">
        <f>IF(AND(Table1[[#This Row],[Add Cholestrol]]=1,Table1[[#This Row],[slope]]&gt;=2),1,0)</f>
        <v>1</v>
      </c>
      <c r="V249">
        <f>COUNTIFS(Table1[target],1)</f>
        <v>165</v>
      </c>
    </row>
    <row r="250" spans="1:22" x14ac:dyDescent="0.25">
      <c r="A250">
        <v>58</v>
      </c>
      <c r="B250">
        <v>1</v>
      </c>
      <c r="C250">
        <v>0</v>
      </c>
      <c r="D250">
        <v>125</v>
      </c>
      <c r="E250">
        <v>300</v>
      </c>
      <c r="F250">
        <v>0</v>
      </c>
      <c r="G250">
        <v>0</v>
      </c>
      <c r="H250">
        <v>171</v>
      </c>
      <c r="I250">
        <v>0</v>
      </c>
      <c r="J250">
        <v>0</v>
      </c>
      <c r="K250">
        <v>2</v>
      </c>
      <c r="L250">
        <v>2</v>
      </c>
      <c r="M250">
        <v>3</v>
      </c>
      <c r="N250">
        <v>0</v>
      </c>
      <c r="O250" t="str">
        <f>IF(Table1[[#This Row],[sex]]=1,"Male","Female")</f>
        <v>Male</v>
      </c>
      <c r="P250" t="str">
        <f>IF(Table1[[#This Row],[cp]]=0,"Typical Angina",IF(Table1[[#This Row],[cp]]=1,"Atypical Angina",IF(Table1[[#This Row],[cp]]=2,"Non-Anginal Pain","Asymptomatic")))</f>
        <v>Typical Angina</v>
      </c>
      <c r="Q250">
        <f>IF(Table1[[#This Row],[trestbps]]&gt;=130, 1, 0)</f>
        <v>0</v>
      </c>
      <c r="R250">
        <f>IF(AND(Table1[[#This Row],[target]]=1,OR(Table1[[#This Row],[cp]]=0,Table1[[#This Row],[cp]]=1,Table1[[#This Row],[cp]]=2,Table1[[#This Row],[cp]])),1,0)</f>
        <v>0</v>
      </c>
      <c r="S250">
        <f>IF(AND(Table1[[#This Row],[Chest Pain + Target]]=1,Table1[[#This Row],[trestbps]]&gt;=130),1,0)</f>
        <v>0</v>
      </c>
      <c r="T250">
        <f>IF(AND(Table1[[#This Row],[Add BP]]=1,Table1[[#This Row],[chol]]&gt;=200),1,0)</f>
        <v>0</v>
      </c>
      <c r="U250">
        <f>IF(AND(Table1[[#This Row],[Add Cholestrol]]=1,Table1[[#This Row],[slope]]&gt;=2),1,0)</f>
        <v>0</v>
      </c>
      <c r="V250">
        <f>COUNTIFS(Table1[target],1)</f>
        <v>165</v>
      </c>
    </row>
    <row r="251" spans="1:22" x14ac:dyDescent="0.25">
      <c r="A251">
        <v>41</v>
      </c>
      <c r="B251">
        <v>0</v>
      </c>
      <c r="C251">
        <v>1</v>
      </c>
      <c r="D251">
        <v>130</v>
      </c>
      <c r="E251">
        <v>204</v>
      </c>
      <c r="F251">
        <v>0</v>
      </c>
      <c r="G251">
        <v>0</v>
      </c>
      <c r="H251">
        <v>172</v>
      </c>
      <c r="I251">
        <v>0</v>
      </c>
      <c r="J251">
        <v>1.4</v>
      </c>
      <c r="K251">
        <v>2</v>
      </c>
      <c r="L251">
        <v>0</v>
      </c>
      <c r="M251">
        <v>2</v>
      </c>
      <c r="N251">
        <v>1</v>
      </c>
      <c r="O251" t="str">
        <f>IF(Table1[[#This Row],[sex]]=1,"Male","Female")</f>
        <v>Female</v>
      </c>
      <c r="P251" t="str">
        <f>IF(Table1[[#This Row],[cp]]=0,"Typical Angina",IF(Table1[[#This Row],[cp]]=1,"Atypical Angina",IF(Table1[[#This Row],[cp]]=2,"Non-Anginal Pain","Asymptomatic")))</f>
        <v>Atypical Angina</v>
      </c>
      <c r="Q251">
        <f>IF(Table1[[#This Row],[trestbps]]&gt;=130, 1, 0)</f>
        <v>1</v>
      </c>
      <c r="R251">
        <f>IF(AND(Table1[[#This Row],[target]]=1,OR(Table1[[#This Row],[cp]]=0,Table1[[#This Row],[cp]]=1,Table1[[#This Row],[cp]]=2,Table1[[#This Row],[cp]])),1,0)</f>
        <v>1</v>
      </c>
      <c r="S251">
        <f>IF(AND(Table1[[#This Row],[Chest Pain + Target]]=1,Table1[[#This Row],[trestbps]]&gt;=130),1,0)</f>
        <v>1</v>
      </c>
      <c r="T251">
        <f>IF(AND(Table1[[#This Row],[Add BP]]=1,Table1[[#This Row],[chol]]&gt;=200),1,0)</f>
        <v>1</v>
      </c>
      <c r="U251">
        <f>IF(AND(Table1[[#This Row],[Add Cholestrol]]=1,Table1[[#This Row],[slope]]&gt;=2),1,0)</f>
        <v>1</v>
      </c>
      <c r="V251">
        <f>COUNTIFS(Table1[target],1)</f>
        <v>165</v>
      </c>
    </row>
    <row r="252" spans="1:22" x14ac:dyDescent="0.25">
      <c r="A252">
        <v>58</v>
      </c>
      <c r="B252">
        <v>0</v>
      </c>
      <c r="C252">
        <v>2</v>
      </c>
      <c r="D252">
        <v>120</v>
      </c>
      <c r="E252">
        <v>340</v>
      </c>
      <c r="F252">
        <v>0</v>
      </c>
      <c r="G252">
        <v>1</v>
      </c>
      <c r="H252">
        <v>172</v>
      </c>
      <c r="I252">
        <v>0</v>
      </c>
      <c r="J252">
        <v>0</v>
      </c>
      <c r="K252">
        <v>2</v>
      </c>
      <c r="L252">
        <v>0</v>
      </c>
      <c r="M252">
        <v>2</v>
      </c>
      <c r="N252">
        <v>1</v>
      </c>
      <c r="O252" t="str">
        <f>IF(Table1[[#This Row],[sex]]=1,"Male","Female")</f>
        <v>Female</v>
      </c>
      <c r="P252" t="str">
        <f>IF(Table1[[#This Row],[cp]]=0,"Typical Angina",IF(Table1[[#This Row],[cp]]=1,"Atypical Angina",IF(Table1[[#This Row],[cp]]=2,"Non-Anginal Pain","Asymptomatic")))</f>
        <v>Non-Anginal Pain</v>
      </c>
      <c r="Q252">
        <f>IF(Table1[[#This Row],[trestbps]]&gt;=130, 1, 0)</f>
        <v>0</v>
      </c>
      <c r="R252">
        <f>IF(AND(Table1[[#This Row],[target]]=1,OR(Table1[[#This Row],[cp]]=0,Table1[[#This Row],[cp]]=1,Table1[[#This Row],[cp]]=2,Table1[[#This Row],[cp]])),1,0)</f>
        <v>1</v>
      </c>
      <c r="S252">
        <f>IF(AND(Table1[[#This Row],[Chest Pain + Target]]=1,Table1[[#This Row],[trestbps]]&gt;=130),1,0)</f>
        <v>0</v>
      </c>
      <c r="T252">
        <f>IF(AND(Table1[[#This Row],[Add BP]]=1,Table1[[#This Row],[chol]]&gt;=200),1,0)</f>
        <v>0</v>
      </c>
      <c r="U252">
        <f>IF(AND(Table1[[#This Row],[Add Cholestrol]]=1,Table1[[#This Row],[slope]]&gt;=2),1,0)</f>
        <v>0</v>
      </c>
      <c r="V252">
        <f>COUNTIFS(Table1[target],1)</f>
        <v>165</v>
      </c>
    </row>
    <row r="253" spans="1:22" x14ac:dyDescent="0.25">
      <c r="A253">
        <v>52</v>
      </c>
      <c r="B253">
        <v>1</v>
      </c>
      <c r="C253">
        <v>1</v>
      </c>
      <c r="D253">
        <v>120</v>
      </c>
      <c r="E253">
        <v>325</v>
      </c>
      <c r="F253">
        <v>0</v>
      </c>
      <c r="G253">
        <v>1</v>
      </c>
      <c r="H253">
        <v>172</v>
      </c>
      <c r="I253">
        <v>0</v>
      </c>
      <c r="J253">
        <v>0.2</v>
      </c>
      <c r="K253">
        <v>2</v>
      </c>
      <c r="L253">
        <v>0</v>
      </c>
      <c r="M253">
        <v>2</v>
      </c>
      <c r="N253">
        <v>1</v>
      </c>
      <c r="O253" t="str">
        <f>IF(Table1[[#This Row],[sex]]=1,"Male","Female")</f>
        <v>Male</v>
      </c>
      <c r="P253" t="str">
        <f>IF(Table1[[#This Row],[cp]]=0,"Typical Angina",IF(Table1[[#This Row],[cp]]=1,"Atypical Angina",IF(Table1[[#This Row],[cp]]=2,"Non-Anginal Pain","Asymptomatic")))</f>
        <v>Atypical Angina</v>
      </c>
      <c r="Q253">
        <f>IF(Table1[[#This Row],[trestbps]]&gt;=130, 1, 0)</f>
        <v>0</v>
      </c>
      <c r="R253">
        <f>IF(AND(Table1[[#This Row],[target]]=1,OR(Table1[[#This Row],[cp]]=0,Table1[[#This Row],[cp]]=1,Table1[[#This Row],[cp]]=2,Table1[[#This Row],[cp]])),1,0)</f>
        <v>1</v>
      </c>
      <c r="S253">
        <f>IF(AND(Table1[[#This Row],[Chest Pain + Target]]=1,Table1[[#This Row],[trestbps]]&gt;=130),1,0)</f>
        <v>0</v>
      </c>
      <c r="T253">
        <f>IF(AND(Table1[[#This Row],[Add BP]]=1,Table1[[#This Row],[chol]]&gt;=200),1,0)</f>
        <v>0</v>
      </c>
      <c r="U253">
        <f>IF(AND(Table1[[#This Row],[Add Cholestrol]]=1,Table1[[#This Row],[slope]]&gt;=2),1,0)</f>
        <v>0</v>
      </c>
      <c r="V253">
        <f>COUNTIFS(Table1[target],1)</f>
        <v>165</v>
      </c>
    </row>
    <row r="254" spans="1:22" x14ac:dyDescent="0.25">
      <c r="A254">
        <v>63</v>
      </c>
      <c r="B254">
        <v>0</v>
      </c>
      <c r="C254">
        <v>2</v>
      </c>
      <c r="D254">
        <v>135</v>
      </c>
      <c r="E254">
        <v>252</v>
      </c>
      <c r="F254">
        <v>0</v>
      </c>
      <c r="G254">
        <v>0</v>
      </c>
      <c r="H254">
        <v>172</v>
      </c>
      <c r="I254">
        <v>0</v>
      </c>
      <c r="J254">
        <v>0</v>
      </c>
      <c r="K254">
        <v>2</v>
      </c>
      <c r="L254">
        <v>0</v>
      </c>
      <c r="M254">
        <v>2</v>
      </c>
      <c r="N254">
        <v>1</v>
      </c>
      <c r="O254" t="str">
        <f>IF(Table1[[#This Row],[sex]]=1,"Male","Female")</f>
        <v>Female</v>
      </c>
      <c r="P254" t="str">
        <f>IF(Table1[[#This Row],[cp]]=0,"Typical Angina",IF(Table1[[#This Row],[cp]]=1,"Atypical Angina",IF(Table1[[#This Row],[cp]]=2,"Non-Anginal Pain","Asymptomatic")))</f>
        <v>Non-Anginal Pain</v>
      </c>
      <c r="Q254">
        <f>IF(Table1[[#This Row],[trestbps]]&gt;=130, 1, 0)</f>
        <v>1</v>
      </c>
      <c r="R254">
        <f>IF(AND(Table1[[#This Row],[target]]=1,OR(Table1[[#This Row],[cp]]=0,Table1[[#This Row],[cp]]=1,Table1[[#This Row],[cp]]=2,Table1[[#This Row],[cp]])),1,0)</f>
        <v>1</v>
      </c>
      <c r="S254">
        <f>IF(AND(Table1[[#This Row],[Chest Pain + Target]]=1,Table1[[#This Row],[trestbps]]&gt;=130),1,0)</f>
        <v>1</v>
      </c>
      <c r="T254">
        <f>IF(AND(Table1[[#This Row],[Add BP]]=1,Table1[[#This Row],[chol]]&gt;=200),1,0)</f>
        <v>1</v>
      </c>
      <c r="U254">
        <f>IF(AND(Table1[[#This Row],[Add Cholestrol]]=1,Table1[[#This Row],[slope]]&gt;=2),1,0)</f>
        <v>1</v>
      </c>
      <c r="V254">
        <f>COUNTIFS(Table1[target],1)</f>
        <v>165</v>
      </c>
    </row>
    <row r="255" spans="1:22" x14ac:dyDescent="0.25">
      <c r="A255">
        <v>46</v>
      </c>
      <c r="B255">
        <v>0</v>
      </c>
      <c r="C255">
        <v>1</v>
      </c>
      <c r="D255">
        <v>105</v>
      </c>
      <c r="E255">
        <v>204</v>
      </c>
      <c r="F255">
        <v>0</v>
      </c>
      <c r="G255">
        <v>1</v>
      </c>
      <c r="H255">
        <v>172</v>
      </c>
      <c r="I255">
        <v>0</v>
      </c>
      <c r="J255">
        <v>0</v>
      </c>
      <c r="K255">
        <v>2</v>
      </c>
      <c r="L255">
        <v>0</v>
      </c>
      <c r="M255">
        <v>2</v>
      </c>
      <c r="N255">
        <v>1</v>
      </c>
      <c r="O255" t="str">
        <f>IF(Table1[[#This Row],[sex]]=1,"Male","Female")</f>
        <v>Female</v>
      </c>
      <c r="P255" t="str">
        <f>IF(Table1[[#This Row],[cp]]=0,"Typical Angina",IF(Table1[[#This Row],[cp]]=1,"Atypical Angina",IF(Table1[[#This Row],[cp]]=2,"Non-Anginal Pain","Asymptomatic")))</f>
        <v>Atypical Angina</v>
      </c>
      <c r="Q255">
        <f>IF(Table1[[#This Row],[trestbps]]&gt;=130, 1, 0)</f>
        <v>0</v>
      </c>
      <c r="R255">
        <f>IF(AND(Table1[[#This Row],[target]]=1,OR(Table1[[#This Row],[cp]]=0,Table1[[#This Row],[cp]]=1,Table1[[#This Row],[cp]]=2,Table1[[#This Row],[cp]])),1,0)</f>
        <v>1</v>
      </c>
      <c r="S255">
        <f>IF(AND(Table1[[#This Row],[Chest Pain + Target]]=1,Table1[[#This Row],[trestbps]]&gt;=130),1,0)</f>
        <v>0</v>
      </c>
      <c r="T255">
        <f>IF(AND(Table1[[#This Row],[Add BP]]=1,Table1[[#This Row],[chol]]&gt;=200),1,0)</f>
        <v>0</v>
      </c>
      <c r="U255">
        <f>IF(AND(Table1[[#This Row],[Add Cholestrol]]=1,Table1[[#This Row],[slope]]&gt;=2),1,0)</f>
        <v>0</v>
      </c>
      <c r="V255">
        <f>COUNTIFS(Table1[target],1)</f>
        <v>165</v>
      </c>
    </row>
    <row r="256" spans="1:22" x14ac:dyDescent="0.25">
      <c r="A256">
        <v>41</v>
      </c>
      <c r="B256">
        <v>0</v>
      </c>
      <c r="C256">
        <v>2</v>
      </c>
      <c r="D256">
        <v>112</v>
      </c>
      <c r="E256">
        <v>268</v>
      </c>
      <c r="F256">
        <v>0</v>
      </c>
      <c r="G256">
        <v>0</v>
      </c>
      <c r="H256">
        <v>172</v>
      </c>
      <c r="I256">
        <v>1</v>
      </c>
      <c r="J256">
        <v>0</v>
      </c>
      <c r="K256">
        <v>2</v>
      </c>
      <c r="L256">
        <v>0</v>
      </c>
      <c r="M256">
        <v>2</v>
      </c>
      <c r="N256">
        <v>1</v>
      </c>
      <c r="O256" t="str">
        <f>IF(Table1[[#This Row],[sex]]=1,"Male","Female")</f>
        <v>Female</v>
      </c>
      <c r="P256" t="str">
        <f>IF(Table1[[#This Row],[cp]]=0,"Typical Angina",IF(Table1[[#This Row],[cp]]=1,"Atypical Angina",IF(Table1[[#This Row],[cp]]=2,"Non-Anginal Pain","Asymptomatic")))</f>
        <v>Non-Anginal Pain</v>
      </c>
      <c r="Q256">
        <f>IF(Table1[[#This Row],[trestbps]]&gt;=130, 1, 0)</f>
        <v>0</v>
      </c>
      <c r="R256">
        <f>IF(AND(Table1[[#This Row],[target]]=1,OR(Table1[[#This Row],[cp]]=0,Table1[[#This Row],[cp]]=1,Table1[[#This Row],[cp]]=2,Table1[[#This Row],[cp]])),1,0)</f>
        <v>1</v>
      </c>
      <c r="S256">
        <f>IF(AND(Table1[[#This Row],[Chest Pain + Target]]=1,Table1[[#This Row],[trestbps]]&gt;=130),1,0)</f>
        <v>0</v>
      </c>
      <c r="T256">
        <f>IF(AND(Table1[[#This Row],[Add BP]]=1,Table1[[#This Row],[chol]]&gt;=200),1,0)</f>
        <v>0</v>
      </c>
      <c r="U256">
        <f>IF(AND(Table1[[#This Row],[Add Cholestrol]]=1,Table1[[#This Row],[slope]]&gt;=2),1,0)</f>
        <v>0</v>
      </c>
      <c r="V256">
        <f>COUNTIFS(Table1[target],1)</f>
        <v>165</v>
      </c>
    </row>
    <row r="257" spans="1:22" x14ac:dyDescent="0.25">
      <c r="A257">
        <v>67</v>
      </c>
      <c r="B257">
        <v>0</v>
      </c>
      <c r="C257">
        <v>2</v>
      </c>
      <c r="D257">
        <v>152</v>
      </c>
      <c r="E257">
        <v>277</v>
      </c>
      <c r="F257">
        <v>0</v>
      </c>
      <c r="G257">
        <v>1</v>
      </c>
      <c r="H257">
        <v>172</v>
      </c>
      <c r="I257">
        <v>0</v>
      </c>
      <c r="J257">
        <v>0</v>
      </c>
      <c r="K257">
        <v>2</v>
      </c>
      <c r="L257">
        <v>1</v>
      </c>
      <c r="M257">
        <v>2</v>
      </c>
      <c r="N257">
        <v>1</v>
      </c>
      <c r="O257" t="str">
        <f>IF(Table1[[#This Row],[sex]]=1,"Male","Female")</f>
        <v>Female</v>
      </c>
      <c r="P257" t="str">
        <f>IF(Table1[[#This Row],[cp]]=0,"Typical Angina",IF(Table1[[#This Row],[cp]]=1,"Atypical Angina",IF(Table1[[#This Row],[cp]]=2,"Non-Anginal Pain","Asymptomatic")))</f>
        <v>Non-Anginal Pain</v>
      </c>
      <c r="Q257">
        <f>IF(Table1[[#This Row],[trestbps]]&gt;=130, 1, 0)</f>
        <v>1</v>
      </c>
      <c r="R257">
        <f>IF(AND(Table1[[#This Row],[target]]=1,OR(Table1[[#This Row],[cp]]=0,Table1[[#This Row],[cp]]=1,Table1[[#This Row],[cp]]=2,Table1[[#This Row],[cp]])),1,0)</f>
        <v>1</v>
      </c>
      <c r="S257">
        <f>IF(AND(Table1[[#This Row],[Chest Pain + Target]]=1,Table1[[#This Row],[trestbps]]&gt;=130),1,0)</f>
        <v>1</v>
      </c>
      <c r="T257">
        <f>IF(AND(Table1[[#This Row],[Add BP]]=1,Table1[[#This Row],[chol]]&gt;=200),1,0)</f>
        <v>1</v>
      </c>
      <c r="U257">
        <f>IF(AND(Table1[[#This Row],[Add Cholestrol]]=1,Table1[[#This Row],[slope]]&gt;=2),1,0)</f>
        <v>1</v>
      </c>
      <c r="V257">
        <f>COUNTIFS(Table1[target],1)</f>
        <v>165</v>
      </c>
    </row>
    <row r="258" spans="1:22" x14ac:dyDescent="0.25">
      <c r="A258">
        <v>44</v>
      </c>
      <c r="B258">
        <v>1</v>
      </c>
      <c r="C258">
        <v>1</v>
      </c>
      <c r="D258">
        <v>120</v>
      </c>
      <c r="E258">
        <v>263</v>
      </c>
      <c r="F258">
        <v>0</v>
      </c>
      <c r="G258">
        <v>1</v>
      </c>
      <c r="H258">
        <v>173</v>
      </c>
      <c r="I258">
        <v>0</v>
      </c>
      <c r="J258">
        <v>0</v>
      </c>
      <c r="K258">
        <v>2</v>
      </c>
      <c r="L258">
        <v>0</v>
      </c>
      <c r="M258">
        <v>3</v>
      </c>
      <c r="N258">
        <v>1</v>
      </c>
      <c r="O258" t="str">
        <f>IF(Table1[[#This Row],[sex]]=1,"Male","Female")</f>
        <v>Male</v>
      </c>
      <c r="P258" t="str">
        <f>IF(Table1[[#This Row],[cp]]=0,"Typical Angina",IF(Table1[[#This Row],[cp]]=1,"Atypical Angina",IF(Table1[[#This Row],[cp]]=2,"Non-Anginal Pain","Asymptomatic")))</f>
        <v>Atypical Angina</v>
      </c>
      <c r="Q258">
        <f>IF(Table1[[#This Row],[trestbps]]&gt;=130, 1, 0)</f>
        <v>0</v>
      </c>
      <c r="R258">
        <f>IF(AND(Table1[[#This Row],[target]]=1,OR(Table1[[#This Row],[cp]]=0,Table1[[#This Row],[cp]]=1,Table1[[#This Row],[cp]]=2,Table1[[#This Row],[cp]])),1,0)</f>
        <v>1</v>
      </c>
      <c r="S258">
        <f>IF(AND(Table1[[#This Row],[Chest Pain + Target]]=1,Table1[[#This Row],[trestbps]]&gt;=130),1,0)</f>
        <v>0</v>
      </c>
      <c r="T258">
        <f>IF(AND(Table1[[#This Row],[Add BP]]=1,Table1[[#This Row],[chol]]&gt;=200),1,0)</f>
        <v>0</v>
      </c>
      <c r="U258">
        <f>IF(AND(Table1[[#This Row],[Add Cholestrol]]=1,Table1[[#This Row],[slope]]&gt;=2),1,0)</f>
        <v>0</v>
      </c>
      <c r="V258">
        <f>COUNTIFS(Table1[target],1)</f>
        <v>165</v>
      </c>
    </row>
    <row r="259" spans="1:22" x14ac:dyDescent="0.25">
      <c r="A259">
        <v>53</v>
      </c>
      <c r="B259">
        <v>1</v>
      </c>
      <c r="C259">
        <v>2</v>
      </c>
      <c r="D259">
        <v>130</v>
      </c>
      <c r="E259">
        <v>246</v>
      </c>
      <c r="F259">
        <v>1</v>
      </c>
      <c r="G259">
        <v>0</v>
      </c>
      <c r="H259">
        <v>173</v>
      </c>
      <c r="I259">
        <v>0</v>
      </c>
      <c r="J259">
        <v>0</v>
      </c>
      <c r="K259">
        <v>2</v>
      </c>
      <c r="L259">
        <v>3</v>
      </c>
      <c r="M259">
        <v>2</v>
      </c>
      <c r="N259">
        <v>1</v>
      </c>
      <c r="O259" t="str">
        <f>IF(Table1[[#This Row],[sex]]=1,"Male","Female")</f>
        <v>Male</v>
      </c>
      <c r="P259" t="str">
        <f>IF(Table1[[#This Row],[cp]]=0,"Typical Angina",IF(Table1[[#This Row],[cp]]=1,"Atypical Angina",IF(Table1[[#This Row],[cp]]=2,"Non-Anginal Pain","Asymptomatic")))</f>
        <v>Non-Anginal Pain</v>
      </c>
      <c r="Q259">
        <f>IF(Table1[[#This Row],[trestbps]]&gt;=130, 1, 0)</f>
        <v>1</v>
      </c>
      <c r="R259">
        <f>IF(AND(Table1[[#This Row],[target]]=1,OR(Table1[[#This Row],[cp]]=0,Table1[[#This Row],[cp]]=1,Table1[[#This Row],[cp]]=2,Table1[[#This Row],[cp]])),1,0)</f>
        <v>1</v>
      </c>
      <c r="S259">
        <f>IF(AND(Table1[[#This Row],[Chest Pain + Target]]=1,Table1[[#This Row],[trestbps]]&gt;=130),1,0)</f>
        <v>1</v>
      </c>
      <c r="T259">
        <f>IF(AND(Table1[[#This Row],[Add BP]]=1,Table1[[#This Row],[chol]]&gt;=200),1,0)</f>
        <v>1</v>
      </c>
      <c r="U259">
        <f>IF(AND(Table1[[#This Row],[Add Cholestrol]]=1,Table1[[#This Row],[slope]]&gt;=2),1,0)</f>
        <v>1</v>
      </c>
      <c r="V259">
        <f>COUNTIFS(Table1[target],1)</f>
        <v>165</v>
      </c>
    </row>
    <row r="260" spans="1:22" x14ac:dyDescent="0.25">
      <c r="A260">
        <v>57</v>
      </c>
      <c r="B260">
        <v>1</v>
      </c>
      <c r="C260">
        <v>2</v>
      </c>
      <c r="D260">
        <v>150</v>
      </c>
      <c r="E260">
        <v>126</v>
      </c>
      <c r="F260">
        <v>1</v>
      </c>
      <c r="G260">
        <v>1</v>
      </c>
      <c r="H260">
        <v>173</v>
      </c>
      <c r="I260">
        <v>0</v>
      </c>
      <c r="J260">
        <v>0.2</v>
      </c>
      <c r="K260">
        <v>2</v>
      </c>
      <c r="L260">
        <v>1</v>
      </c>
      <c r="M260">
        <v>3</v>
      </c>
      <c r="N260">
        <v>1</v>
      </c>
      <c r="O260" t="str">
        <f>IF(Table1[[#This Row],[sex]]=1,"Male","Female")</f>
        <v>Male</v>
      </c>
      <c r="P260" t="str">
        <f>IF(Table1[[#This Row],[cp]]=0,"Typical Angina",IF(Table1[[#This Row],[cp]]=1,"Atypical Angina",IF(Table1[[#This Row],[cp]]=2,"Non-Anginal Pain","Asymptomatic")))</f>
        <v>Non-Anginal Pain</v>
      </c>
      <c r="Q260">
        <f>IF(Table1[[#This Row],[trestbps]]&gt;=130, 1, 0)</f>
        <v>1</v>
      </c>
      <c r="R260">
        <f>IF(AND(Table1[[#This Row],[target]]=1,OR(Table1[[#This Row],[cp]]=0,Table1[[#This Row],[cp]]=1,Table1[[#This Row],[cp]]=2,Table1[[#This Row],[cp]])),1,0)</f>
        <v>1</v>
      </c>
      <c r="S260">
        <f>IF(AND(Table1[[#This Row],[Chest Pain + Target]]=1,Table1[[#This Row],[trestbps]]&gt;=130),1,0)</f>
        <v>1</v>
      </c>
      <c r="T260">
        <f>IF(AND(Table1[[#This Row],[Add BP]]=1,Table1[[#This Row],[chol]]&gt;=200),1,0)</f>
        <v>0</v>
      </c>
      <c r="U260">
        <f>IF(AND(Table1[[#This Row],[Add Cholestrol]]=1,Table1[[#This Row],[slope]]&gt;=2),1,0)</f>
        <v>0</v>
      </c>
      <c r="V260">
        <f>COUNTIFS(Table1[target],1)</f>
        <v>165</v>
      </c>
    </row>
    <row r="261" spans="1:22" x14ac:dyDescent="0.25">
      <c r="A261">
        <v>42</v>
      </c>
      <c r="B261">
        <v>0</v>
      </c>
      <c r="C261">
        <v>2</v>
      </c>
      <c r="D261">
        <v>120</v>
      </c>
      <c r="E261">
        <v>209</v>
      </c>
      <c r="F261">
        <v>0</v>
      </c>
      <c r="G261">
        <v>1</v>
      </c>
      <c r="H261">
        <v>173</v>
      </c>
      <c r="I261">
        <v>0</v>
      </c>
      <c r="J261">
        <v>0</v>
      </c>
      <c r="K261">
        <v>1</v>
      </c>
      <c r="L261">
        <v>0</v>
      </c>
      <c r="M261">
        <v>2</v>
      </c>
      <c r="N261">
        <v>1</v>
      </c>
      <c r="O261" t="str">
        <f>IF(Table1[[#This Row],[sex]]=1,"Male","Female")</f>
        <v>Female</v>
      </c>
      <c r="P261" t="str">
        <f>IF(Table1[[#This Row],[cp]]=0,"Typical Angina",IF(Table1[[#This Row],[cp]]=1,"Atypical Angina",IF(Table1[[#This Row],[cp]]=2,"Non-Anginal Pain","Asymptomatic")))</f>
        <v>Non-Anginal Pain</v>
      </c>
      <c r="Q261">
        <f>IF(Table1[[#This Row],[trestbps]]&gt;=130, 1, 0)</f>
        <v>0</v>
      </c>
      <c r="R261">
        <f>IF(AND(Table1[[#This Row],[target]]=1,OR(Table1[[#This Row],[cp]]=0,Table1[[#This Row],[cp]]=1,Table1[[#This Row],[cp]]=2,Table1[[#This Row],[cp]])),1,0)</f>
        <v>1</v>
      </c>
      <c r="S261">
        <f>IF(AND(Table1[[#This Row],[Chest Pain + Target]]=1,Table1[[#This Row],[trestbps]]&gt;=130),1,0)</f>
        <v>0</v>
      </c>
      <c r="T261">
        <f>IF(AND(Table1[[#This Row],[Add BP]]=1,Table1[[#This Row],[chol]]&gt;=200),1,0)</f>
        <v>0</v>
      </c>
      <c r="U261">
        <f>IF(AND(Table1[[#This Row],[Add Cholestrol]]=1,Table1[[#This Row],[slope]]&gt;=2),1,0)</f>
        <v>0</v>
      </c>
      <c r="V261">
        <f>COUNTIFS(Table1[target],1)</f>
        <v>165</v>
      </c>
    </row>
    <row r="262" spans="1:22" x14ac:dyDescent="0.25">
      <c r="A262">
        <v>38</v>
      </c>
      <c r="B262">
        <v>1</v>
      </c>
      <c r="C262">
        <v>2</v>
      </c>
      <c r="D262">
        <v>138</v>
      </c>
      <c r="E262">
        <v>175</v>
      </c>
      <c r="F262">
        <v>0</v>
      </c>
      <c r="G262">
        <v>1</v>
      </c>
      <c r="H262">
        <v>173</v>
      </c>
      <c r="I262">
        <v>0</v>
      </c>
      <c r="J262">
        <v>0</v>
      </c>
      <c r="K262">
        <v>2</v>
      </c>
      <c r="L262">
        <v>4</v>
      </c>
      <c r="M262">
        <v>2</v>
      </c>
      <c r="N262">
        <v>1</v>
      </c>
      <c r="O262" t="str">
        <f>IF(Table1[[#This Row],[sex]]=1,"Male","Female")</f>
        <v>Male</v>
      </c>
      <c r="P262" t="str">
        <f>IF(Table1[[#This Row],[cp]]=0,"Typical Angina",IF(Table1[[#This Row],[cp]]=1,"Atypical Angina",IF(Table1[[#This Row],[cp]]=2,"Non-Anginal Pain","Asymptomatic")))</f>
        <v>Non-Anginal Pain</v>
      </c>
      <c r="Q262">
        <f>IF(Table1[[#This Row],[trestbps]]&gt;=130, 1, 0)</f>
        <v>1</v>
      </c>
      <c r="R262">
        <f>IF(AND(Table1[[#This Row],[target]]=1,OR(Table1[[#This Row],[cp]]=0,Table1[[#This Row],[cp]]=1,Table1[[#This Row],[cp]]=2,Table1[[#This Row],[cp]])),1,0)</f>
        <v>1</v>
      </c>
      <c r="S262">
        <f>IF(AND(Table1[[#This Row],[Chest Pain + Target]]=1,Table1[[#This Row],[trestbps]]&gt;=130),1,0)</f>
        <v>1</v>
      </c>
      <c r="T262">
        <f>IF(AND(Table1[[#This Row],[Add BP]]=1,Table1[[#This Row],[chol]]&gt;=200),1,0)</f>
        <v>0</v>
      </c>
      <c r="U262">
        <f>IF(AND(Table1[[#This Row],[Add Cholestrol]]=1,Table1[[#This Row],[slope]]&gt;=2),1,0)</f>
        <v>0</v>
      </c>
      <c r="V262">
        <f>COUNTIFS(Table1[target],1)</f>
        <v>165</v>
      </c>
    </row>
    <row r="263" spans="1:22" x14ac:dyDescent="0.25">
      <c r="A263">
        <v>38</v>
      </c>
      <c r="B263">
        <v>1</v>
      </c>
      <c r="C263">
        <v>2</v>
      </c>
      <c r="D263">
        <v>138</v>
      </c>
      <c r="E263">
        <v>175</v>
      </c>
      <c r="F263">
        <v>0</v>
      </c>
      <c r="G263">
        <v>1</v>
      </c>
      <c r="H263">
        <v>173</v>
      </c>
      <c r="I263">
        <v>0</v>
      </c>
      <c r="J263">
        <v>0</v>
      </c>
      <c r="K263">
        <v>2</v>
      </c>
      <c r="L263">
        <v>4</v>
      </c>
      <c r="M263">
        <v>2</v>
      </c>
      <c r="N263">
        <v>1</v>
      </c>
      <c r="O263" t="str">
        <f>IF(Table1[[#This Row],[sex]]=1,"Male","Female")</f>
        <v>Male</v>
      </c>
      <c r="P263" t="str">
        <f>IF(Table1[[#This Row],[cp]]=0,"Typical Angina",IF(Table1[[#This Row],[cp]]=1,"Atypical Angina",IF(Table1[[#This Row],[cp]]=2,"Non-Anginal Pain","Asymptomatic")))</f>
        <v>Non-Anginal Pain</v>
      </c>
      <c r="Q263">
        <f>IF(Table1[[#This Row],[trestbps]]&gt;=130, 1, 0)</f>
        <v>1</v>
      </c>
      <c r="R263">
        <f>IF(AND(Table1[[#This Row],[target]]=1,OR(Table1[[#This Row],[cp]]=0,Table1[[#This Row],[cp]]=1,Table1[[#This Row],[cp]]=2,Table1[[#This Row],[cp]])),1,0)</f>
        <v>1</v>
      </c>
      <c r="S263">
        <f>IF(AND(Table1[[#This Row],[Chest Pain + Target]]=1,Table1[[#This Row],[trestbps]]&gt;=130),1,0)</f>
        <v>1</v>
      </c>
      <c r="T263">
        <f>IF(AND(Table1[[#This Row],[Add BP]]=1,Table1[[#This Row],[chol]]&gt;=200),1,0)</f>
        <v>0</v>
      </c>
      <c r="U263">
        <f>IF(AND(Table1[[#This Row],[Add Cholestrol]]=1,Table1[[#This Row],[slope]]&gt;=2),1,0)</f>
        <v>0</v>
      </c>
      <c r="V263">
        <f>COUNTIFS(Table1[target],1)</f>
        <v>165</v>
      </c>
    </row>
    <row r="264" spans="1:22" x14ac:dyDescent="0.25">
      <c r="A264">
        <v>58</v>
      </c>
      <c r="B264">
        <v>1</v>
      </c>
      <c r="C264">
        <v>2</v>
      </c>
      <c r="D264">
        <v>132</v>
      </c>
      <c r="E264">
        <v>224</v>
      </c>
      <c r="F264">
        <v>0</v>
      </c>
      <c r="G264">
        <v>0</v>
      </c>
      <c r="H264">
        <v>173</v>
      </c>
      <c r="I264">
        <v>0</v>
      </c>
      <c r="J264">
        <v>3.2</v>
      </c>
      <c r="K264">
        <v>2</v>
      </c>
      <c r="L264">
        <v>2</v>
      </c>
      <c r="M264">
        <v>3</v>
      </c>
      <c r="N264">
        <v>0</v>
      </c>
      <c r="O264" t="str">
        <f>IF(Table1[[#This Row],[sex]]=1,"Male","Female")</f>
        <v>Male</v>
      </c>
      <c r="P264" t="str">
        <f>IF(Table1[[#This Row],[cp]]=0,"Typical Angina",IF(Table1[[#This Row],[cp]]=1,"Atypical Angina",IF(Table1[[#This Row],[cp]]=2,"Non-Anginal Pain","Asymptomatic")))</f>
        <v>Non-Anginal Pain</v>
      </c>
      <c r="Q264">
        <f>IF(Table1[[#This Row],[trestbps]]&gt;=130, 1, 0)</f>
        <v>1</v>
      </c>
      <c r="R264">
        <f>IF(AND(Table1[[#This Row],[target]]=1,OR(Table1[[#This Row],[cp]]=0,Table1[[#This Row],[cp]]=1,Table1[[#This Row],[cp]]=2,Table1[[#This Row],[cp]])),1,0)</f>
        <v>0</v>
      </c>
      <c r="S264">
        <f>IF(AND(Table1[[#This Row],[Chest Pain + Target]]=1,Table1[[#This Row],[trestbps]]&gt;=130),1,0)</f>
        <v>0</v>
      </c>
      <c r="T264">
        <f>IF(AND(Table1[[#This Row],[Add BP]]=1,Table1[[#This Row],[chol]]&gt;=200),1,0)</f>
        <v>0</v>
      </c>
      <c r="U264">
        <f>IF(AND(Table1[[#This Row],[Add Cholestrol]]=1,Table1[[#This Row],[slope]]&gt;=2),1,0)</f>
        <v>0</v>
      </c>
      <c r="V264">
        <f>COUNTIFS(Table1[target],1)</f>
        <v>165</v>
      </c>
    </row>
    <row r="265" spans="1:22" x14ac:dyDescent="0.25">
      <c r="A265">
        <v>51</v>
      </c>
      <c r="B265">
        <v>1</v>
      </c>
      <c r="C265">
        <v>0</v>
      </c>
      <c r="D265">
        <v>140</v>
      </c>
      <c r="E265">
        <v>299</v>
      </c>
      <c r="F265">
        <v>0</v>
      </c>
      <c r="G265">
        <v>1</v>
      </c>
      <c r="H265">
        <v>173</v>
      </c>
      <c r="I265">
        <v>1</v>
      </c>
      <c r="J265">
        <v>1.6</v>
      </c>
      <c r="K265">
        <v>2</v>
      </c>
      <c r="L265">
        <v>0</v>
      </c>
      <c r="M265">
        <v>3</v>
      </c>
      <c r="N265">
        <v>0</v>
      </c>
      <c r="O265" t="str">
        <f>IF(Table1[[#This Row],[sex]]=1,"Male","Female")</f>
        <v>Male</v>
      </c>
      <c r="P265" t="str">
        <f>IF(Table1[[#This Row],[cp]]=0,"Typical Angina",IF(Table1[[#This Row],[cp]]=1,"Atypical Angina",IF(Table1[[#This Row],[cp]]=2,"Non-Anginal Pain","Asymptomatic")))</f>
        <v>Typical Angina</v>
      </c>
      <c r="Q265">
        <f>IF(Table1[[#This Row],[trestbps]]&gt;=130, 1, 0)</f>
        <v>1</v>
      </c>
      <c r="R265">
        <f>IF(AND(Table1[[#This Row],[target]]=1,OR(Table1[[#This Row],[cp]]=0,Table1[[#This Row],[cp]]=1,Table1[[#This Row],[cp]]=2,Table1[[#This Row],[cp]])),1,0)</f>
        <v>0</v>
      </c>
      <c r="S265">
        <f>IF(AND(Table1[[#This Row],[Chest Pain + Target]]=1,Table1[[#This Row],[trestbps]]&gt;=130),1,0)</f>
        <v>0</v>
      </c>
      <c r="T265">
        <f>IF(AND(Table1[[#This Row],[Add BP]]=1,Table1[[#This Row],[chol]]&gt;=200),1,0)</f>
        <v>0</v>
      </c>
      <c r="U265">
        <f>IF(AND(Table1[[#This Row],[Add Cholestrol]]=1,Table1[[#This Row],[slope]]&gt;=2),1,0)</f>
        <v>0</v>
      </c>
      <c r="V265">
        <f>COUNTIFS(Table1[target],1)</f>
        <v>165</v>
      </c>
    </row>
    <row r="266" spans="1:22" x14ac:dyDescent="0.25">
      <c r="A266">
        <v>57</v>
      </c>
      <c r="B266">
        <v>1</v>
      </c>
      <c r="C266">
        <v>2</v>
      </c>
      <c r="D266">
        <v>150</v>
      </c>
      <c r="E266">
        <v>168</v>
      </c>
      <c r="F266">
        <v>0</v>
      </c>
      <c r="G266">
        <v>1</v>
      </c>
      <c r="H266">
        <v>174</v>
      </c>
      <c r="I266">
        <v>0</v>
      </c>
      <c r="J266">
        <v>1.6</v>
      </c>
      <c r="K266">
        <v>2</v>
      </c>
      <c r="L266">
        <v>0</v>
      </c>
      <c r="M266">
        <v>2</v>
      </c>
      <c r="N266">
        <v>1</v>
      </c>
      <c r="O266" t="str">
        <f>IF(Table1[[#This Row],[sex]]=1,"Male","Female")</f>
        <v>Male</v>
      </c>
      <c r="P266" t="str">
        <f>IF(Table1[[#This Row],[cp]]=0,"Typical Angina",IF(Table1[[#This Row],[cp]]=1,"Atypical Angina",IF(Table1[[#This Row],[cp]]=2,"Non-Anginal Pain","Asymptomatic")))</f>
        <v>Non-Anginal Pain</v>
      </c>
      <c r="Q266">
        <f>IF(Table1[[#This Row],[trestbps]]&gt;=130, 1, 0)</f>
        <v>1</v>
      </c>
      <c r="R266">
        <f>IF(AND(Table1[[#This Row],[target]]=1,OR(Table1[[#This Row],[cp]]=0,Table1[[#This Row],[cp]]=1,Table1[[#This Row],[cp]]=2,Table1[[#This Row],[cp]])),1,0)</f>
        <v>1</v>
      </c>
      <c r="S266">
        <f>IF(AND(Table1[[#This Row],[Chest Pain + Target]]=1,Table1[[#This Row],[trestbps]]&gt;=130),1,0)</f>
        <v>1</v>
      </c>
      <c r="T266">
        <f>IF(AND(Table1[[#This Row],[Add BP]]=1,Table1[[#This Row],[chol]]&gt;=200),1,0)</f>
        <v>0</v>
      </c>
      <c r="U266">
        <f>IF(AND(Table1[[#This Row],[Add Cholestrol]]=1,Table1[[#This Row],[slope]]&gt;=2),1,0)</f>
        <v>0</v>
      </c>
      <c r="V266">
        <f>COUNTIFS(Table1[target],1)</f>
        <v>165</v>
      </c>
    </row>
    <row r="267" spans="1:22" x14ac:dyDescent="0.25">
      <c r="A267">
        <v>34</v>
      </c>
      <c r="B267">
        <v>1</v>
      </c>
      <c r="C267">
        <v>3</v>
      </c>
      <c r="D267">
        <v>118</v>
      </c>
      <c r="E267">
        <v>182</v>
      </c>
      <c r="F267">
        <v>0</v>
      </c>
      <c r="G267">
        <v>0</v>
      </c>
      <c r="H267">
        <v>174</v>
      </c>
      <c r="I267">
        <v>0</v>
      </c>
      <c r="J267">
        <v>0</v>
      </c>
      <c r="K267">
        <v>2</v>
      </c>
      <c r="L267">
        <v>0</v>
      </c>
      <c r="M267">
        <v>2</v>
      </c>
      <c r="N267">
        <v>1</v>
      </c>
      <c r="O267" t="str">
        <f>IF(Table1[[#This Row],[sex]]=1,"Male","Female")</f>
        <v>Male</v>
      </c>
      <c r="P267" t="str">
        <f>IF(Table1[[#This Row],[cp]]=0,"Typical Angina",IF(Table1[[#This Row],[cp]]=1,"Atypical Angina",IF(Table1[[#This Row],[cp]]=2,"Non-Anginal Pain","Asymptomatic")))</f>
        <v>Asymptomatic</v>
      </c>
      <c r="Q267">
        <f>IF(Table1[[#This Row],[trestbps]]&gt;=130, 1, 0)</f>
        <v>0</v>
      </c>
      <c r="R267">
        <f>IF(AND(Table1[[#This Row],[target]]=1,OR(Table1[[#This Row],[cp]]=0,Table1[[#This Row],[cp]]=1,Table1[[#This Row],[cp]]=2,Table1[[#This Row],[cp]])),1,0)</f>
        <v>1</v>
      </c>
      <c r="S267">
        <f>IF(AND(Table1[[#This Row],[Chest Pain + Target]]=1,Table1[[#This Row],[trestbps]]&gt;=130),1,0)</f>
        <v>0</v>
      </c>
      <c r="T267">
        <f>IF(AND(Table1[[#This Row],[Add BP]]=1,Table1[[#This Row],[chol]]&gt;=200),1,0)</f>
        <v>0</v>
      </c>
      <c r="U267">
        <f>IF(AND(Table1[[#This Row],[Add Cholestrol]]=1,Table1[[#This Row],[slope]]&gt;=2),1,0)</f>
        <v>0</v>
      </c>
      <c r="V267">
        <f>COUNTIFS(Table1[target],1)</f>
        <v>165</v>
      </c>
    </row>
    <row r="268" spans="1:22" x14ac:dyDescent="0.25">
      <c r="A268">
        <v>35</v>
      </c>
      <c r="B268">
        <v>1</v>
      </c>
      <c r="C268">
        <v>1</v>
      </c>
      <c r="D268">
        <v>122</v>
      </c>
      <c r="E268">
        <v>192</v>
      </c>
      <c r="F268">
        <v>0</v>
      </c>
      <c r="G268">
        <v>1</v>
      </c>
      <c r="H268">
        <v>174</v>
      </c>
      <c r="I268">
        <v>0</v>
      </c>
      <c r="J268">
        <v>0</v>
      </c>
      <c r="K268">
        <v>2</v>
      </c>
      <c r="L268">
        <v>0</v>
      </c>
      <c r="M268">
        <v>2</v>
      </c>
      <c r="N268">
        <v>1</v>
      </c>
      <c r="O268" t="str">
        <f>IF(Table1[[#This Row],[sex]]=1,"Male","Female")</f>
        <v>Male</v>
      </c>
      <c r="P268" t="str">
        <f>IF(Table1[[#This Row],[cp]]=0,"Typical Angina",IF(Table1[[#This Row],[cp]]=1,"Atypical Angina",IF(Table1[[#This Row],[cp]]=2,"Non-Anginal Pain","Asymptomatic")))</f>
        <v>Atypical Angina</v>
      </c>
      <c r="Q268">
        <f>IF(Table1[[#This Row],[trestbps]]&gt;=130, 1, 0)</f>
        <v>0</v>
      </c>
      <c r="R268">
        <f>IF(AND(Table1[[#This Row],[target]]=1,OR(Table1[[#This Row],[cp]]=0,Table1[[#This Row],[cp]]=1,Table1[[#This Row],[cp]]=2,Table1[[#This Row],[cp]])),1,0)</f>
        <v>1</v>
      </c>
      <c r="S268">
        <f>IF(AND(Table1[[#This Row],[Chest Pain + Target]]=1,Table1[[#This Row],[trestbps]]&gt;=130),1,0)</f>
        <v>0</v>
      </c>
      <c r="T268">
        <f>IF(AND(Table1[[#This Row],[Add BP]]=1,Table1[[#This Row],[chol]]&gt;=200),1,0)</f>
        <v>0</v>
      </c>
      <c r="U268">
        <f>IF(AND(Table1[[#This Row],[Add Cholestrol]]=1,Table1[[#This Row],[slope]]&gt;=2),1,0)</f>
        <v>0</v>
      </c>
      <c r="V268">
        <f>COUNTIFS(Table1[target],1)</f>
        <v>165</v>
      </c>
    </row>
    <row r="269" spans="1:22" x14ac:dyDescent="0.25">
      <c r="A269">
        <v>65</v>
      </c>
      <c r="B269">
        <v>1</v>
      </c>
      <c r="C269">
        <v>3</v>
      </c>
      <c r="D269">
        <v>138</v>
      </c>
      <c r="E269">
        <v>282</v>
      </c>
      <c r="F269">
        <v>1</v>
      </c>
      <c r="G269">
        <v>0</v>
      </c>
      <c r="H269">
        <v>174</v>
      </c>
      <c r="I269">
        <v>0</v>
      </c>
      <c r="J269">
        <v>1.4</v>
      </c>
      <c r="K269">
        <v>1</v>
      </c>
      <c r="L269">
        <v>1</v>
      </c>
      <c r="M269">
        <v>2</v>
      </c>
      <c r="N269">
        <v>0</v>
      </c>
      <c r="O269" t="str">
        <f>IF(Table1[[#This Row],[sex]]=1,"Male","Female")</f>
        <v>Male</v>
      </c>
      <c r="P269" t="str">
        <f>IF(Table1[[#This Row],[cp]]=0,"Typical Angina",IF(Table1[[#This Row],[cp]]=1,"Atypical Angina",IF(Table1[[#This Row],[cp]]=2,"Non-Anginal Pain","Asymptomatic")))</f>
        <v>Asymptomatic</v>
      </c>
      <c r="Q269">
        <f>IF(Table1[[#This Row],[trestbps]]&gt;=130, 1, 0)</f>
        <v>1</v>
      </c>
      <c r="R269">
        <f>IF(AND(Table1[[#This Row],[target]]=1,OR(Table1[[#This Row],[cp]]=0,Table1[[#This Row],[cp]]=1,Table1[[#This Row],[cp]]=2,Table1[[#This Row],[cp]])),1,0)</f>
        <v>0</v>
      </c>
      <c r="S269">
        <f>IF(AND(Table1[[#This Row],[Chest Pain + Target]]=1,Table1[[#This Row],[trestbps]]&gt;=130),1,0)</f>
        <v>0</v>
      </c>
      <c r="T269">
        <f>IF(AND(Table1[[#This Row],[Add BP]]=1,Table1[[#This Row],[chol]]&gt;=200),1,0)</f>
        <v>0</v>
      </c>
      <c r="U269">
        <f>IF(AND(Table1[[#This Row],[Add Cholestrol]]=1,Table1[[#This Row],[slope]]&gt;=2),1,0)</f>
        <v>0</v>
      </c>
      <c r="V269">
        <f>COUNTIFS(Table1[target],1)</f>
        <v>165</v>
      </c>
    </row>
    <row r="270" spans="1:22" x14ac:dyDescent="0.25">
      <c r="A270">
        <v>57</v>
      </c>
      <c r="B270">
        <v>0</v>
      </c>
      <c r="C270">
        <v>1</v>
      </c>
      <c r="D270">
        <v>130</v>
      </c>
      <c r="E270">
        <v>236</v>
      </c>
      <c r="F270">
        <v>0</v>
      </c>
      <c r="G270">
        <v>0</v>
      </c>
      <c r="H270">
        <v>174</v>
      </c>
      <c r="I270">
        <v>0</v>
      </c>
      <c r="J270">
        <v>0</v>
      </c>
      <c r="K270">
        <v>1</v>
      </c>
      <c r="L270">
        <v>1</v>
      </c>
      <c r="M270">
        <v>2</v>
      </c>
      <c r="N270">
        <v>0</v>
      </c>
      <c r="O270" t="str">
        <f>IF(Table1[[#This Row],[sex]]=1,"Male","Female")</f>
        <v>Female</v>
      </c>
      <c r="P270" t="str">
        <f>IF(Table1[[#This Row],[cp]]=0,"Typical Angina",IF(Table1[[#This Row],[cp]]=1,"Atypical Angina",IF(Table1[[#This Row],[cp]]=2,"Non-Anginal Pain","Asymptomatic")))</f>
        <v>Atypical Angina</v>
      </c>
      <c r="Q270">
        <f>IF(Table1[[#This Row],[trestbps]]&gt;=130, 1, 0)</f>
        <v>1</v>
      </c>
      <c r="R270">
        <f>IF(AND(Table1[[#This Row],[target]]=1,OR(Table1[[#This Row],[cp]]=0,Table1[[#This Row],[cp]]=1,Table1[[#This Row],[cp]]=2,Table1[[#This Row],[cp]])),1,0)</f>
        <v>0</v>
      </c>
      <c r="S270">
        <f>IF(AND(Table1[[#This Row],[Chest Pain + Target]]=1,Table1[[#This Row],[trestbps]]&gt;=130),1,0)</f>
        <v>0</v>
      </c>
      <c r="T270">
        <f>IF(AND(Table1[[#This Row],[Add BP]]=1,Table1[[#This Row],[chol]]&gt;=200),1,0)</f>
        <v>0</v>
      </c>
      <c r="U270">
        <f>IF(AND(Table1[[#This Row],[Add Cholestrol]]=1,Table1[[#This Row],[slope]]&gt;=2),1,0)</f>
        <v>0</v>
      </c>
      <c r="V270">
        <f>COUNTIFS(Table1[target],1)</f>
        <v>165</v>
      </c>
    </row>
    <row r="271" spans="1:22" x14ac:dyDescent="0.25">
      <c r="A271">
        <v>44</v>
      </c>
      <c r="B271">
        <v>0</v>
      </c>
      <c r="C271">
        <v>2</v>
      </c>
      <c r="D271">
        <v>108</v>
      </c>
      <c r="E271">
        <v>141</v>
      </c>
      <c r="F271">
        <v>0</v>
      </c>
      <c r="G271">
        <v>1</v>
      </c>
      <c r="H271">
        <v>175</v>
      </c>
      <c r="I271">
        <v>0</v>
      </c>
      <c r="J271">
        <v>0.6</v>
      </c>
      <c r="K271">
        <v>1</v>
      </c>
      <c r="L271">
        <v>0</v>
      </c>
      <c r="M271">
        <v>2</v>
      </c>
      <c r="N271">
        <v>1</v>
      </c>
      <c r="O271" t="str">
        <f>IF(Table1[[#This Row],[sex]]=1,"Male","Female")</f>
        <v>Female</v>
      </c>
      <c r="P271" t="str">
        <f>IF(Table1[[#This Row],[cp]]=0,"Typical Angina",IF(Table1[[#This Row],[cp]]=1,"Atypical Angina",IF(Table1[[#This Row],[cp]]=2,"Non-Anginal Pain","Asymptomatic")))</f>
        <v>Non-Anginal Pain</v>
      </c>
      <c r="Q271">
        <f>IF(Table1[[#This Row],[trestbps]]&gt;=130, 1, 0)</f>
        <v>0</v>
      </c>
      <c r="R271">
        <f>IF(AND(Table1[[#This Row],[target]]=1,OR(Table1[[#This Row],[cp]]=0,Table1[[#This Row],[cp]]=1,Table1[[#This Row],[cp]]=2,Table1[[#This Row],[cp]])),1,0)</f>
        <v>1</v>
      </c>
      <c r="S271">
        <f>IF(AND(Table1[[#This Row],[Chest Pain + Target]]=1,Table1[[#This Row],[trestbps]]&gt;=130),1,0)</f>
        <v>0</v>
      </c>
      <c r="T271">
        <f>IF(AND(Table1[[#This Row],[Add BP]]=1,Table1[[#This Row],[chol]]&gt;=200),1,0)</f>
        <v>0</v>
      </c>
      <c r="U271">
        <f>IF(AND(Table1[[#This Row],[Add Cholestrol]]=1,Table1[[#This Row],[slope]]&gt;=2),1,0)</f>
        <v>0</v>
      </c>
      <c r="V271">
        <f>COUNTIFS(Table1[target],1)</f>
        <v>165</v>
      </c>
    </row>
    <row r="272" spans="1:22" x14ac:dyDescent="0.25">
      <c r="A272">
        <v>45</v>
      </c>
      <c r="B272">
        <v>0</v>
      </c>
      <c r="C272">
        <v>1</v>
      </c>
      <c r="D272">
        <v>130</v>
      </c>
      <c r="E272">
        <v>234</v>
      </c>
      <c r="F272">
        <v>0</v>
      </c>
      <c r="G272">
        <v>0</v>
      </c>
      <c r="H272">
        <v>175</v>
      </c>
      <c r="I272">
        <v>0</v>
      </c>
      <c r="J272">
        <v>0.6</v>
      </c>
      <c r="K272">
        <v>1</v>
      </c>
      <c r="L272">
        <v>0</v>
      </c>
      <c r="M272">
        <v>2</v>
      </c>
      <c r="N272">
        <v>1</v>
      </c>
      <c r="O272" t="str">
        <f>IF(Table1[[#This Row],[sex]]=1,"Male","Female")</f>
        <v>Female</v>
      </c>
      <c r="P272" t="str">
        <f>IF(Table1[[#This Row],[cp]]=0,"Typical Angina",IF(Table1[[#This Row],[cp]]=1,"Atypical Angina",IF(Table1[[#This Row],[cp]]=2,"Non-Anginal Pain","Asymptomatic")))</f>
        <v>Atypical Angina</v>
      </c>
      <c r="Q272">
        <f>IF(Table1[[#This Row],[trestbps]]&gt;=130, 1, 0)</f>
        <v>1</v>
      </c>
      <c r="R272">
        <f>IF(AND(Table1[[#This Row],[target]]=1,OR(Table1[[#This Row],[cp]]=0,Table1[[#This Row],[cp]]=1,Table1[[#This Row],[cp]]=2,Table1[[#This Row],[cp]])),1,0)</f>
        <v>1</v>
      </c>
      <c r="S272">
        <f>IF(AND(Table1[[#This Row],[Chest Pain + Target]]=1,Table1[[#This Row],[trestbps]]&gt;=130),1,0)</f>
        <v>1</v>
      </c>
      <c r="T272">
        <f>IF(AND(Table1[[#This Row],[Add BP]]=1,Table1[[#This Row],[chol]]&gt;=200),1,0)</f>
        <v>1</v>
      </c>
      <c r="U272">
        <f>IF(AND(Table1[[#This Row],[Add Cholestrol]]=1,Table1[[#This Row],[slope]]&gt;=2),1,0)</f>
        <v>0</v>
      </c>
      <c r="V272">
        <f>COUNTIFS(Table1[target],1)</f>
        <v>165</v>
      </c>
    </row>
    <row r="273" spans="1:22" x14ac:dyDescent="0.25">
      <c r="A273">
        <v>48</v>
      </c>
      <c r="B273">
        <v>1</v>
      </c>
      <c r="C273">
        <v>2</v>
      </c>
      <c r="D273">
        <v>124</v>
      </c>
      <c r="E273">
        <v>255</v>
      </c>
      <c r="F273">
        <v>1</v>
      </c>
      <c r="G273">
        <v>1</v>
      </c>
      <c r="H273">
        <v>175</v>
      </c>
      <c r="I273">
        <v>0</v>
      </c>
      <c r="J273">
        <v>0</v>
      </c>
      <c r="K273">
        <v>2</v>
      </c>
      <c r="L273">
        <v>2</v>
      </c>
      <c r="M273">
        <v>2</v>
      </c>
      <c r="N273">
        <v>1</v>
      </c>
      <c r="O273" t="str">
        <f>IF(Table1[[#This Row],[sex]]=1,"Male","Female")</f>
        <v>Male</v>
      </c>
      <c r="P273" t="str">
        <f>IF(Table1[[#This Row],[cp]]=0,"Typical Angina",IF(Table1[[#This Row],[cp]]=1,"Atypical Angina",IF(Table1[[#This Row],[cp]]=2,"Non-Anginal Pain","Asymptomatic")))</f>
        <v>Non-Anginal Pain</v>
      </c>
      <c r="Q273">
        <f>IF(Table1[[#This Row],[trestbps]]&gt;=130, 1, 0)</f>
        <v>0</v>
      </c>
      <c r="R273">
        <f>IF(AND(Table1[[#This Row],[target]]=1,OR(Table1[[#This Row],[cp]]=0,Table1[[#This Row],[cp]]=1,Table1[[#This Row],[cp]]=2,Table1[[#This Row],[cp]])),1,0)</f>
        <v>1</v>
      </c>
      <c r="S273">
        <f>IF(AND(Table1[[#This Row],[Chest Pain + Target]]=1,Table1[[#This Row],[trestbps]]&gt;=130),1,0)</f>
        <v>0</v>
      </c>
      <c r="T273">
        <f>IF(AND(Table1[[#This Row],[Add BP]]=1,Table1[[#This Row],[chol]]&gt;=200),1,0)</f>
        <v>0</v>
      </c>
      <c r="U273">
        <f>IF(AND(Table1[[#This Row],[Add Cholestrol]]=1,Table1[[#This Row],[slope]]&gt;=2),1,0)</f>
        <v>0</v>
      </c>
      <c r="V273">
        <f>COUNTIFS(Table1[target],1)</f>
        <v>165</v>
      </c>
    </row>
    <row r="274" spans="1:22" x14ac:dyDescent="0.25">
      <c r="A274">
        <v>44</v>
      </c>
      <c r="B274">
        <v>1</v>
      </c>
      <c r="C274">
        <v>0</v>
      </c>
      <c r="D274">
        <v>110</v>
      </c>
      <c r="E274">
        <v>197</v>
      </c>
      <c r="F274">
        <v>0</v>
      </c>
      <c r="G274">
        <v>0</v>
      </c>
      <c r="H274">
        <v>177</v>
      </c>
      <c r="I274">
        <v>0</v>
      </c>
      <c r="J274">
        <v>0</v>
      </c>
      <c r="K274">
        <v>2</v>
      </c>
      <c r="L274">
        <v>1</v>
      </c>
      <c r="M274">
        <v>2</v>
      </c>
      <c r="N274">
        <v>0</v>
      </c>
      <c r="O274" t="str">
        <f>IF(Table1[[#This Row],[sex]]=1,"Male","Female")</f>
        <v>Male</v>
      </c>
      <c r="P274" t="str">
        <f>IF(Table1[[#This Row],[cp]]=0,"Typical Angina",IF(Table1[[#This Row],[cp]]=1,"Atypical Angina",IF(Table1[[#This Row],[cp]]=2,"Non-Anginal Pain","Asymptomatic")))</f>
        <v>Typical Angina</v>
      </c>
      <c r="Q274">
        <f>IF(Table1[[#This Row],[trestbps]]&gt;=130, 1, 0)</f>
        <v>0</v>
      </c>
      <c r="R274">
        <f>IF(AND(Table1[[#This Row],[target]]=1,OR(Table1[[#This Row],[cp]]=0,Table1[[#This Row],[cp]]=1,Table1[[#This Row],[cp]]=2,Table1[[#This Row],[cp]])),1,0)</f>
        <v>0</v>
      </c>
      <c r="S274">
        <f>IF(AND(Table1[[#This Row],[Chest Pain + Target]]=1,Table1[[#This Row],[trestbps]]&gt;=130),1,0)</f>
        <v>0</v>
      </c>
      <c r="T274">
        <f>IF(AND(Table1[[#This Row],[Add BP]]=1,Table1[[#This Row],[chol]]&gt;=200),1,0)</f>
        <v>0</v>
      </c>
      <c r="U274">
        <f>IF(AND(Table1[[#This Row],[Add Cholestrol]]=1,Table1[[#This Row],[slope]]&gt;=2),1,0)</f>
        <v>0</v>
      </c>
      <c r="V274">
        <f>COUNTIFS(Table1[target],1)</f>
        <v>165</v>
      </c>
    </row>
    <row r="275" spans="1:22" x14ac:dyDescent="0.25">
      <c r="A275">
        <v>56</v>
      </c>
      <c r="B275">
        <v>1</v>
      </c>
      <c r="C275">
        <v>1</v>
      </c>
      <c r="D275">
        <v>120</v>
      </c>
      <c r="E275">
        <v>236</v>
      </c>
      <c r="F275">
        <v>0</v>
      </c>
      <c r="G275">
        <v>1</v>
      </c>
      <c r="H275">
        <v>178</v>
      </c>
      <c r="I275">
        <v>0</v>
      </c>
      <c r="J275">
        <v>0.8</v>
      </c>
      <c r="K275">
        <v>2</v>
      </c>
      <c r="L275">
        <v>0</v>
      </c>
      <c r="M275">
        <v>2</v>
      </c>
      <c r="N275">
        <v>1</v>
      </c>
      <c r="O275" t="str">
        <f>IF(Table1[[#This Row],[sex]]=1,"Male","Female")</f>
        <v>Male</v>
      </c>
      <c r="P275" t="str">
        <f>IF(Table1[[#This Row],[cp]]=0,"Typical Angina",IF(Table1[[#This Row],[cp]]=1,"Atypical Angina",IF(Table1[[#This Row],[cp]]=2,"Non-Anginal Pain","Asymptomatic")))</f>
        <v>Atypical Angina</v>
      </c>
      <c r="Q275">
        <f>IF(Table1[[#This Row],[trestbps]]&gt;=130, 1, 0)</f>
        <v>0</v>
      </c>
      <c r="R275">
        <f>IF(AND(Table1[[#This Row],[target]]=1,OR(Table1[[#This Row],[cp]]=0,Table1[[#This Row],[cp]]=1,Table1[[#This Row],[cp]]=2,Table1[[#This Row],[cp]])),1,0)</f>
        <v>1</v>
      </c>
      <c r="S275">
        <f>IF(AND(Table1[[#This Row],[Chest Pain + Target]]=1,Table1[[#This Row],[trestbps]]&gt;=130),1,0)</f>
        <v>0</v>
      </c>
      <c r="T275">
        <f>IF(AND(Table1[[#This Row],[Add BP]]=1,Table1[[#This Row],[chol]]&gt;=200),1,0)</f>
        <v>0</v>
      </c>
      <c r="U275">
        <f>IF(AND(Table1[[#This Row],[Add Cholestrol]]=1,Table1[[#This Row],[slope]]&gt;=2),1,0)</f>
        <v>0</v>
      </c>
      <c r="V275">
        <f>COUNTIFS(Table1[target],1)</f>
        <v>165</v>
      </c>
    </row>
    <row r="276" spans="1:22" x14ac:dyDescent="0.25">
      <c r="A276">
        <v>42</v>
      </c>
      <c r="B276">
        <v>1</v>
      </c>
      <c r="C276">
        <v>0</v>
      </c>
      <c r="D276">
        <v>140</v>
      </c>
      <c r="E276">
        <v>226</v>
      </c>
      <c r="F276">
        <v>0</v>
      </c>
      <c r="G276">
        <v>1</v>
      </c>
      <c r="H276">
        <v>178</v>
      </c>
      <c r="I276">
        <v>0</v>
      </c>
      <c r="J276">
        <v>0</v>
      </c>
      <c r="K276">
        <v>2</v>
      </c>
      <c r="L276">
        <v>0</v>
      </c>
      <c r="M276">
        <v>2</v>
      </c>
      <c r="N276">
        <v>1</v>
      </c>
      <c r="O276" t="str">
        <f>IF(Table1[[#This Row],[sex]]=1,"Male","Female")</f>
        <v>Male</v>
      </c>
      <c r="P276" t="str">
        <f>IF(Table1[[#This Row],[cp]]=0,"Typical Angina",IF(Table1[[#This Row],[cp]]=1,"Atypical Angina",IF(Table1[[#This Row],[cp]]=2,"Non-Anginal Pain","Asymptomatic")))</f>
        <v>Typical Angina</v>
      </c>
      <c r="Q276">
        <f>IF(Table1[[#This Row],[trestbps]]&gt;=130, 1, 0)</f>
        <v>1</v>
      </c>
      <c r="R276">
        <f>IF(AND(Table1[[#This Row],[target]]=1,OR(Table1[[#This Row],[cp]]=0,Table1[[#This Row],[cp]]=1,Table1[[#This Row],[cp]]=2,Table1[[#This Row],[cp]])),1,0)</f>
        <v>1</v>
      </c>
      <c r="S276">
        <f>IF(AND(Table1[[#This Row],[Chest Pain + Target]]=1,Table1[[#This Row],[trestbps]]&gt;=130),1,0)</f>
        <v>1</v>
      </c>
      <c r="T276">
        <f>IF(AND(Table1[[#This Row],[Add BP]]=1,Table1[[#This Row],[chol]]&gt;=200),1,0)</f>
        <v>1</v>
      </c>
      <c r="U276">
        <f>IF(AND(Table1[[#This Row],[Add Cholestrol]]=1,Table1[[#This Row],[slope]]&gt;=2),1,0)</f>
        <v>1</v>
      </c>
      <c r="V276">
        <f>COUNTIFS(Table1[target],1)</f>
        <v>165</v>
      </c>
    </row>
    <row r="277" spans="1:22" x14ac:dyDescent="0.25">
      <c r="A277">
        <v>40</v>
      </c>
      <c r="B277">
        <v>1</v>
      </c>
      <c r="C277">
        <v>3</v>
      </c>
      <c r="D277">
        <v>140</v>
      </c>
      <c r="E277">
        <v>199</v>
      </c>
      <c r="F277">
        <v>0</v>
      </c>
      <c r="G277">
        <v>1</v>
      </c>
      <c r="H277">
        <v>178</v>
      </c>
      <c r="I277">
        <v>1</v>
      </c>
      <c r="J277">
        <v>1.4</v>
      </c>
      <c r="K277">
        <v>2</v>
      </c>
      <c r="L277">
        <v>0</v>
      </c>
      <c r="M277">
        <v>3</v>
      </c>
      <c r="N277">
        <v>1</v>
      </c>
      <c r="O277" t="str">
        <f>IF(Table1[[#This Row],[sex]]=1,"Male","Female")</f>
        <v>Male</v>
      </c>
      <c r="P277" t="str">
        <f>IF(Table1[[#This Row],[cp]]=0,"Typical Angina",IF(Table1[[#This Row],[cp]]=1,"Atypical Angina",IF(Table1[[#This Row],[cp]]=2,"Non-Anginal Pain","Asymptomatic")))</f>
        <v>Asymptomatic</v>
      </c>
      <c r="Q277">
        <f>IF(Table1[[#This Row],[trestbps]]&gt;=130, 1, 0)</f>
        <v>1</v>
      </c>
      <c r="R277">
        <f>IF(AND(Table1[[#This Row],[target]]=1,OR(Table1[[#This Row],[cp]]=0,Table1[[#This Row],[cp]]=1,Table1[[#This Row],[cp]]=2,Table1[[#This Row],[cp]])),1,0)</f>
        <v>1</v>
      </c>
      <c r="S277">
        <f>IF(AND(Table1[[#This Row],[Chest Pain + Target]]=1,Table1[[#This Row],[trestbps]]&gt;=130),1,0)</f>
        <v>1</v>
      </c>
      <c r="T277">
        <f>IF(AND(Table1[[#This Row],[Add BP]]=1,Table1[[#This Row],[chol]]&gt;=200),1,0)</f>
        <v>0</v>
      </c>
      <c r="U277">
        <f>IF(AND(Table1[[#This Row],[Add Cholestrol]]=1,Table1[[#This Row],[slope]]&gt;=2),1,0)</f>
        <v>0</v>
      </c>
      <c r="V277">
        <f>COUNTIFS(Table1[target],1)</f>
        <v>165</v>
      </c>
    </row>
    <row r="278" spans="1:22" x14ac:dyDescent="0.25">
      <c r="A278">
        <v>52</v>
      </c>
      <c r="B278">
        <v>1</v>
      </c>
      <c r="C278">
        <v>3</v>
      </c>
      <c r="D278">
        <v>152</v>
      </c>
      <c r="E278">
        <v>298</v>
      </c>
      <c r="F278">
        <v>1</v>
      </c>
      <c r="G278">
        <v>1</v>
      </c>
      <c r="H278">
        <v>178</v>
      </c>
      <c r="I278">
        <v>0</v>
      </c>
      <c r="J278">
        <v>1.2</v>
      </c>
      <c r="K278">
        <v>1</v>
      </c>
      <c r="L278">
        <v>0</v>
      </c>
      <c r="M278">
        <v>3</v>
      </c>
      <c r="N278">
        <v>1</v>
      </c>
      <c r="O278" t="str">
        <f>IF(Table1[[#This Row],[sex]]=1,"Male","Female")</f>
        <v>Male</v>
      </c>
      <c r="P278" t="str">
        <f>IF(Table1[[#This Row],[cp]]=0,"Typical Angina",IF(Table1[[#This Row],[cp]]=1,"Atypical Angina",IF(Table1[[#This Row],[cp]]=2,"Non-Anginal Pain","Asymptomatic")))</f>
        <v>Asymptomatic</v>
      </c>
      <c r="Q278">
        <f>IF(Table1[[#This Row],[trestbps]]&gt;=130, 1, 0)</f>
        <v>1</v>
      </c>
      <c r="R278">
        <f>IF(AND(Table1[[#This Row],[target]]=1,OR(Table1[[#This Row],[cp]]=0,Table1[[#This Row],[cp]]=1,Table1[[#This Row],[cp]]=2,Table1[[#This Row],[cp]])),1,0)</f>
        <v>1</v>
      </c>
      <c r="S278">
        <f>IF(AND(Table1[[#This Row],[Chest Pain + Target]]=1,Table1[[#This Row],[trestbps]]&gt;=130),1,0)</f>
        <v>1</v>
      </c>
      <c r="T278">
        <f>IF(AND(Table1[[#This Row],[Add BP]]=1,Table1[[#This Row],[chol]]&gt;=200),1,0)</f>
        <v>1</v>
      </c>
      <c r="U278">
        <f>IF(AND(Table1[[#This Row],[Add Cholestrol]]=1,Table1[[#This Row],[slope]]&gt;=2),1,0)</f>
        <v>0</v>
      </c>
      <c r="V278">
        <f>COUNTIFS(Table1[target],1)</f>
        <v>165</v>
      </c>
    </row>
    <row r="279" spans="1:22" x14ac:dyDescent="0.25">
      <c r="A279">
        <v>42</v>
      </c>
      <c r="B279">
        <v>1</v>
      </c>
      <c r="C279">
        <v>3</v>
      </c>
      <c r="D279">
        <v>148</v>
      </c>
      <c r="E279">
        <v>244</v>
      </c>
      <c r="F279">
        <v>0</v>
      </c>
      <c r="G279">
        <v>0</v>
      </c>
      <c r="H279">
        <v>178</v>
      </c>
      <c r="I279">
        <v>0</v>
      </c>
      <c r="J279">
        <v>0.8</v>
      </c>
      <c r="K279">
        <v>2</v>
      </c>
      <c r="L279">
        <v>2</v>
      </c>
      <c r="M279">
        <v>2</v>
      </c>
      <c r="N279">
        <v>1</v>
      </c>
      <c r="O279" t="str">
        <f>IF(Table1[[#This Row],[sex]]=1,"Male","Female")</f>
        <v>Male</v>
      </c>
      <c r="P279" t="str">
        <f>IF(Table1[[#This Row],[cp]]=0,"Typical Angina",IF(Table1[[#This Row],[cp]]=1,"Atypical Angina",IF(Table1[[#This Row],[cp]]=2,"Non-Anginal Pain","Asymptomatic")))</f>
        <v>Asymptomatic</v>
      </c>
      <c r="Q279">
        <f>IF(Table1[[#This Row],[trestbps]]&gt;=130, 1, 0)</f>
        <v>1</v>
      </c>
      <c r="R279">
        <f>IF(AND(Table1[[#This Row],[target]]=1,OR(Table1[[#This Row],[cp]]=0,Table1[[#This Row],[cp]]=1,Table1[[#This Row],[cp]]=2,Table1[[#This Row],[cp]])),1,0)</f>
        <v>1</v>
      </c>
      <c r="S279">
        <f>IF(AND(Table1[[#This Row],[Chest Pain + Target]]=1,Table1[[#This Row],[trestbps]]&gt;=130),1,0)</f>
        <v>1</v>
      </c>
      <c r="T279">
        <f>IF(AND(Table1[[#This Row],[Add BP]]=1,Table1[[#This Row],[chol]]&gt;=200),1,0)</f>
        <v>1</v>
      </c>
      <c r="U279">
        <f>IF(AND(Table1[[#This Row],[Add Cholestrol]]=1,Table1[[#This Row],[slope]]&gt;=2),1,0)</f>
        <v>1</v>
      </c>
      <c r="V279">
        <f>COUNTIFS(Table1[target],1)</f>
        <v>165</v>
      </c>
    </row>
    <row r="280" spans="1:22" x14ac:dyDescent="0.25">
      <c r="A280">
        <v>44</v>
      </c>
      <c r="B280">
        <v>1</v>
      </c>
      <c r="C280">
        <v>2</v>
      </c>
      <c r="D280">
        <v>130</v>
      </c>
      <c r="E280">
        <v>233</v>
      </c>
      <c r="F280">
        <v>0</v>
      </c>
      <c r="G280">
        <v>1</v>
      </c>
      <c r="H280">
        <v>179</v>
      </c>
      <c r="I280">
        <v>1</v>
      </c>
      <c r="J280">
        <v>0.4</v>
      </c>
      <c r="K280">
        <v>2</v>
      </c>
      <c r="L280">
        <v>0</v>
      </c>
      <c r="M280">
        <v>2</v>
      </c>
      <c r="N280">
        <v>1</v>
      </c>
      <c r="O280" t="str">
        <f>IF(Table1[[#This Row],[sex]]=1,"Male","Female")</f>
        <v>Male</v>
      </c>
      <c r="P280" t="str">
        <f>IF(Table1[[#This Row],[cp]]=0,"Typical Angina",IF(Table1[[#This Row],[cp]]=1,"Atypical Angina",IF(Table1[[#This Row],[cp]]=2,"Non-Anginal Pain","Asymptomatic")))</f>
        <v>Non-Anginal Pain</v>
      </c>
      <c r="Q280">
        <f>IF(Table1[[#This Row],[trestbps]]&gt;=130, 1, 0)</f>
        <v>1</v>
      </c>
      <c r="R280">
        <f>IF(AND(Table1[[#This Row],[target]]=1,OR(Table1[[#This Row],[cp]]=0,Table1[[#This Row],[cp]]=1,Table1[[#This Row],[cp]]=2,Table1[[#This Row],[cp]])),1,0)</f>
        <v>1</v>
      </c>
      <c r="S280">
        <f>IF(AND(Table1[[#This Row],[Chest Pain + Target]]=1,Table1[[#This Row],[trestbps]]&gt;=130),1,0)</f>
        <v>1</v>
      </c>
      <c r="T280">
        <f>IF(AND(Table1[[#This Row],[Add BP]]=1,Table1[[#This Row],[chol]]&gt;=200),1,0)</f>
        <v>1</v>
      </c>
      <c r="U280">
        <f>IF(AND(Table1[[#This Row],[Add Cholestrol]]=1,Table1[[#This Row],[slope]]&gt;=2),1,0)</f>
        <v>1</v>
      </c>
      <c r="V280">
        <f>COUNTIFS(Table1[target],1)</f>
        <v>165</v>
      </c>
    </row>
    <row r="281" spans="1:22" x14ac:dyDescent="0.25">
      <c r="A281">
        <v>41</v>
      </c>
      <c r="B281">
        <v>1</v>
      </c>
      <c r="C281">
        <v>2</v>
      </c>
      <c r="D281">
        <v>112</v>
      </c>
      <c r="E281">
        <v>250</v>
      </c>
      <c r="F281">
        <v>0</v>
      </c>
      <c r="G281">
        <v>1</v>
      </c>
      <c r="H281">
        <v>179</v>
      </c>
      <c r="I281">
        <v>0</v>
      </c>
      <c r="J281">
        <v>0</v>
      </c>
      <c r="K281">
        <v>2</v>
      </c>
      <c r="L281">
        <v>0</v>
      </c>
      <c r="M281">
        <v>2</v>
      </c>
      <c r="N281">
        <v>1</v>
      </c>
      <c r="O281" t="str">
        <f>IF(Table1[[#This Row],[sex]]=1,"Male","Female")</f>
        <v>Male</v>
      </c>
      <c r="P281" t="str">
        <f>IF(Table1[[#This Row],[cp]]=0,"Typical Angina",IF(Table1[[#This Row],[cp]]=1,"Atypical Angina",IF(Table1[[#This Row],[cp]]=2,"Non-Anginal Pain","Asymptomatic")))</f>
        <v>Non-Anginal Pain</v>
      </c>
      <c r="Q281">
        <f>IF(Table1[[#This Row],[trestbps]]&gt;=130, 1, 0)</f>
        <v>0</v>
      </c>
      <c r="R281">
        <f>IF(AND(Table1[[#This Row],[target]]=1,OR(Table1[[#This Row],[cp]]=0,Table1[[#This Row],[cp]]=1,Table1[[#This Row],[cp]]=2,Table1[[#This Row],[cp]])),1,0)</f>
        <v>1</v>
      </c>
      <c r="S281">
        <f>IF(AND(Table1[[#This Row],[Chest Pain + Target]]=1,Table1[[#This Row],[trestbps]]&gt;=130),1,0)</f>
        <v>0</v>
      </c>
      <c r="T281">
        <f>IF(AND(Table1[[#This Row],[Add BP]]=1,Table1[[#This Row],[chol]]&gt;=200),1,0)</f>
        <v>0</v>
      </c>
      <c r="U281">
        <f>IF(AND(Table1[[#This Row],[Add Cholestrol]]=1,Table1[[#This Row],[slope]]&gt;=2),1,0)</f>
        <v>0</v>
      </c>
      <c r="V281">
        <f>COUNTIFS(Table1[target],1)</f>
        <v>165</v>
      </c>
    </row>
    <row r="282" spans="1:22" x14ac:dyDescent="0.25">
      <c r="A282">
        <v>63</v>
      </c>
      <c r="B282">
        <v>0</v>
      </c>
      <c r="C282">
        <v>1</v>
      </c>
      <c r="D282">
        <v>140</v>
      </c>
      <c r="E282">
        <v>195</v>
      </c>
      <c r="F282">
        <v>0</v>
      </c>
      <c r="G282">
        <v>1</v>
      </c>
      <c r="H282">
        <v>179</v>
      </c>
      <c r="I282">
        <v>0</v>
      </c>
      <c r="J282">
        <v>0</v>
      </c>
      <c r="K282">
        <v>2</v>
      </c>
      <c r="L282">
        <v>2</v>
      </c>
      <c r="M282">
        <v>2</v>
      </c>
      <c r="N282">
        <v>1</v>
      </c>
      <c r="O282" t="str">
        <f>IF(Table1[[#This Row],[sex]]=1,"Male","Female")</f>
        <v>Female</v>
      </c>
      <c r="P282" t="str">
        <f>IF(Table1[[#This Row],[cp]]=0,"Typical Angina",IF(Table1[[#This Row],[cp]]=1,"Atypical Angina",IF(Table1[[#This Row],[cp]]=2,"Non-Anginal Pain","Asymptomatic")))</f>
        <v>Atypical Angina</v>
      </c>
      <c r="Q282">
        <f>IF(Table1[[#This Row],[trestbps]]&gt;=130, 1, 0)</f>
        <v>1</v>
      </c>
      <c r="R282">
        <f>IF(AND(Table1[[#This Row],[target]]=1,OR(Table1[[#This Row],[cp]]=0,Table1[[#This Row],[cp]]=1,Table1[[#This Row],[cp]]=2,Table1[[#This Row],[cp]])),1,0)</f>
        <v>1</v>
      </c>
      <c r="S282">
        <f>IF(AND(Table1[[#This Row],[Chest Pain + Target]]=1,Table1[[#This Row],[trestbps]]&gt;=130),1,0)</f>
        <v>1</v>
      </c>
      <c r="T282">
        <f>IF(AND(Table1[[#This Row],[Add BP]]=1,Table1[[#This Row],[chol]]&gt;=200),1,0)</f>
        <v>0</v>
      </c>
      <c r="U282">
        <f>IF(AND(Table1[[#This Row],[Add Cholestrol]]=1,Table1[[#This Row],[slope]]&gt;=2),1,0)</f>
        <v>0</v>
      </c>
      <c r="V282">
        <f>COUNTIFS(Table1[target],1)</f>
        <v>165</v>
      </c>
    </row>
    <row r="283" spans="1:22" x14ac:dyDescent="0.25">
      <c r="A283">
        <v>39</v>
      </c>
      <c r="B283">
        <v>0</v>
      </c>
      <c r="C283">
        <v>2</v>
      </c>
      <c r="D283">
        <v>94</v>
      </c>
      <c r="E283">
        <v>199</v>
      </c>
      <c r="F283">
        <v>0</v>
      </c>
      <c r="G283">
        <v>1</v>
      </c>
      <c r="H283">
        <v>179</v>
      </c>
      <c r="I283">
        <v>0</v>
      </c>
      <c r="J283">
        <v>0</v>
      </c>
      <c r="K283">
        <v>2</v>
      </c>
      <c r="L283">
        <v>0</v>
      </c>
      <c r="M283">
        <v>2</v>
      </c>
      <c r="N283">
        <v>1</v>
      </c>
      <c r="O283" t="str">
        <f>IF(Table1[[#This Row],[sex]]=1,"Male","Female")</f>
        <v>Female</v>
      </c>
      <c r="P283" t="str">
        <f>IF(Table1[[#This Row],[cp]]=0,"Typical Angina",IF(Table1[[#This Row],[cp]]=1,"Atypical Angina",IF(Table1[[#This Row],[cp]]=2,"Non-Anginal Pain","Asymptomatic")))</f>
        <v>Non-Anginal Pain</v>
      </c>
      <c r="Q283">
        <f>IF(Table1[[#This Row],[trestbps]]&gt;=130, 1, 0)</f>
        <v>0</v>
      </c>
      <c r="R283">
        <f>IF(AND(Table1[[#This Row],[target]]=1,OR(Table1[[#This Row],[cp]]=0,Table1[[#This Row],[cp]]=1,Table1[[#This Row],[cp]]=2,Table1[[#This Row],[cp]])),1,0)</f>
        <v>1</v>
      </c>
      <c r="S283">
        <f>IF(AND(Table1[[#This Row],[Chest Pain + Target]]=1,Table1[[#This Row],[trestbps]]&gt;=130),1,0)</f>
        <v>0</v>
      </c>
      <c r="T283">
        <f>IF(AND(Table1[[#This Row],[Add BP]]=1,Table1[[#This Row],[chol]]&gt;=200),1,0)</f>
        <v>0</v>
      </c>
      <c r="U283">
        <f>IF(AND(Table1[[#This Row],[Add Cholestrol]]=1,Table1[[#This Row],[slope]]&gt;=2),1,0)</f>
        <v>0</v>
      </c>
      <c r="V283">
        <f>COUNTIFS(Table1[target],1)</f>
        <v>165</v>
      </c>
    </row>
    <row r="284" spans="1:22" x14ac:dyDescent="0.25">
      <c r="A284">
        <v>47</v>
      </c>
      <c r="B284">
        <v>1</v>
      </c>
      <c r="C284">
        <v>2</v>
      </c>
      <c r="D284">
        <v>130</v>
      </c>
      <c r="E284">
        <v>253</v>
      </c>
      <c r="F284">
        <v>0</v>
      </c>
      <c r="G284">
        <v>1</v>
      </c>
      <c r="H284">
        <v>179</v>
      </c>
      <c r="I284">
        <v>0</v>
      </c>
      <c r="J284">
        <v>0</v>
      </c>
      <c r="K284">
        <v>2</v>
      </c>
      <c r="L284">
        <v>0</v>
      </c>
      <c r="M284">
        <v>2</v>
      </c>
      <c r="N284">
        <v>1</v>
      </c>
      <c r="O284" t="str">
        <f>IF(Table1[[#This Row],[sex]]=1,"Male","Female")</f>
        <v>Male</v>
      </c>
      <c r="P284" t="str">
        <f>IF(Table1[[#This Row],[cp]]=0,"Typical Angina",IF(Table1[[#This Row],[cp]]=1,"Atypical Angina",IF(Table1[[#This Row],[cp]]=2,"Non-Anginal Pain","Asymptomatic")))</f>
        <v>Non-Anginal Pain</v>
      </c>
      <c r="Q284">
        <f>IF(Table1[[#This Row],[trestbps]]&gt;=130, 1, 0)</f>
        <v>1</v>
      </c>
      <c r="R284">
        <f>IF(AND(Table1[[#This Row],[target]]=1,OR(Table1[[#This Row],[cp]]=0,Table1[[#This Row],[cp]]=1,Table1[[#This Row],[cp]]=2,Table1[[#This Row],[cp]])),1,0)</f>
        <v>1</v>
      </c>
      <c r="S284">
        <f>IF(AND(Table1[[#This Row],[Chest Pain + Target]]=1,Table1[[#This Row],[trestbps]]&gt;=130),1,0)</f>
        <v>1</v>
      </c>
      <c r="T284">
        <f>IF(AND(Table1[[#This Row],[Add BP]]=1,Table1[[#This Row],[chol]]&gt;=200),1,0)</f>
        <v>1</v>
      </c>
      <c r="U284">
        <f>IF(AND(Table1[[#This Row],[Add Cholestrol]]=1,Table1[[#This Row],[slope]]&gt;=2),1,0)</f>
        <v>1</v>
      </c>
      <c r="V284">
        <f>COUNTIFS(Table1[target],1)</f>
        <v>165</v>
      </c>
    </row>
    <row r="285" spans="1:22" x14ac:dyDescent="0.25">
      <c r="A285">
        <v>48</v>
      </c>
      <c r="B285">
        <v>1</v>
      </c>
      <c r="C285">
        <v>1</v>
      </c>
      <c r="D285">
        <v>130</v>
      </c>
      <c r="E285">
        <v>245</v>
      </c>
      <c r="F285">
        <v>0</v>
      </c>
      <c r="G285">
        <v>0</v>
      </c>
      <c r="H285">
        <v>180</v>
      </c>
      <c r="I285">
        <v>0</v>
      </c>
      <c r="J285">
        <v>0.2</v>
      </c>
      <c r="K285">
        <v>1</v>
      </c>
      <c r="L285">
        <v>0</v>
      </c>
      <c r="M285">
        <v>2</v>
      </c>
      <c r="N285">
        <v>1</v>
      </c>
      <c r="O285" t="str">
        <f>IF(Table1[[#This Row],[sex]]=1,"Male","Female")</f>
        <v>Male</v>
      </c>
      <c r="P285" t="str">
        <f>IF(Table1[[#This Row],[cp]]=0,"Typical Angina",IF(Table1[[#This Row],[cp]]=1,"Atypical Angina",IF(Table1[[#This Row],[cp]]=2,"Non-Anginal Pain","Asymptomatic")))</f>
        <v>Atypical Angina</v>
      </c>
      <c r="Q285">
        <f>IF(Table1[[#This Row],[trestbps]]&gt;=130, 1, 0)</f>
        <v>1</v>
      </c>
      <c r="R285">
        <f>IF(AND(Table1[[#This Row],[target]]=1,OR(Table1[[#This Row],[cp]]=0,Table1[[#This Row],[cp]]=1,Table1[[#This Row],[cp]]=2,Table1[[#This Row],[cp]])),1,0)</f>
        <v>1</v>
      </c>
      <c r="S285">
        <f>IF(AND(Table1[[#This Row],[Chest Pain + Target]]=1,Table1[[#This Row],[trestbps]]&gt;=130),1,0)</f>
        <v>1</v>
      </c>
      <c r="T285">
        <f>IF(AND(Table1[[#This Row],[Add BP]]=1,Table1[[#This Row],[chol]]&gt;=200),1,0)</f>
        <v>1</v>
      </c>
      <c r="U285">
        <f>IF(AND(Table1[[#This Row],[Add Cholestrol]]=1,Table1[[#This Row],[slope]]&gt;=2),1,0)</f>
        <v>0</v>
      </c>
      <c r="V285">
        <f>COUNTIFS(Table1[target],1)</f>
        <v>165</v>
      </c>
    </row>
    <row r="286" spans="1:22" x14ac:dyDescent="0.25">
      <c r="A286">
        <v>44</v>
      </c>
      <c r="B286">
        <v>1</v>
      </c>
      <c r="C286">
        <v>2</v>
      </c>
      <c r="D286">
        <v>140</v>
      </c>
      <c r="E286">
        <v>235</v>
      </c>
      <c r="F286">
        <v>0</v>
      </c>
      <c r="G286">
        <v>0</v>
      </c>
      <c r="H286">
        <v>180</v>
      </c>
      <c r="I286">
        <v>0</v>
      </c>
      <c r="J286">
        <v>0</v>
      </c>
      <c r="K286">
        <v>2</v>
      </c>
      <c r="L286">
        <v>0</v>
      </c>
      <c r="M286">
        <v>2</v>
      </c>
      <c r="N286">
        <v>1</v>
      </c>
      <c r="O286" t="str">
        <f>IF(Table1[[#This Row],[sex]]=1,"Male","Female")</f>
        <v>Male</v>
      </c>
      <c r="P286" t="str">
        <f>IF(Table1[[#This Row],[cp]]=0,"Typical Angina",IF(Table1[[#This Row],[cp]]=1,"Atypical Angina",IF(Table1[[#This Row],[cp]]=2,"Non-Anginal Pain","Asymptomatic")))</f>
        <v>Non-Anginal Pain</v>
      </c>
      <c r="Q286">
        <f>IF(Table1[[#This Row],[trestbps]]&gt;=130, 1, 0)</f>
        <v>1</v>
      </c>
      <c r="R286">
        <f>IF(AND(Table1[[#This Row],[target]]=1,OR(Table1[[#This Row],[cp]]=0,Table1[[#This Row],[cp]]=1,Table1[[#This Row],[cp]]=2,Table1[[#This Row],[cp]])),1,0)</f>
        <v>1</v>
      </c>
      <c r="S286">
        <f>IF(AND(Table1[[#This Row],[Chest Pain + Target]]=1,Table1[[#This Row],[trestbps]]&gt;=130),1,0)</f>
        <v>1</v>
      </c>
      <c r="T286">
        <f>IF(AND(Table1[[#This Row],[Add BP]]=1,Table1[[#This Row],[chol]]&gt;=200),1,0)</f>
        <v>1</v>
      </c>
      <c r="U286">
        <f>IF(AND(Table1[[#This Row],[Add Cholestrol]]=1,Table1[[#This Row],[slope]]&gt;=2),1,0)</f>
        <v>1</v>
      </c>
      <c r="V286">
        <f>COUNTIFS(Table1[target],1)</f>
        <v>165</v>
      </c>
    </row>
    <row r="287" spans="1:22" x14ac:dyDescent="0.25">
      <c r="A287">
        <v>43</v>
      </c>
      <c r="B287">
        <v>1</v>
      </c>
      <c r="C287">
        <v>0</v>
      </c>
      <c r="D287">
        <v>115</v>
      </c>
      <c r="E287">
        <v>303</v>
      </c>
      <c r="F287">
        <v>0</v>
      </c>
      <c r="G287">
        <v>1</v>
      </c>
      <c r="H287">
        <v>181</v>
      </c>
      <c r="I287">
        <v>0</v>
      </c>
      <c r="J287">
        <v>1.2</v>
      </c>
      <c r="K287">
        <v>1</v>
      </c>
      <c r="L287">
        <v>0</v>
      </c>
      <c r="M287">
        <v>2</v>
      </c>
      <c r="N287">
        <v>1</v>
      </c>
      <c r="O287" t="str">
        <f>IF(Table1[[#This Row],[sex]]=1,"Male","Female")</f>
        <v>Male</v>
      </c>
      <c r="P287" t="str">
        <f>IF(Table1[[#This Row],[cp]]=0,"Typical Angina",IF(Table1[[#This Row],[cp]]=1,"Atypical Angina",IF(Table1[[#This Row],[cp]]=2,"Non-Anginal Pain","Asymptomatic")))</f>
        <v>Typical Angina</v>
      </c>
      <c r="Q287">
        <f>IF(Table1[[#This Row],[trestbps]]&gt;=130, 1, 0)</f>
        <v>0</v>
      </c>
      <c r="R287">
        <f>IF(AND(Table1[[#This Row],[target]]=1,OR(Table1[[#This Row],[cp]]=0,Table1[[#This Row],[cp]]=1,Table1[[#This Row],[cp]]=2,Table1[[#This Row],[cp]])),1,0)</f>
        <v>1</v>
      </c>
      <c r="S287">
        <f>IF(AND(Table1[[#This Row],[Chest Pain + Target]]=1,Table1[[#This Row],[trestbps]]&gt;=130),1,0)</f>
        <v>0</v>
      </c>
      <c r="T287">
        <f>IF(AND(Table1[[#This Row],[Add BP]]=1,Table1[[#This Row],[chol]]&gt;=200),1,0)</f>
        <v>0</v>
      </c>
      <c r="U287">
        <f>IF(AND(Table1[[#This Row],[Add Cholestrol]]=1,Table1[[#This Row],[slope]]&gt;=2),1,0)</f>
        <v>0</v>
      </c>
      <c r="V287">
        <f>COUNTIFS(Table1[target],1)</f>
        <v>165</v>
      </c>
    </row>
    <row r="288" spans="1:22" x14ac:dyDescent="0.25">
      <c r="A288">
        <v>40</v>
      </c>
      <c r="B288">
        <v>1</v>
      </c>
      <c r="C288">
        <v>0</v>
      </c>
      <c r="D288">
        <v>152</v>
      </c>
      <c r="E288">
        <v>223</v>
      </c>
      <c r="F288">
        <v>0</v>
      </c>
      <c r="G288">
        <v>1</v>
      </c>
      <c r="H288">
        <v>181</v>
      </c>
      <c r="I288">
        <v>0</v>
      </c>
      <c r="J288">
        <v>0</v>
      </c>
      <c r="K288">
        <v>2</v>
      </c>
      <c r="L288">
        <v>0</v>
      </c>
      <c r="M288">
        <v>3</v>
      </c>
      <c r="N288">
        <v>0</v>
      </c>
      <c r="O288" t="str">
        <f>IF(Table1[[#This Row],[sex]]=1,"Male","Female")</f>
        <v>Male</v>
      </c>
      <c r="P288" t="str">
        <f>IF(Table1[[#This Row],[cp]]=0,"Typical Angina",IF(Table1[[#This Row],[cp]]=1,"Atypical Angina",IF(Table1[[#This Row],[cp]]=2,"Non-Anginal Pain","Asymptomatic")))</f>
        <v>Typical Angina</v>
      </c>
      <c r="Q288">
        <f>IF(Table1[[#This Row],[trestbps]]&gt;=130, 1, 0)</f>
        <v>1</v>
      </c>
      <c r="R288">
        <f>IF(AND(Table1[[#This Row],[target]]=1,OR(Table1[[#This Row],[cp]]=0,Table1[[#This Row],[cp]]=1,Table1[[#This Row],[cp]]=2,Table1[[#This Row],[cp]])),1,0)</f>
        <v>0</v>
      </c>
      <c r="S288">
        <f>IF(AND(Table1[[#This Row],[Chest Pain + Target]]=1,Table1[[#This Row],[trestbps]]&gt;=130),1,0)</f>
        <v>0</v>
      </c>
      <c r="T288">
        <f>IF(AND(Table1[[#This Row],[Add BP]]=1,Table1[[#This Row],[chol]]&gt;=200),1,0)</f>
        <v>0</v>
      </c>
      <c r="U288">
        <f>IF(AND(Table1[[#This Row],[Add Cholestrol]]=1,Table1[[#This Row],[slope]]&gt;=2),1,0)</f>
        <v>0</v>
      </c>
      <c r="V288">
        <f>COUNTIFS(Table1[target],1)</f>
        <v>165</v>
      </c>
    </row>
    <row r="289" spans="1:22" x14ac:dyDescent="0.25">
      <c r="A289">
        <v>39</v>
      </c>
      <c r="B289">
        <v>1</v>
      </c>
      <c r="C289">
        <v>2</v>
      </c>
      <c r="D289">
        <v>140</v>
      </c>
      <c r="E289">
        <v>321</v>
      </c>
      <c r="F289">
        <v>0</v>
      </c>
      <c r="G289">
        <v>0</v>
      </c>
      <c r="H289">
        <v>182</v>
      </c>
      <c r="I289">
        <v>0</v>
      </c>
      <c r="J289">
        <v>0</v>
      </c>
      <c r="K289">
        <v>2</v>
      </c>
      <c r="L289">
        <v>0</v>
      </c>
      <c r="M289">
        <v>2</v>
      </c>
      <c r="N289">
        <v>1</v>
      </c>
      <c r="O289" t="str">
        <f>IF(Table1[[#This Row],[sex]]=1,"Male","Female")</f>
        <v>Male</v>
      </c>
      <c r="P289" t="str">
        <f>IF(Table1[[#This Row],[cp]]=0,"Typical Angina",IF(Table1[[#This Row],[cp]]=1,"Atypical Angina",IF(Table1[[#This Row],[cp]]=2,"Non-Anginal Pain","Asymptomatic")))</f>
        <v>Non-Anginal Pain</v>
      </c>
      <c r="Q289">
        <f>IF(Table1[[#This Row],[trestbps]]&gt;=130, 1, 0)</f>
        <v>1</v>
      </c>
      <c r="R289">
        <f>IF(AND(Table1[[#This Row],[target]]=1,OR(Table1[[#This Row],[cp]]=0,Table1[[#This Row],[cp]]=1,Table1[[#This Row],[cp]]=2,Table1[[#This Row],[cp]])),1,0)</f>
        <v>1</v>
      </c>
      <c r="S289">
        <f>IF(AND(Table1[[#This Row],[Chest Pain + Target]]=1,Table1[[#This Row],[trestbps]]&gt;=130),1,0)</f>
        <v>1</v>
      </c>
      <c r="T289">
        <f>IF(AND(Table1[[#This Row],[Add BP]]=1,Table1[[#This Row],[chol]]&gt;=200),1,0)</f>
        <v>1</v>
      </c>
      <c r="U289">
        <f>IF(AND(Table1[[#This Row],[Add Cholestrol]]=1,Table1[[#This Row],[slope]]&gt;=2),1,0)</f>
        <v>1</v>
      </c>
      <c r="V289">
        <f>COUNTIFS(Table1[target],1)</f>
        <v>165</v>
      </c>
    </row>
    <row r="290" spans="1:22" x14ac:dyDescent="0.25">
      <c r="A290">
        <v>35</v>
      </c>
      <c r="B290">
        <v>0</v>
      </c>
      <c r="C290">
        <v>0</v>
      </c>
      <c r="D290">
        <v>138</v>
      </c>
      <c r="E290">
        <v>183</v>
      </c>
      <c r="F290">
        <v>0</v>
      </c>
      <c r="G290">
        <v>1</v>
      </c>
      <c r="H290">
        <v>182</v>
      </c>
      <c r="I290">
        <v>0</v>
      </c>
      <c r="J290">
        <v>1.4</v>
      </c>
      <c r="K290">
        <v>2</v>
      </c>
      <c r="L290">
        <v>0</v>
      </c>
      <c r="M290">
        <v>2</v>
      </c>
      <c r="N290">
        <v>1</v>
      </c>
      <c r="O290" t="str">
        <f>IF(Table1[[#This Row],[sex]]=1,"Male","Female")</f>
        <v>Female</v>
      </c>
      <c r="P290" t="str">
        <f>IF(Table1[[#This Row],[cp]]=0,"Typical Angina",IF(Table1[[#This Row],[cp]]=1,"Atypical Angina",IF(Table1[[#This Row],[cp]]=2,"Non-Anginal Pain","Asymptomatic")))</f>
        <v>Typical Angina</v>
      </c>
      <c r="Q290">
        <f>IF(Table1[[#This Row],[trestbps]]&gt;=130, 1, 0)</f>
        <v>1</v>
      </c>
      <c r="R290">
        <f>IF(AND(Table1[[#This Row],[target]]=1,OR(Table1[[#This Row],[cp]]=0,Table1[[#This Row],[cp]]=1,Table1[[#This Row],[cp]]=2,Table1[[#This Row],[cp]])),1,0)</f>
        <v>1</v>
      </c>
      <c r="S290">
        <f>IF(AND(Table1[[#This Row],[Chest Pain + Target]]=1,Table1[[#This Row],[trestbps]]&gt;=130),1,0)</f>
        <v>1</v>
      </c>
      <c r="T290">
        <f>IF(AND(Table1[[#This Row],[Add BP]]=1,Table1[[#This Row],[chol]]&gt;=200),1,0)</f>
        <v>0</v>
      </c>
      <c r="U290">
        <f>IF(AND(Table1[[#This Row],[Add Cholestrol]]=1,Table1[[#This Row],[slope]]&gt;=2),1,0)</f>
        <v>0</v>
      </c>
      <c r="V290">
        <f>COUNTIFS(Table1[target],1)</f>
        <v>165</v>
      </c>
    </row>
    <row r="291" spans="1:22" x14ac:dyDescent="0.25">
      <c r="A291">
        <v>59</v>
      </c>
      <c r="B291">
        <v>1</v>
      </c>
      <c r="C291">
        <v>0</v>
      </c>
      <c r="D291">
        <v>138</v>
      </c>
      <c r="E291">
        <v>271</v>
      </c>
      <c r="F291">
        <v>0</v>
      </c>
      <c r="G291">
        <v>0</v>
      </c>
      <c r="H291">
        <v>182</v>
      </c>
      <c r="I291">
        <v>0</v>
      </c>
      <c r="J291">
        <v>0</v>
      </c>
      <c r="K291">
        <v>2</v>
      </c>
      <c r="L291">
        <v>0</v>
      </c>
      <c r="M291">
        <v>2</v>
      </c>
      <c r="N291">
        <v>1</v>
      </c>
      <c r="O291" t="str">
        <f>IF(Table1[[#This Row],[sex]]=1,"Male","Female")</f>
        <v>Male</v>
      </c>
      <c r="P291" t="str">
        <f>IF(Table1[[#This Row],[cp]]=0,"Typical Angina",IF(Table1[[#This Row],[cp]]=1,"Atypical Angina",IF(Table1[[#This Row],[cp]]=2,"Non-Anginal Pain","Asymptomatic")))</f>
        <v>Typical Angina</v>
      </c>
      <c r="Q291">
        <f>IF(Table1[[#This Row],[trestbps]]&gt;=130, 1, 0)</f>
        <v>1</v>
      </c>
      <c r="R291">
        <f>IF(AND(Table1[[#This Row],[target]]=1,OR(Table1[[#This Row],[cp]]=0,Table1[[#This Row],[cp]]=1,Table1[[#This Row],[cp]]=2,Table1[[#This Row],[cp]])),1,0)</f>
        <v>1</v>
      </c>
      <c r="S291">
        <f>IF(AND(Table1[[#This Row],[Chest Pain + Target]]=1,Table1[[#This Row],[trestbps]]&gt;=130),1,0)</f>
        <v>1</v>
      </c>
      <c r="T291">
        <f>IF(AND(Table1[[#This Row],[Add BP]]=1,Table1[[#This Row],[chol]]&gt;=200),1,0)</f>
        <v>1</v>
      </c>
      <c r="U291">
        <f>IF(AND(Table1[[#This Row],[Add Cholestrol]]=1,Table1[[#This Row],[slope]]&gt;=2),1,0)</f>
        <v>1</v>
      </c>
      <c r="V291">
        <f>COUNTIFS(Table1[target],1)</f>
        <v>165</v>
      </c>
    </row>
    <row r="292" spans="1:22" x14ac:dyDescent="0.25">
      <c r="A292">
        <v>41</v>
      </c>
      <c r="B292">
        <v>1</v>
      </c>
      <c r="C292">
        <v>1</v>
      </c>
      <c r="D292">
        <v>120</v>
      </c>
      <c r="E292">
        <v>157</v>
      </c>
      <c r="F292">
        <v>0</v>
      </c>
      <c r="G292">
        <v>1</v>
      </c>
      <c r="H292">
        <v>182</v>
      </c>
      <c r="I292">
        <v>0</v>
      </c>
      <c r="J292">
        <v>0</v>
      </c>
      <c r="K292">
        <v>2</v>
      </c>
      <c r="L292">
        <v>0</v>
      </c>
      <c r="M292">
        <v>2</v>
      </c>
      <c r="N292">
        <v>1</v>
      </c>
      <c r="O292" t="str">
        <f>IF(Table1[[#This Row],[sex]]=1,"Male","Female")</f>
        <v>Male</v>
      </c>
      <c r="P292" t="str">
        <f>IF(Table1[[#This Row],[cp]]=0,"Typical Angina",IF(Table1[[#This Row],[cp]]=1,"Atypical Angina",IF(Table1[[#This Row],[cp]]=2,"Non-Anginal Pain","Asymptomatic")))</f>
        <v>Atypical Angina</v>
      </c>
      <c r="Q292">
        <f>IF(Table1[[#This Row],[trestbps]]&gt;=130, 1, 0)</f>
        <v>0</v>
      </c>
      <c r="R292">
        <f>IF(AND(Table1[[#This Row],[target]]=1,OR(Table1[[#This Row],[cp]]=0,Table1[[#This Row],[cp]]=1,Table1[[#This Row],[cp]]=2,Table1[[#This Row],[cp]])),1,0)</f>
        <v>1</v>
      </c>
      <c r="S292">
        <f>IF(AND(Table1[[#This Row],[Chest Pain + Target]]=1,Table1[[#This Row],[trestbps]]&gt;=130),1,0)</f>
        <v>0</v>
      </c>
      <c r="T292">
        <f>IF(AND(Table1[[#This Row],[Add BP]]=1,Table1[[#This Row],[chol]]&gt;=200),1,0)</f>
        <v>0</v>
      </c>
      <c r="U292">
        <f>IF(AND(Table1[[#This Row],[Add Cholestrol]]=1,Table1[[#This Row],[slope]]&gt;=2),1,0)</f>
        <v>0</v>
      </c>
      <c r="V292">
        <f>COUNTIFS(Table1[target],1)</f>
        <v>165</v>
      </c>
    </row>
    <row r="293" spans="1:22" x14ac:dyDescent="0.25">
      <c r="A293">
        <v>38</v>
      </c>
      <c r="B293">
        <v>1</v>
      </c>
      <c r="C293">
        <v>3</v>
      </c>
      <c r="D293">
        <v>120</v>
      </c>
      <c r="E293">
        <v>231</v>
      </c>
      <c r="F293">
        <v>0</v>
      </c>
      <c r="G293">
        <v>1</v>
      </c>
      <c r="H293">
        <v>182</v>
      </c>
      <c r="I293">
        <v>1</v>
      </c>
      <c r="J293">
        <v>3.8</v>
      </c>
      <c r="K293">
        <v>1</v>
      </c>
      <c r="L293">
        <v>0</v>
      </c>
      <c r="M293">
        <v>3</v>
      </c>
      <c r="N293">
        <v>0</v>
      </c>
      <c r="O293" t="str">
        <f>IF(Table1[[#This Row],[sex]]=1,"Male","Female")</f>
        <v>Male</v>
      </c>
      <c r="P293" t="str">
        <f>IF(Table1[[#This Row],[cp]]=0,"Typical Angina",IF(Table1[[#This Row],[cp]]=1,"Atypical Angina",IF(Table1[[#This Row],[cp]]=2,"Non-Anginal Pain","Asymptomatic")))</f>
        <v>Asymptomatic</v>
      </c>
      <c r="Q293">
        <f>IF(Table1[[#This Row],[trestbps]]&gt;=130, 1, 0)</f>
        <v>0</v>
      </c>
      <c r="R293">
        <f>IF(AND(Table1[[#This Row],[target]]=1,OR(Table1[[#This Row],[cp]]=0,Table1[[#This Row],[cp]]=1,Table1[[#This Row],[cp]]=2,Table1[[#This Row],[cp]])),1,0)</f>
        <v>0</v>
      </c>
      <c r="S293">
        <f>IF(AND(Table1[[#This Row],[Chest Pain + Target]]=1,Table1[[#This Row],[trestbps]]&gt;=130),1,0)</f>
        <v>0</v>
      </c>
      <c r="T293">
        <f>IF(AND(Table1[[#This Row],[Add BP]]=1,Table1[[#This Row],[chol]]&gt;=200),1,0)</f>
        <v>0</v>
      </c>
      <c r="U293">
        <f>IF(AND(Table1[[#This Row],[Add Cholestrol]]=1,Table1[[#This Row],[slope]]&gt;=2),1,0)</f>
        <v>0</v>
      </c>
      <c r="V293">
        <f>COUNTIFS(Table1[target],1)</f>
        <v>165</v>
      </c>
    </row>
    <row r="294" spans="1:22" x14ac:dyDescent="0.25">
      <c r="A294">
        <v>52</v>
      </c>
      <c r="B294">
        <v>1</v>
      </c>
      <c r="C294">
        <v>1</v>
      </c>
      <c r="D294">
        <v>128</v>
      </c>
      <c r="E294">
        <v>205</v>
      </c>
      <c r="F294">
        <v>1</v>
      </c>
      <c r="G294">
        <v>1</v>
      </c>
      <c r="H294">
        <v>184</v>
      </c>
      <c r="I294">
        <v>0</v>
      </c>
      <c r="J294">
        <v>0</v>
      </c>
      <c r="K294">
        <v>2</v>
      </c>
      <c r="L294">
        <v>0</v>
      </c>
      <c r="M294">
        <v>2</v>
      </c>
      <c r="N294">
        <v>1</v>
      </c>
      <c r="O294" t="str">
        <f>IF(Table1[[#This Row],[sex]]=1,"Male","Female")</f>
        <v>Male</v>
      </c>
      <c r="P294" t="str">
        <f>IF(Table1[[#This Row],[cp]]=0,"Typical Angina",IF(Table1[[#This Row],[cp]]=1,"Atypical Angina",IF(Table1[[#This Row],[cp]]=2,"Non-Anginal Pain","Asymptomatic")))</f>
        <v>Atypical Angina</v>
      </c>
      <c r="Q294">
        <f>IF(Table1[[#This Row],[trestbps]]&gt;=130, 1, 0)</f>
        <v>0</v>
      </c>
      <c r="R294">
        <f>IF(AND(Table1[[#This Row],[target]]=1,OR(Table1[[#This Row],[cp]]=0,Table1[[#This Row],[cp]]=1,Table1[[#This Row],[cp]]=2,Table1[[#This Row],[cp]])),1,0)</f>
        <v>1</v>
      </c>
      <c r="S294">
        <f>IF(AND(Table1[[#This Row],[Chest Pain + Target]]=1,Table1[[#This Row],[trestbps]]&gt;=130),1,0)</f>
        <v>0</v>
      </c>
      <c r="T294">
        <f>IF(AND(Table1[[#This Row],[Add BP]]=1,Table1[[#This Row],[chol]]&gt;=200),1,0)</f>
        <v>0</v>
      </c>
      <c r="U294">
        <f>IF(AND(Table1[[#This Row],[Add Cholestrol]]=1,Table1[[#This Row],[slope]]&gt;=2),1,0)</f>
        <v>0</v>
      </c>
      <c r="V294">
        <f>COUNTIFS(Table1[target],1)</f>
        <v>165</v>
      </c>
    </row>
    <row r="295" spans="1:22" x14ac:dyDescent="0.25">
      <c r="A295">
        <v>45</v>
      </c>
      <c r="B295">
        <v>1</v>
      </c>
      <c r="C295">
        <v>0</v>
      </c>
      <c r="D295">
        <v>115</v>
      </c>
      <c r="E295">
        <v>260</v>
      </c>
      <c r="F295">
        <v>0</v>
      </c>
      <c r="G295">
        <v>0</v>
      </c>
      <c r="H295">
        <v>185</v>
      </c>
      <c r="I295">
        <v>0</v>
      </c>
      <c r="J295">
        <v>0</v>
      </c>
      <c r="K295">
        <v>2</v>
      </c>
      <c r="L295">
        <v>0</v>
      </c>
      <c r="M295">
        <v>2</v>
      </c>
      <c r="N295">
        <v>1</v>
      </c>
      <c r="O295" t="str">
        <f>IF(Table1[[#This Row],[sex]]=1,"Male","Female")</f>
        <v>Male</v>
      </c>
      <c r="P295" t="str">
        <f>IF(Table1[[#This Row],[cp]]=0,"Typical Angina",IF(Table1[[#This Row],[cp]]=1,"Atypical Angina",IF(Table1[[#This Row],[cp]]=2,"Non-Anginal Pain","Asymptomatic")))</f>
        <v>Typical Angina</v>
      </c>
      <c r="Q295">
        <f>IF(Table1[[#This Row],[trestbps]]&gt;=130, 1, 0)</f>
        <v>0</v>
      </c>
      <c r="R295">
        <f>IF(AND(Table1[[#This Row],[target]]=1,OR(Table1[[#This Row],[cp]]=0,Table1[[#This Row],[cp]]=1,Table1[[#This Row],[cp]]=2,Table1[[#This Row],[cp]])),1,0)</f>
        <v>1</v>
      </c>
      <c r="S295">
        <f>IF(AND(Table1[[#This Row],[Chest Pain + Target]]=1,Table1[[#This Row],[trestbps]]&gt;=130),1,0)</f>
        <v>0</v>
      </c>
      <c r="T295">
        <f>IF(AND(Table1[[#This Row],[Add BP]]=1,Table1[[#This Row],[chol]]&gt;=200),1,0)</f>
        <v>0</v>
      </c>
      <c r="U295">
        <f>IF(AND(Table1[[#This Row],[Add Cholestrol]]=1,Table1[[#This Row],[slope]]&gt;=2),1,0)</f>
        <v>0</v>
      </c>
      <c r="V295">
        <f>COUNTIFS(Table1[target],1)</f>
        <v>165</v>
      </c>
    </row>
    <row r="296" spans="1:22" x14ac:dyDescent="0.25">
      <c r="A296">
        <v>48</v>
      </c>
      <c r="B296">
        <v>1</v>
      </c>
      <c r="C296">
        <v>0</v>
      </c>
      <c r="D296">
        <v>122</v>
      </c>
      <c r="E296">
        <v>222</v>
      </c>
      <c r="F296">
        <v>0</v>
      </c>
      <c r="G296">
        <v>0</v>
      </c>
      <c r="H296">
        <v>186</v>
      </c>
      <c r="I296">
        <v>0</v>
      </c>
      <c r="J296">
        <v>0</v>
      </c>
      <c r="K296">
        <v>2</v>
      </c>
      <c r="L296">
        <v>0</v>
      </c>
      <c r="M296">
        <v>2</v>
      </c>
      <c r="N296">
        <v>1</v>
      </c>
      <c r="O296" t="str">
        <f>IF(Table1[[#This Row],[sex]]=1,"Male","Female")</f>
        <v>Male</v>
      </c>
      <c r="P296" t="str">
        <f>IF(Table1[[#This Row],[cp]]=0,"Typical Angina",IF(Table1[[#This Row],[cp]]=1,"Atypical Angina",IF(Table1[[#This Row],[cp]]=2,"Non-Anginal Pain","Asymptomatic")))</f>
        <v>Typical Angina</v>
      </c>
      <c r="Q296">
        <f>IF(Table1[[#This Row],[trestbps]]&gt;=130, 1, 0)</f>
        <v>0</v>
      </c>
      <c r="R296">
        <f>IF(AND(Table1[[#This Row],[target]]=1,OR(Table1[[#This Row],[cp]]=0,Table1[[#This Row],[cp]]=1,Table1[[#This Row],[cp]]=2,Table1[[#This Row],[cp]])),1,0)</f>
        <v>1</v>
      </c>
      <c r="S296">
        <f>IF(AND(Table1[[#This Row],[Chest Pain + Target]]=1,Table1[[#This Row],[trestbps]]&gt;=130),1,0)</f>
        <v>0</v>
      </c>
      <c r="T296">
        <f>IF(AND(Table1[[#This Row],[Add BP]]=1,Table1[[#This Row],[chol]]&gt;=200),1,0)</f>
        <v>0</v>
      </c>
      <c r="U296">
        <f>IF(AND(Table1[[#This Row],[Add Cholestrol]]=1,Table1[[#This Row],[slope]]&gt;=2),1,0)</f>
        <v>0</v>
      </c>
      <c r="V296">
        <f>COUNTIFS(Table1[target],1)</f>
        <v>165</v>
      </c>
    </row>
    <row r="297" spans="1:22" x14ac:dyDescent="0.25">
      <c r="A297">
        <v>51</v>
      </c>
      <c r="B297">
        <v>1</v>
      </c>
      <c r="C297">
        <v>0</v>
      </c>
      <c r="D297">
        <v>140</v>
      </c>
      <c r="E297">
        <v>261</v>
      </c>
      <c r="F297">
        <v>0</v>
      </c>
      <c r="G297">
        <v>0</v>
      </c>
      <c r="H297">
        <v>186</v>
      </c>
      <c r="I297">
        <v>1</v>
      </c>
      <c r="J297">
        <v>0</v>
      </c>
      <c r="K297">
        <v>2</v>
      </c>
      <c r="L297">
        <v>0</v>
      </c>
      <c r="M297">
        <v>2</v>
      </c>
      <c r="N297">
        <v>1</v>
      </c>
      <c r="O297" t="str">
        <f>IF(Table1[[#This Row],[sex]]=1,"Male","Female")</f>
        <v>Male</v>
      </c>
      <c r="P297" t="str">
        <f>IF(Table1[[#This Row],[cp]]=0,"Typical Angina",IF(Table1[[#This Row],[cp]]=1,"Atypical Angina",IF(Table1[[#This Row],[cp]]=2,"Non-Anginal Pain","Asymptomatic")))</f>
        <v>Typical Angina</v>
      </c>
      <c r="Q297">
        <f>IF(Table1[[#This Row],[trestbps]]&gt;=130, 1, 0)</f>
        <v>1</v>
      </c>
      <c r="R297">
        <f>IF(AND(Table1[[#This Row],[target]]=1,OR(Table1[[#This Row],[cp]]=0,Table1[[#This Row],[cp]]=1,Table1[[#This Row],[cp]]=2,Table1[[#This Row],[cp]])),1,0)</f>
        <v>1</v>
      </c>
      <c r="S297">
        <f>IF(AND(Table1[[#This Row],[Chest Pain + Target]]=1,Table1[[#This Row],[trestbps]]&gt;=130),1,0)</f>
        <v>1</v>
      </c>
      <c r="T297">
        <f>IF(AND(Table1[[#This Row],[Add BP]]=1,Table1[[#This Row],[chol]]&gt;=200),1,0)</f>
        <v>1</v>
      </c>
      <c r="U297">
        <f>IF(AND(Table1[[#This Row],[Add Cholestrol]]=1,Table1[[#This Row],[slope]]&gt;=2),1,0)</f>
        <v>1</v>
      </c>
      <c r="V297">
        <f>COUNTIFS(Table1[target],1)</f>
        <v>165</v>
      </c>
    </row>
    <row r="298" spans="1:22" x14ac:dyDescent="0.25">
      <c r="A298">
        <v>37</v>
      </c>
      <c r="B298">
        <v>1</v>
      </c>
      <c r="C298">
        <v>2</v>
      </c>
      <c r="D298">
        <v>130</v>
      </c>
      <c r="E298">
        <v>250</v>
      </c>
      <c r="F298">
        <v>0</v>
      </c>
      <c r="G298">
        <v>1</v>
      </c>
      <c r="H298">
        <v>187</v>
      </c>
      <c r="I298">
        <v>0</v>
      </c>
      <c r="J298">
        <v>3.5</v>
      </c>
      <c r="K298">
        <v>0</v>
      </c>
      <c r="L298">
        <v>0</v>
      </c>
      <c r="M298">
        <v>2</v>
      </c>
      <c r="N298">
        <v>1</v>
      </c>
      <c r="O298" t="str">
        <f>IF(Table1[[#This Row],[sex]]=1,"Male","Female")</f>
        <v>Male</v>
      </c>
      <c r="P298" t="str">
        <f>IF(Table1[[#This Row],[cp]]=0,"Typical Angina",IF(Table1[[#This Row],[cp]]=1,"Atypical Angina",IF(Table1[[#This Row],[cp]]=2,"Non-Anginal Pain","Asymptomatic")))</f>
        <v>Non-Anginal Pain</v>
      </c>
      <c r="Q298">
        <f>IF(Table1[[#This Row],[trestbps]]&gt;=130, 1, 0)</f>
        <v>1</v>
      </c>
      <c r="R298">
        <f>IF(AND(Table1[[#This Row],[target]]=1,OR(Table1[[#This Row],[cp]]=0,Table1[[#This Row],[cp]]=1,Table1[[#This Row],[cp]]=2,Table1[[#This Row],[cp]])),1,0)</f>
        <v>1</v>
      </c>
      <c r="S298">
        <f>IF(AND(Table1[[#This Row],[Chest Pain + Target]]=1,Table1[[#This Row],[trestbps]]&gt;=130),1,0)</f>
        <v>1</v>
      </c>
      <c r="T298">
        <f>IF(AND(Table1[[#This Row],[Add BP]]=1,Table1[[#This Row],[chol]]&gt;=200),1,0)</f>
        <v>1</v>
      </c>
      <c r="U298">
        <f>IF(AND(Table1[[#This Row],[Add Cholestrol]]=1,Table1[[#This Row],[slope]]&gt;=2),1,0)</f>
        <v>0</v>
      </c>
      <c r="V298">
        <f>COUNTIFS(Table1[target],1)</f>
        <v>165</v>
      </c>
    </row>
    <row r="299" spans="1:22" x14ac:dyDescent="0.25">
      <c r="A299">
        <v>44</v>
      </c>
      <c r="B299">
        <v>1</v>
      </c>
      <c r="C299">
        <v>1</v>
      </c>
      <c r="D299">
        <v>130</v>
      </c>
      <c r="E299">
        <v>219</v>
      </c>
      <c r="F299">
        <v>0</v>
      </c>
      <c r="G299">
        <v>0</v>
      </c>
      <c r="H299">
        <v>188</v>
      </c>
      <c r="I299">
        <v>0</v>
      </c>
      <c r="J299">
        <v>0</v>
      </c>
      <c r="K299">
        <v>2</v>
      </c>
      <c r="L299">
        <v>0</v>
      </c>
      <c r="M299">
        <v>2</v>
      </c>
      <c r="N299">
        <v>1</v>
      </c>
      <c r="O299" t="str">
        <f>IF(Table1[[#This Row],[sex]]=1,"Male","Female")</f>
        <v>Male</v>
      </c>
      <c r="P299" t="str">
        <f>IF(Table1[[#This Row],[cp]]=0,"Typical Angina",IF(Table1[[#This Row],[cp]]=1,"Atypical Angina",IF(Table1[[#This Row],[cp]]=2,"Non-Anginal Pain","Asymptomatic")))</f>
        <v>Atypical Angina</v>
      </c>
      <c r="Q299">
        <f>IF(Table1[[#This Row],[trestbps]]&gt;=130, 1, 0)</f>
        <v>1</v>
      </c>
      <c r="R299">
        <f>IF(AND(Table1[[#This Row],[target]]=1,OR(Table1[[#This Row],[cp]]=0,Table1[[#This Row],[cp]]=1,Table1[[#This Row],[cp]]=2,Table1[[#This Row],[cp]])),1,0)</f>
        <v>1</v>
      </c>
      <c r="S299">
        <f>IF(AND(Table1[[#This Row],[Chest Pain + Target]]=1,Table1[[#This Row],[trestbps]]&gt;=130),1,0)</f>
        <v>1</v>
      </c>
      <c r="T299">
        <f>IF(AND(Table1[[#This Row],[Add BP]]=1,Table1[[#This Row],[chol]]&gt;=200),1,0)</f>
        <v>1</v>
      </c>
      <c r="U299">
        <f>IF(AND(Table1[[#This Row],[Add Cholestrol]]=1,Table1[[#This Row],[slope]]&gt;=2),1,0)</f>
        <v>1</v>
      </c>
      <c r="V299">
        <f>COUNTIFS(Table1[target],1)</f>
        <v>165</v>
      </c>
    </row>
    <row r="300" spans="1:22" x14ac:dyDescent="0.25">
      <c r="A300">
        <v>52</v>
      </c>
      <c r="B300">
        <v>1</v>
      </c>
      <c r="C300">
        <v>3</v>
      </c>
      <c r="D300">
        <v>118</v>
      </c>
      <c r="E300">
        <v>186</v>
      </c>
      <c r="F300">
        <v>0</v>
      </c>
      <c r="G300">
        <v>0</v>
      </c>
      <c r="H300">
        <v>190</v>
      </c>
      <c r="I300">
        <v>0</v>
      </c>
      <c r="J300">
        <v>0</v>
      </c>
      <c r="K300">
        <v>1</v>
      </c>
      <c r="L300">
        <v>0</v>
      </c>
      <c r="M300">
        <v>1</v>
      </c>
      <c r="N300">
        <v>1</v>
      </c>
      <c r="O300" t="str">
        <f>IF(Table1[[#This Row],[sex]]=1,"Male","Female")</f>
        <v>Male</v>
      </c>
      <c r="P300" t="str">
        <f>IF(Table1[[#This Row],[cp]]=0,"Typical Angina",IF(Table1[[#This Row],[cp]]=1,"Atypical Angina",IF(Table1[[#This Row],[cp]]=2,"Non-Anginal Pain","Asymptomatic")))</f>
        <v>Asymptomatic</v>
      </c>
      <c r="Q300">
        <f>IF(Table1[[#This Row],[trestbps]]&gt;=130, 1, 0)</f>
        <v>0</v>
      </c>
      <c r="R300">
        <f>IF(AND(Table1[[#This Row],[target]]=1,OR(Table1[[#This Row],[cp]]=0,Table1[[#This Row],[cp]]=1,Table1[[#This Row],[cp]]=2,Table1[[#This Row],[cp]])),1,0)</f>
        <v>1</v>
      </c>
      <c r="S300">
        <f>IF(AND(Table1[[#This Row],[Chest Pain + Target]]=1,Table1[[#This Row],[trestbps]]&gt;=130),1,0)</f>
        <v>0</v>
      </c>
      <c r="T300">
        <f>IF(AND(Table1[[#This Row],[Add BP]]=1,Table1[[#This Row],[chol]]&gt;=200),1,0)</f>
        <v>0</v>
      </c>
      <c r="U300">
        <f>IF(AND(Table1[[#This Row],[Add Cholestrol]]=1,Table1[[#This Row],[slope]]&gt;=2),1,0)</f>
        <v>0</v>
      </c>
      <c r="V300">
        <f>COUNTIFS(Table1[target],1)</f>
        <v>165</v>
      </c>
    </row>
    <row r="301" spans="1:22" x14ac:dyDescent="0.25">
      <c r="A301">
        <v>34</v>
      </c>
      <c r="B301">
        <v>0</v>
      </c>
      <c r="C301">
        <v>1</v>
      </c>
      <c r="D301">
        <v>118</v>
      </c>
      <c r="E301">
        <v>210</v>
      </c>
      <c r="F301">
        <v>0</v>
      </c>
      <c r="G301">
        <v>1</v>
      </c>
      <c r="H301">
        <v>192</v>
      </c>
      <c r="I301">
        <v>0</v>
      </c>
      <c r="J301">
        <v>0.7</v>
      </c>
      <c r="K301">
        <v>2</v>
      </c>
      <c r="L301">
        <v>0</v>
      </c>
      <c r="M301">
        <v>2</v>
      </c>
      <c r="N301">
        <v>1</v>
      </c>
      <c r="O301" t="str">
        <f>IF(Table1[[#This Row],[sex]]=1,"Male","Female")</f>
        <v>Female</v>
      </c>
      <c r="P301" t="str">
        <f>IF(Table1[[#This Row],[cp]]=0,"Typical Angina",IF(Table1[[#This Row],[cp]]=1,"Atypical Angina",IF(Table1[[#This Row],[cp]]=2,"Non-Anginal Pain","Asymptomatic")))</f>
        <v>Atypical Angina</v>
      </c>
      <c r="Q301">
        <f>IF(Table1[[#This Row],[trestbps]]&gt;=130, 1, 0)</f>
        <v>0</v>
      </c>
      <c r="R301">
        <f>IF(AND(Table1[[#This Row],[target]]=1,OR(Table1[[#This Row],[cp]]=0,Table1[[#This Row],[cp]]=1,Table1[[#This Row],[cp]]=2,Table1[[#This Row],[cp]])),1,0)</f>
        <v>1</v>
      </c>
      <c r="S301">
        <f>IF(AND(Table1[[#This Row],[Chest Pain + Target]]=1,Table1[[#This Row],[trestbps]]&gt;=130),1,0)</f>
        <v>0</v>
      </c>
      <c r="T301">
        <f>IF(AND(Table1[[#This Row],[Add BP]]=1,Table1[[#This Row],[chol]]&gt;=200),1,0)</f>
        <v>0</v>
      </c>
      <c r="U301">
        <f>IF(AND(Table1[[#This Row],[Add Cholestrol]]=1,Table1[[#This Row],[slope]]&gt;=2),1,0)</f>
        <v>0</v>
      </c>
      <c r="V301">
        <f>COUNTIFS(Table1[target],1)</f>
        <v>165</v>
      </c>
    </row>
    <row r="302" spans="1:22" x14ac:dyDescent="0.25">
      <c r="A302">
        <v>42</v>
      </c>
      <c r="B302">
        <v>1</v>
      </c>
      <c r="C302">
        <v>2</v>
      </c>
      <c r="D302">
        <v>120</v>
      </c>
      <c r="E302">
        <v>240</v>
      </c>
      <c r="F302">
        <v>1</v>
      </c>
      <c r="G302">
        <v>1</v>
      </c>
      <c r="H302">
        <v>194</v>
      </c>
      <c r="I302">
        <v>0</v>
      </c>
      <c r="J302">
        <v>0.8</v>
      </c>
      <c r="K302">
        <v>0</v>
      </c>
      <c r="L302">
        <v>0</v>
      </c>
      <c r="M302">
        <v>3</v>
      </c>
      <c r="N302">
        <v>1</v>
      </c>
      <c r="O302" t="str">
        <f>IF(Table1[[#This Row],[sex]]=1,"Male","Female")</f>
        <v>Male</v>
      </c>
      <c r="P302" t="str">
        <f>IF(Table1[[#This Row],[cp]]=0,"Typical Angina",IF(Table1[[#This Row],[cp]]=1,"Atypical Angina",IF(Table1[[#This Row],[cp]]=2,"Non-Anginal Pain","Asymptomatic")))</f>
        <v>Non-Anginal Pain</v>
      </c>
      <c r="Q302">
        <f>IF(Table1[[#This Row],[trestbps]]&gt;=130, 1, 0)</f>
        <v>0</v>
      </c>
      <c r="R302">
        <f>IF(AND(Table1[[#This Row],[target]]=1,OR(Table1[[#This Row],[cp]]=0,Table1[[#This Row],[cp]]=1,Table1[[#This Row],[cp]]=2,Table1[[#This Row],[cp]])),1,0)</f>
        <v>1</v>
      </c>
      <c r="S302">
        <f>IF(AND(Table1[[#This Row],[Chest Pain + Target]]=1,Table1[[#This Row],[trestbps]]&gt;=130),1,0)</f>
        <v>0</v>
      </c>
      <c r="T302">
        <f>IF(AND(Table1[[#This Row],[Add BP]]=1,Table1[[#This Row],[chol]]&gt;=200),1,0)</f>
        <v>0</v>
      </c>
      <c r="U302">
        <f>IF(AND(Table1[[#This Row],[Add Cholestrol]]=1,Table1[[#This Row],[slope]]&gt;=2),1,0)</f>
        <v>0</v>
      </c>
      <c r="V302">
        <f>COUNTIFS(Table1[target],1)</f>
        <v>165</v>
      </c>
    </row>
    <row r="303" spans="1:22" x14ac:dyDescent="0.25">
      <c r="A303">
        <v>54</v>
      </c>
      <c r="B303">
        <v>1</v>
      </c>
      <c r="C303">
        <v>1</v>
      </c>
      <c r="D303">
        <v>192</v>
      </c>
      <c r="E303">
        <v>283</v>
      </c>
      <c r="F303">
        <v>0</v>
      </c>
      <c r="G303">
        <v>0</v>
      </c>
      <c r="H303">
        <v>195</v>
      </c>
      <c r="I303">
        <v>0</v>
      </c>
      <c r="J303">
        <v>0</v>
      </c>
      <c r="K303">
        <v>2</v>
      </c>
      <c r="L303">
        <v>1</v>
      </c>
      <c r="M303">
        <v>3</v>
      </c>
      <c r="N303">
        <v>0</v>
      </c>
      <c r="O303" t="str">
        <f>IF(Table1[[#This Row],[sex]]=1,"Male","Female")</f>
        <v>Male</v>
      </c>
      <c r="P303" t="str">
        <f>IF(Table1[[#This Row],[cp]]=0,"Typical Angina",IF(Table1[[#This Row],[cp]]=1,"Atypical Angina",IF(Table1[[#This Row],[cp]]=2,"Non-Anginal Pain","Asymptomatic")))</f>
        <v>Atypical Angina</v>
      </c>
      <c r="Q303">
        <f>IF(Table1[[#This Row],[trestbps]]&gt;=130, 1, 0)</f>
        <v>1</v>
      </c>
      <c r="R303">
        <f>IF(AND(Table1[[#This Row],[target]]=1,OR(Table1[[#This Row],[cp]]=0,Table1[[#This Row],[cp]]=1,Table1[[#This Row],[cp]]=2,Table1[[#This Row],[cp]])),1,0)</f>
        <v>0</v>
      </c>
      <c r="S303">
        <f>IF(AND(Table1[[#This Row],[Chest Pain + Target]]=1,Table1[[#This Row],[trestbps]]&gt;=130),1,0)</f>
        <v>0</v>
      </c>
      <c r="T303">
        <f>IF(AND(Table1[[#This Row],[Add BP]]=1,Table1[[#This Row],[chol]]&gt;=200),1,0)</f>
        <v>0</v>
      </c>
      <c r="U303">
        <f>IF(AND(Table1[[#This Row],[Add Cholestrol]]=1,Table1[[#This Row],[slope]]&gt;=2),1,0)</f>
        <v>0</v>
      </c>
      <c r="V303">
        <f>COUNTIFS(Table1[target],1)</f>
        <v>165</v>
      </c>
    </row>
    <row r="304" spans="1:22" x14ac:dyDescent="0.25">
      <c r="A304">
        <v>29</v>
      </c>
      <c r="B304">
        <v>1</v>
      </c>
      <c r="C304">
        <v>1</v>
      </c>
      <c r="D304">
        <v>130</v>
      </c>
      <c r="E304">
        <v>204</v>
      </c>
      <c r="F304">
        <v>0</v>
      </c>
      <c r="G304">
        <v>0</v>
      </c>
      <c r="H304">
        <v>202</v>
      </c>
      <c r="I304">
        <v>0</v>
      </c>
      <c r="J304">
        <v>0</v>
      </c>
      <c r="K304">
        <v>2</v>
      </c>
      <c r="L304">
        <v>0</v>
      </c>
      <c r="M304">
        <v>2</v>
      </c>
      <c r="N304">
        <v>1</v>
      </c>
      <c r="O304" t="str">
        <f>IF(Table1[[#This Row],[sex]]=1,"Male","Female")</f>
        <v>Male</v>
      </c>
      <c r="P304" t="str">
        <f>IF(Table1[[#This Row],[cp]]=0,"Typical Angina",IF(Table1[[#This Row],[cp]]=1,"Atypical Angina",IF(Table1[[#This Row],[cp]]=2,"Non-Anginal Pain","Asymptomatic")))</f>
        <v>Atypical Angina</v>
      </c>
      <c r="Q304">
        <f>IF(Table1[[#This Row],[trestbps]]&gt;=130, 1, 0)</f>
        <v>1</v>
      </c>
      <c r="R304">
        <f>IF(AND(Table1[[#This Row],[target]]=1,OR(Table1[[#This Row],[cp]]=0,Table1[[#This Row],[cp]]=1,Table1[[#This Row],[cp]]=2,Table1[[#This Row],[cp]])),1,0)</f>
        <v>1</v>
      </c>
      <c r="S304">
        <f>IF(AND(Table1[[#This Row],[Chest Pain + Target]]=1,Table1[[#This Row],[trestbps]]&gt;=130),1,0)</f>
        <v>1</v>
      </c>
      <c r="T304">
        <f>IF(AND(Table1[[#This Row],[Add BP]]=1,Table1[[#This Row],[chol]]&gt;=200),1,0)</f>
        <v>1</v>
      </c>
      <c r="U304">
        <f>IF(AND(Table1[[#This Row],[Add Cholestrol]]=1,Table1[[#This Row],[slope]]&gt;=2),1,0)</f>
        <v>1</v>
      </c>
      <c r="V304">
        <f>COUNTIFS(Table1[target],1)</f>
        <v>165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88A0-D0F9-49EA-BA0C-824CA3CDB051}">
  <sheetPr codeName="Sheet3"/>
  <dimension ref="A3:E9"/>
  <sheetViews>
    <sheetView workbookViewId="0">
      <selection activeCell="M24" sqref="M24:N24"/>
    </sheetView>
  </sheetViews>
  <sheetFormatPr defaultRowHeight="15" x14ac:dyDescent="0.25"/>
  <cols>
    <col min="1" max="1" width="13.140625" bestFit="1" customWidth="1"/>
    <col min="2" max="2" width="12.85546875" bestFit="1" customWidth="1"/>
    <col min="3" max="3" width="12.140625" bestFit="1" customWidth="1"/>
  </cols>
  <sheetData>
    <row r="3" spans="1:5" x14ac:dyDescent="0.25">
      <c r="A3" s="2" t="s">
        <v>14</v>
      </c>
      <c r="B3" t="s">
        <v>16</v>
      </c>
      <c r="C3" t="s">
        <v>22</v>
      </c>
    </row>
    <row r="4" spans="1:5" x14ac:dyDescent="0.25">
      <c r="A4" s="1" t="s">
        <v>17</v>
      </c>
      <c r="B4">
        <v>9</v>
      </c>
      <c r="C4">
        <v>12</v>
      </c>
      <c r="E4" s="3">
        <f>GETPIVOTDATA("Sum of target",$A$3,"age",29)/GETPIVOTDATA("Count of age",$A$3,"age",29)</f>
        <v>0.75</v>
      </c>
    </row>
    <row r="5" spans="1:5" x14ac:dyDescent="0.25">
      <c r="A5" s="1" t="s">
        <v>18</v>
      </c>
      <c r="B5">
        <v>50</v>
      </c>
      <c r="C5">
        <v>71</v>
      </c>
      <c r="E5" s="3">
        <f>GETPIVOTDATA("Sum of target",$A$3,"age",39)/GETPIVOTDATA("Count of age",$A$3,"age",39)</f>
        <v>0.70422535211267601</v>
      </c>
    </row>
    <row r="6" spans="1:5" x14ac:dyDescent="0.25">
      <c r="A6" s="1" t="s">
        <v>19</v>
      </c>
      <c r="B6">
        <v>63</v>
      </c>
      <c r="C6">
        <v>116</v>
      </c>
      <c r="E6" s="3">
        <f>GETPIVOTDATA("Sum of target",$A$3,"age",49)/GETPIVOTDATA("Count of age",$A$3,"age",49)</f>
        <v>0.5431034482758621</v>
      </c>
    </row>
    <row r="7" spans="1:5" x14ac:dyDescent="0.25">
      <c r="A7" s="1" t="s">
        <v>20</v>
      </c>
      <c r="B7">
        <v>35</v>
      </c>
      <c r="C7">
        <v>91</v>
      </c>
      <c r="E7" s="3">
        <f>GETPIVOTDATA("Sum of target",$A$3,"age",59)/GETPIVOTDATA("Count of age",$A$3,"age",59)</f>
        <v>0.38461538461538464</v>
      </c>
    </row>
    <row r="8" spans="1:5" x14ac:dyDescent="0.25">
      <c r="A8" s="1" t="s">
        <v>21</v>
      </c>
      <c r="B8">
        <v>8</v>
      </c>
      <c r="C8">
        <v>13</v>
      </c>
      <c r="E8" s="3">
        <f>GETPIVOTDATA("Sum of target",$A$3,"age",69)/GETPIVOTDATA("Count of age",$A$3,"age",69)</f>
        <v>0.61538461538461542</v>
      </c>
    </row>
    <row r="9" spans="1:5" x14ac:dyDescent="0.25">
      <c r="A9" s="1" t="s">
        <v>15</v>
      </c>
      <c r="B9">
        <v>165</v>
      </c>
      <c r="C9">
        <v>303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E42F-5F5A-4E06-B2C5-0FA2C440536D}">
  <sheetPr codeName="Sheet4"/>
  <dimension ref="A3:B6"/>
  <sheetViews>
    <sheetView workbookViewId="0">
      <selection activeCell="C15" sqref="C15"/>
    </sheetView>
  </sheetViews>
  <sheetFormatPr defaultRowHeight="15" x14ac:dyDescent="0.25"/>
  <cols>
    <col min="1" max="1" width="13.140625" bestFit="1" customWidth="1"/>
    <col min="2" max="2" width="12.85546875" bestFit="1" customWidth="1"/>
  </cols>
  <sheetData>
    <row r="3" spans="1:2" x14ac:dyDescent="0.25">
      <c r="A3" s="2" t="s">
        <v>14</v>
      </c>
      <c r="B3" t="s">
        <v>16</v>
      </c>
    </row>
    <row r="4" spans="1:2" x14ac:dyDescent="0.25">
      <c r="A4" s="1" t="s">
        <v>25</v>
      </c>
      <c r="B4">
        <v>93</v>
      </c>
    </row>
    <row r="5" spans="1:2" x14ac:dyDescent="0.25">
      <c r="A5" s="1" t="s">
        <v>24</v>
      </c>
      <c r="B5">
        <v>72</v>
      </c>
    </row>
    <row r="6" spans="1:2" x14ac:dyDescent="0.25">
      <c r="A6" s="1" t="s">
        <v>15</v>
      </c>
      <c r="B6">
        <v>165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0612D-A0E2-4030-B446-76B511BBF35F}">
  <sheetPr codeName="Sheet5"/>
  <dimension ref="A3:B8"/>
  <sheetViews>
    <sheetView workbookViewId="0">
      <selection activeCell="B5" sqref="B5"/>
    </sheetView>
  </sheetViews>
  <sheetFormatPr defaultRowHeight="15" x14ac:dyDescent="0.25"/>
  <cols>
    <col min="1" max="1" width="16.5703125" bestFit="1" customWidth="1"/>
    <col min="2" max="2" width="12.85546875" bestFit="1" customWidth="1"/>
  </cols>
  <sheetData>
    <row r="3" spans="1:2" x14ac:dyDescent="0.25">
      <c r="A3" s="2" t="s">
        <v>14</v>
      </c>
      <c r="B3" t="s">
        <v>16</v>
      </c>
    </row>
    <row r="4" spans="1:2" x14ac:dyDescent="0.25">
      <c r="A4" s="1" t="s">
        <v>27</v>
      </c>
      <c r="B4">
        <v>16</v>
      </c>
    </row>
    <row r="5" spans="1:2" x14ac:dyDescent="0.25">
      <c r="A5" s="1" t="s">
        <v>30</v>
      </c>
      <c r="B5">
        <v>39</v>
      </c>
    </row>
    <row r="6" spans="1:2" x14ac:dyDescent="0.25">
      <c r="A6" s="1" t="s">
        <v>28</v>
      </c>
      <c r="B6">
        <v>41</v>
      </c>
    </row>
    <row r="7" spans="1:2" x14ac:dyDescent="0.25">
      <c r="A7" s="1" t="s">
        <v>29</v>
      </c>
      <c r="B7">
        <v>69</v>
      </c>
    </row>
    <row r="8" spans="1:2" x14ac:dyDescent="0.25">
      <c r="A8" s="1" t="s">
        <v>15</v>
      </c>
      <c r="B8">
        <v>165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2DE0-7587-46D6-9B79-137E7913B470}">
  <sheetPr codeName="Sheet6"/>
  <dimension ref="A3:B9"/>
  <sheetViews>
    <sheetView topLeftCell="A2" workbookViewId="0">
      <selection activeCell="B21" sqref="B21"/>
    </sheetView>
  </sheetViews>
  <sheetFormatPr defaultRowHeight="15" x14ac:dyDescent="0.25"/>
  <cols>
    <col min="1" max="1" width="13.140625" bestFit="1" customWidth="1"/>
    <col min="2" max="2" width="12.85546875" bestFit="1" customWidth="1"/>
  </cols>
  <sheetData>
    <row r="3" spans="1:2" x14ac:dyDescent="0.25">
      <c r="A3" s="2" t="s">
        <v>14</v>
      </c>
      <c r="B3" t="s">
        <v>16</v>
      </c>
    </row>
    <row r="4" spans="1:2" x14ac:dyDescent="0.25">
      <c r="A4" s="1">
        <v>152</v>
      </c>
      <c r="B4">
        <v>6</v>
      </c>
    </row>
    <row r="5" spans="1:2" x14ac:dyDescent="0.25">
      <c r="A5" s="1">
        <v>162</v>
      </c>
      <c r="B5">
        <v>8</v>
      </c>
    </row>
    <row r="6" spans="1:2" x14ac:dyDescent="0.25">
      <c r="A6" s="1">
        <v>163</v>
      </c>
      <c r="B6">
        <v>7</v>
      </c>
    </row>
    <row r="7" spans="1:2" x14ac:dyDescent="0.25">
      <c r="A7" s="1">
        <v>172</v>
      </c>
      <c r="B7">
        <v>7</v>
      </c>
    </row>
    <row r="8" spans="1:2" x14ac:dyDescent="0.25">
      <c r="A8" s="1">
        <v>173</v>
      </c>
      <c r="B8">
        <v>6</v>
      </c>
    </row>
    <row r="9" spans="1:2" x14ac:dyDescent="0.25">
      <c r="A9" s="1" t="s">
        <v>15</v>
      </c>
      <c r="B9">
        <v>34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08038-2CDB-41F9-BF89-3D441455D0EC}">
  <sheetPr codeName="Sheet2"/>
  <dimension ref="A3:B9"/>
  <sheetViews>
    <sheetView workbookViewId="0">
      <selection activeCell="M11" sqref="M11"/>
    </sheetView>
  </sheetViews>
  <sheetFormatPr defaultRowHeight="15" x14ac:dyDescent="0.25"/>
  <cols>
    <col min="1" max="1" width="13.140625" bestFit="1" customWidth="1"/>
    <col min="2" max="2" width="12.85546875" bestFit="1" customWidth="1"/>
  </cols>
  <sheetData>
    <row r="3" spans="1:2" x14ac:dyDescent="0.25">
      <c r="A3" s="2" t="s">
        <v>14</v>
      </c>
      <c r="B3" t="s">
        <v>16</v>
      </c>
    </row>
    <row r="4" spans="1:2" x14ac:dyDescent="0.25">
      <c r="A4" s="1">
        <v>120</v>
      </c>
      <c r="B4">
        <v>23</v>
      </c>
    </row>
    <row r="5" spans="1:2" x14ac:dyDescent="0.25">
      <c r="A5" s="1">
        <v>130</v>
      </c>
      <c r="B5">
        <v>23</v>
      </c>
    </row>
    <row r="6" spans="1:2" x14ac:dyDescent="0.25">
      <c r="A6" s="1">
        <v>138</v>
      </c>
      <c r="B6">
        <v>10</v>
      </c>
    </row>
    <row r="7" spans="1:2" x14ac:dyDescent="0.25">
      <c r="A7" s="1">
        <v>140</v>
      </c>
      <c r="B7">
        <v>17</v>
      </c>
    </row>
    <row r="8" spans="1:2" x14ac:dyDescent="0.25">
      <c r="A8" s="1">
        <v>150</v>
      </c>
      <c r="B8">
        <v>9</v>
      </c>
    </row>
    <row r="9" spans="1:2" x14ac:dyDescent="0.25">
      <c r="A9" s="1" t="s">
        <v>15</v>
      </c>
      <c r="B9">
        <v>82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79A0B-2D4D-4495-8D88-4ADF7B621F69}">
  <sheetPr codeName="Sheet8"/>
  <dimension ref="A3:B10"/>
  <sheetViews>
    <sheetView workbookViewId="0">
      <selection activeCell="H4" sqref="H4"/>
    </sheetView>
  </sheetViews>
  <sheetFormatPr defaultRowHeight="15" x14ac:dyDescent="0.25"/>
  <cols>
    <col min="1" max="1" width="13.140625" bestFit="1" customWidth="1"/>
    <col min="2" max="2" width="12.85546875" bestFit="1" customWidth="1"/>
  </cols>
  <sheetData>
    <row r="3" spans="1:2" x14ac:dyDescent="0.25">
      <c r="A3" s="2" t="s">
        <v>14</v>
      </c>
      <c r="B3" t="s">
        <v>16</v>
      </c>
    </row>
    <row r="4" spans="1:2" x14ac:dyDescent="0.25">
      <c r="A4" s="1">
        <v>197</v>
      </c>
      <c r="B4">
        <v>4</v>
      </c>
    </row>
    <row r="5" spans="1:2" x14ac:dyDescent="0.25">
      <c r="A5" s="1">
        <v>204</v>
      </c>
      <c r="B5">
        <v>4</v>
      </c>
    </row>
    <row r="6" spans="1:2" x14ac:dyDescent="0.25">
      <c r="A6" s="1">
        <v>211</v>
      </c>
      <c r="B6">
        <v>4</v>
      </c>
    </row>
    <row r="7" spans="1:2" x14ac:dyDescent="0.25">
      <c r="A7" s="1">
        <v>226</v>
      </c>
      <c r="B7">
        <v>4</v>
      </c>
    </row>
    <row r="8" spans="1:2" x14ac:dyDescent="0.25">
      <c r="A8" s="1">
        <v>234</v>
      </c>
      <c r="B8">
        <v>4</v>
      </c>
    </row>
    <row r="9" spans="1:2" x14ac:dyDescent="0.25">
      <c r="A9" s="1">
        <v>240</v>
      </c>
      <c r="B9">
        <v>4</v>
      </c>
    </row>
    <row r="10" spans="1:2" x14ac:dyDescent="0.25">
      <c r="A10" s="1" t="s">
        <v>15</v>
      </c>
      <c r="B10">
        <v>24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7C9D7-5715-4EAC-9D1D-01A1F6BDA75F}">
  <sheetPr codeName="Sheet9"/>
  <dimension ref="B3:M12"/>
  <sheetViews>
    <sheetView workbookViewId="0">
      <selection activeCell="M10" sqref="M10"/>
    </sheetView>
  </sheetViews>
  <sheetFormatPr defaultRowHeight="15" x14ac:dyDescent="0.25"/>
  <cols>
    <col min="2" max="2" width="15.5703125" customWidth="1"/>
  </cols>
  <sheetData>
    <row r="3" spans="2:13" ht="135" x14ac:dyDescent="0.25">
      <c r="B3" s="4" t="str">
        <f>"Total Patient " &amp;CHAR(10) &amp;COUNTA(Table1[age]) &amp;CHAR(10) &amp;CHAR(10) &amp;"Heart Disease " &amp;CHAR(10) &amp;COUNTIFS(Table1[target], 1) &amp;CHAR(10) &amp;CHAR(10) &amp;"Non-Heart Disease" &amp;CHAR(10) &amp;COUNTIFS(Table1[target],0)</f>
        <v>Total Patient 
303
Heart Disease 
165
Non-Heart Disease
138</v>
      </c>
    </row>
    <row r="5" spans="2:13" x14ac:dyDescent="0.25">
      <c r="D5">
        <f>COUNTA(Table1[age])</f>
        <v>303</v>
      </c>
    </row>
    <row r="6" spans="2:13" x14ac:dyDescent="0.25">
      <c r="E6">
        <f>COUNTIFS(Table1[target],0)</f>
        <v>138</v>
      </c>
    </row>
    <row r="7" spans="2:13" x14ac:dyDescent="0.25">
      <c r="D7">
        <f>COUNTIFS(Table1[target],1)</f>
        <v>165</v>
      </c>
      <c r="K7">
        <f>MIN(Table1[chol])</f>
        <v>126</v>
      </c>
      <c r="M7">
        <f>MAX(Table1[oldpeak])</f>
        <v>6.2</v>
      </c>
    </row>
    <row r="8" spans="2:13" x14ac:dyDescent="0.25">
      <c r="G8" t="str">
        <f>MIN(Table1[age]) &amp;"-"&amp; MAX(Table1[age])</f>
        <v>29-77</v>
      </c>
      <c r="K8">
        <f>MAX(Table1[chol])</f>
        <v>564</v>
      </c>
    </row>
    <row r="9" spans="2:13" x14ac:dyDescent="0.25">
      <c r="M9">
        <f>MIN(Table1[oldpeak])</f>
        <v>0</v>
      </c>
    </row>
    <row r="10" spans="2:13" x14ac:dyDescent="0.25">
      <c r="K10">
        <f>MAX(Table1[thalach])</f>
        <v>202</v>
      </c>
    </row>
    <row r="11" spans="2:13" x14ac:dyDescent="0.25">
      <c r="D11">
        <f>MAX(Table1[trestbps])</f>
        <v>200</v>
      </c>
      <c r="I11">
        <f>MAX(Table1[age])</f>
        <v>77</v>
      </c>
      <c r="K11">
        <f>MIN(Table1[thalach])</f>
        <v>71</v>
      </c>
    </row>
    <row r="12" spans="2:13" x14ac:dyDescent="0.25">
      <c r="D12">
        <f>MIN(Table1[trestbps])</f>
        <v>94</v>
      </c>
      <c r="I12">
        <f>MIN(Table1[age])</f>
        <v>29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249D8-6800-44D6-8240-702258648E8A}">
  <sheetPr codeName="Sheet7"/>
  <dimension ref="A2:U34"/>
  <sheetViews>
    <sheetView showGridLines="0" showRowColHeaders="0" workbookViewId="0"/>
  </sheetViews>
  <sheetFormatPr defaultRowHeight="15" x14ac:dyDescent="0.25"/>
  <sheetData>
    <row r="2" spans="1:21" x14ac:dyDescent="0.25">
      <c r="A2" s="5"/>
      <c r="B2" s="5"/>
      <c r="C2" s="5"/>
      <c r="D2" s="5"/>
      <c r="E2" s="5"/>
      <c r="F2" s="5"/>
      <c r="G2" s="5"/>
      <c r="H2" s="5"/>
      <c r="I2" s="5"/>
      <c r="J2" s="5"/>
      <c r="K2" s="5"/>
      <c r="L2" s="5"/>
      <c r="M2" s="5"/>
      <c r="N2" s="5"/>
      <c r="O2" s="5"/>
      <c r="P2" s="5"/>
      <c r="Q2" s="5"/>
      <c r="R2" s="5"/>
      <c r="S2" s="5"/>
      <c r="T2" s="5"/>
      <c r="U2" s="5"/>
    </row>
    <row r="3" spans="1:21" x14ac:dyDescent="0.25">
      <c r="A3" s="5"/>
      <c r="B3" s="5"/>
      <c r="C3" s="5"/>
      <c r="D3" s="5"/>
      <c r="E3" s="5"/>
      <c r="F3" s="5"/>
      <c r="G3" s="5"/>
      <c r="H3" s="5"/>
      <c r="I3" s="5"/>
      <c r="J3" s="5"/>
      <c r="K3" s="5"/>
      <c r="L3" s="5"/>
      <c r="M3" s="5"/>
      <c r="N3" s="5"/>
      <c r="O3" s="5"/>
      <c r="P3" s="5"/>
      <c r="Q3" s="5"/>
      <c r="R3" s="5"/>
      <c r="S3" s="5"/>
      <c r="T3" s="5"/>
      <c r="U3" s="5"/>
    </row>
    <row r="4" spans="1:21" x14ac:dyDescent="0.25">
      <c r="A4" s="5"/>
      <c r="B4" s="5"/>
      <c r="C4" s="5"/>
      <c r="D4" s="5"/>
      <c r="E4" s="5"/>
      <c r="F4" s="5"/>
      <c r="G4" s="5"/>
      <c r="H4" s="5"/>
      <c r="I4" s="5"/>
      <c r="J4" s="5"/>
      <c r="K4" s="5"/>
      <c r="L4" s="5"/>
      <c r="M4" s="5"/>
      <c r="N4" s="5"/>
      <c r="O4" s="5"/>
      <c r="P4" s="5"/>
      <c r="Q4" s="5"/>
      <c r="R4" s="5"/>
      <c r="S4" s="5"/>
      <c r="T4" s="5"/>
      <c r="U4" s="5"/>
    </row>
    <row r="5" spans="1:21" x14ac:dyDescent="0.25">
      <c r="A5" s="5"/>
      <c r="B5" s="5"/>
      <c r="C5" s="5"/>
      <c r="D5" s="5"/>
      <c r="E5" s="5"/>
      <c r="F5" s="5"/>
      <c r="G5" s="5"/>
      <c r="H5" s="5"/>
      <c r="I5" s="5"/>
      <c r="J5" s="5"/>
      <c r="K5" s="5"/>
      <c r="L5" s="5"/>
      <c r="M5" s="5"/>
      <c r="N5" s="5"/>
      <c r="O5" s="5"/>
      <c r="P5" s="5"/>
      <c r="Q5" s="5"/>
      <c r="R5" s="5"/>
      <c r="S5" s="5"/>
      <c r="T5" s="5"/>
      <c r="U5" s="5"/>
    </row>
    <row r="6" spans="1:21" x14ac:dyDescent="0.25">
      <c r="A6" s="5"/>
      <c r="B6" s="5"/>
      <c r="C6" s="5"/>
      <c r="D6" s="5"/>
      <c r="E6" s="5"/>
      <c r="F6" s="5"/>
      <c r="G6" s="5"/>
      <c r="H6" s="5"/>
      <c r="I6" s="5"/>
      <c r="J6" s="5"/>
      <c r="K6" s="5"/>
      <c r="L6" s="5"/>
      <c r="M6" s="5"/>
      <c r="N6" s="5"/>
      <c r="O6" s="5"/>
      <c r="P6" s="5"/>
      <c r="Q6" s="5"/>
      <c r="R6" s="5"/>
      <c r="S6" s="5"/>
      <c r="T6" s="5"/>
      <c r="U6" s="5"/>
    </row>
    <row r="7" spans="1:21" x14ac:dyDescent="0.25">
      <c r="A7" s="5"/>
      <c r="B7" s="5"/>
      <c r="C7" s="5"/>
      <c r="D7" s="5"/>
      <c r="E7" s="5"/>
      <c r="F7" s="5"/>
      <c r="G7" s="5"/>
      <c r="H7" s="5"/>
      <c r="I7" s="5"/>
      <c r="J7" s="5"/>
      <c r="K7" s="5"/>
      <c r="L7" s="5"/>
      <c r="M7" s="5"/>
      <c r="N7" s="5"/>
      <c r="O7" s="5"/>
      <c r="P7" s="5"/>
      <c r="Q7" s="5"/>
      <c r="R7" s="5"/>
      <c r="S7" s="5"/>
      <c r="T7" s="5"/>
      <c r="U7" s="5"/>
    </row>
    <row r="8" spans="1:21" x14ac:dyDescent="0.25">
      <c r="A8" s="5"/>
      <c r="B8" s="5"/>
      <c r="C8" s="6"/>
      <c r="D8" s="5"/>
      <c r="E8" s="5"/>
      <c r="F8" s="5"/>
      <c r="G8" s="5"/>
      <c r="H8" s="5"/>
      <c r="I8" s="5"/>
      <c r="J8" s="5"/>
      <c r="K8" s="5"/>
      <c r="L8" s="5"/>
      <c r="M8" s="5"/>
      <c r="N8" s="5"/>
      <c r="O8" s="5"/>
      <c r="P8" s="5"/>
      <c r="Q8" s="5"/>
      <c r="R8" s="5"/>
      <c r="S8" s="5"/>
      <c r="T8" s="5"/>
      <c r="U8" s="5"/>
    </row>
    <row r="9" spans="1:21" x14ac:dyDescent="0.25">
      <c r="A9" s="5"/>
      <c r="B9" s="5"/>
      <c r="C9" s="5"/>
      <c r="D9" s="5"/>
      <c r="E9" s="5"/>
      <c r="F9" s="5"/>
      <c r="G9" s="5"/>
      <c r="H9" s="5"/>
      <c r="I9" s="5"/>
      <c r="J9" s="5"/>
      <c r="K9" s="5"/>
      <c r="L9" s="5"/>
      <c r="M9" s="5"/>
      <c r="N9" s="5"/>
      <c r="O9" s="5"/>
      <c r="P9" s="5"/>
      <c r="Q9" s="5"/>
      <c r="R9" s="5"/>
      <c r="S9" s="5"/>
      <c r="T9" s="5"/>
      <c r="U9" s="5"/>
    </row>
    <row r="10" spans="1:21" x14ac:dyDescent="0.25">
      <c r="A10" s="5"/>
      <c r="B10" s="5"/>
      <c r="C10" s="7"/>
      <c r="D10" s="5"/>
      <c r="E10" s="5"/>
      <c r="F10" s="5"/>
      <c r="G10" s="5"/>
      <c r="H10" s="5"/>
      <c r="I10" s="5"/>
      <c r="J10" s="5"/>
      <c r="K10" s="5"/>
      <c r="L10" s="5"/>
      <c r="M10" s="5"/>
      <c r="N10" s="5"/>
      <c r="O10" s="5"/>
      <c r="P10" s="5"/>
      <c r="Q10" s="5"/>
      <c r="R10" s="5"/>
      <c r="S10" s="5"/>
      <c r="T10" s="5"/>
      <c r="U10" s="5"/>
    </row>
    <row r="11" spans="1:21" x14ac:dyDescent="0.25">
      <c r="A11" s="5"/>
      <c r="B11" s="5"/>
      <c r="C11" s="5"/>
      <c r="D11" s="5"/>
      <c r="E11" s="5"/>
      <c r="F11" s="5"/>
      <c r="G11" s="5"/>
      <c r="H11" s="5"/>
      <c r="I11" s="5"/>
      <c r="J11" s="5"/>
      <c r="K11" s="5"/>
      <c r="L11" s="5"/>
      <c r="M11" s="5"/>
      <c r="N11" s="5"/>
      <c r="O11" s="5"/>
      <c r="P11" s="5"/>
      <c r="Q11" s="5"/>
      <c r="R11" s="5"/>
      <c r="S11" s="5"/>
      <c r="T11" s="5"/>
      <c r="U11" s="5"/>
    </row>
    <row r="12" spans="1:21" x14ac:dyDescent="0.25">
      <c r="A12" s="5"/>
      <c r="B12" s="5"/>
      <c r="C12" s="5"/>
      <c r="D12" s="5"/>
      <c r="E12" s="5"/>
      <c r="F12" s="5"/>
      <c r="G12" s="5"/>
      <c r="H12" s="5"/>
      <c r="I12" s="5"/>
      <c r="J12" s="5"/>
      <c r="K12" s="5"/>
      <c r="L12" s="5"/>
      <c r="M12" s="5"/>
      <c r="N12" s="5"/>
      <c r="O12" s="5"/>
      <c r="P12" s="5"/>
      <c r="Q12" s="5"/>
      <c r="R12" s="5"/>
      <c r="S12" s="5"/>
      <c r="T12" s="5"/>
      <c r="U12" s="5"/>
    </row>
    <row r="13" spans="1:21" x14ac:dyDescent="0.25">
      <c r="A13" s="5"/>
      <c r="B13" s="5"/>
      <c r="C13" s="5"/>
      <c r="D13" s="5"/>
      <c r="E13" s="5"/>
      <c r="F13" s="5"/>
      <c r="G13" s="5"/>
      <c r="H13" s="5"/>
      <c r="I13" s="5"/>
      <c r="J13" s="5"/>
      <c r="K13" s="5"/>
      <c r="L13" s="5"/>
      <c r="M13" s="5"/>
      <c r="N13" s="5"/>
      <c r="O13" s="5"/>
      <c r="P13" s="5"/>
      <c r="Q13" s="5"/>
      <c r="R13" s="5"/>
      <c r="S13" s="5"/>
      <c r="T13" s="5"/>
      <c r="U13" s="5"/>
    </row>
    <row r="14" spans="1:21" x14ac:dyDescent="0.25">
      <c r="A14" s="5"/>
      <c r="B14" s="5"/>
      <c r="C14" s="5"/>
      <c r="D14" s="5"/>
      <c r="E14" s="5"/>
      <c r="F14" s="5"/>
      <c r="G14" s="5"/>
      <c r="H14" s="5"/>
      <c r="I14" s="5"/>
      <c r="J14" s="5"/>
      <c r="K14" s="5"/>
      <c r="L14" s="5"/>
      <c r="M14" s="5"/>
      <c r="N14" s="5"/>
      <c r="O14" s="5"/>
      <c r="P14" s="5"/>
      <c r="Q14" s="5"/>
      <c r="R14" s="5"/>
      <c r="S14" s="5"/>
      <c r="T14" s="5"/>
      <c r="U14" s="5"/>
    </row>
    <row r="15" spans="1:21" x14ac:dyDescent="0.25">
      <c r="A15" s="5"/>
      <c r="B15" s="5"/>
      <c r="C15" s="5"/>
      <c r="D15" s="5"/>
      <c r="E15" s="5"/>
      <c r="F15" s="5"/>
      <c r="G15" s="5"/>
      <c r="H15" s="5"/>
      <c r="I15" s="5"/>
      <c r="J15" s="5"/>
      <c r="K15" s="5"/>
      <c r="L15" s="5"/>
      <c r="M15" s="5"/>
      <c r="N15" s="5"/>
      <c r="O15" s="5"/>
      <c r="P15" s="5"/>
      <c r="Q15" s="5"/>
      <c r="R15" s="5"/>
      <c r="S15" s="5"/>
      <c r="T15" s="5"/>
      <c r="U15" s="5"/>
    </row>
    <row r="16" spans="1:21" x14ac:dyDescent="0.25">
      <c r="A16" s="5"/>
      <c r="B16" s="5"/>
      <c r="C16" s="5"/>
      <c r="D16" s="5"/>
      <c r="E16" s="5"/>
      <c r="F16" s="5"/>
      <c r="G16" s="5"/>
      <c r="H16" s="5"/>
      <c r="I16" s="5"/>
      <c r="J16" s="5"/>
      <c r="K16" s="5"/>
      <c r="L16" s="5"/>
      <c r="M16" s="5"/>
      <c r="N16" s="5"/>
      <c r="O16" s="5"/>
      <c r="P16" s="5"/>
      <c r="Q16" s="5"/>
      <c r="R16" s="5"/>
      <c r="S16" s="5"/>
      <c r="T16" s="5"/>
      <c r="U16" s="5"/>
    </row>
    <row r="17" spans="1:21" x14ac:dyDescent="0.25">
      <c r="A17" s="5"/>
      <c r="B17" s="5"/>
      <c r="C17" s="5"/>
      <c r="D17" s="5"/>
      <c r="E17" s="5"/>
      <c r="F17" s="5"/>
      <c r="G17" s="5"/>
      <c r="H17" s="5"/>
      <c r="I17" s="5"/>
      <c r="J17" s="5"/>
      <c r="K17" s="5"/>
      <c r="L17" s="5"/>
      <c r="M17" s="5"/>
      <c r="N17" s="5"/>
      <c r="O17" s="5"/>
      <c r="P17" s="5"/>
      <c r="Q17" s="5"/>
      <c r="R17" s="5"/>
      <c r="S17" s="5"/>
      <c r="T17" s="5"/>
      <c r="U17" s="5"/>
    </row>
    <row r="18" spans="1:21" x14ac:dyDescent="0.25">
      <c r="A18" s="5"/>
      <c r="B18" s="5"/>
      <c r="C18" s="5"/>
      <c r="D18" s="5"/>
      <c r="E18" s="5"/>
      <c r="F18" s="5"/>
      <c r="G18" s="5"/>
      <c r="H18" s="5"/>
      <c r="I18" s="5"/>
      <c r="J18" s="5"/>
      <c r="K18" s="5"/>
      <c r="L18" s="5"/>
      <c r="M18" s="5"/>
      <c r="N18" s="5"/>
      <c r="O18" s="5"/>
      <c r="P18" s="5"/>
      <c r="Q18" s="5"/>
      <c r="R18" s="5"/>
      <c r="S18" s="5"/>
      <c r="T18" s="5"/>
      <c r="U18" s="5"/>
    </row>
    <row r="19" spans="1:21" x14ac:dyDescent="0.25">
      <c r="A19" s="5"/>
      <c r="B19" s="5"/>
      <c r="C19" s="5"/>
      <c r="D19" s="5"/>
      <c r="E19" s="5"/>
      <c r="F19" s="5"/>
      <c r="G19" s="5"/>
      <c r="H19" s="5"/>
      <c r="I19" s="5"/>
      <c r="J19" s="5"/>
      <c r="K19" s="5"/>
      <c r="L19" s="5"/>
      <c r="M19" s="5"/>
      <c r="N19" s="5"/>
      <c r="O19" s="5"/>
      <c r="P19" s="5"/>
      <c r="Q19" s="5"/>
      <c r="R19" s="5"/>
      <c r="S19" s="5"/>
      <c r="T19" s="5"/>
      <c r="U19" s="5"/>
    </row>
    <row r="20" spans="1:21" x14ac:dyDescent="0.25">
      <c r="A20" s="5"/>
      <c r="B20" s="5"/>
      <c r="C20" s="5"/>
      <c r="D20" s="5"/>
      <c r="E20" s="5"/>
      <c r="F20" s="5"/>
      <c r="G20" s="5"/>
      <c r="H20" s="5"/>
      <c r="I20" s="5"/>
      <c r="J20" s="5"/>
      <c r="K20" s="5"/>
      <c r="L20" s="5"/>
      <c r="M20" s="5"/>
      <c r="N20" s="5"/>
      <c r="O20" s="5"/>
      <c r="P20" s="5"/>
      <c r="Q20" s="5"/>
      <c r="R20" s="5"/>
      <c r="S20" s="5"/>
      <c r="T20" s="5"/>
      <c r="U20" s="5"/>
    </row>
    <row r="21" spans="1:21" x14ac:dyDescent="0.25">
      <c r="A21" s="5"/>
      <c r="B21" s="5"/>
      <c r="C21" s="5"/>
      <c r="D21" s="5"/>
      <c r="E21" s="5"/>
      <c r="F21" s="5"/>
      <c r="G21" s="5"/>
      <c r="H21" s="5"/>
      <c r="I21" s="5"/>
      <c r="J21" s="5"/>
      <c r="K21" s="5"/>
      <c r="L21" s="5"/>
      <c r="M21" s="5"/>
      <c r="N21" s="5"/>
      <c r="O21" s="5"/>
      <c r="P21" s="5"/>
      <c r="Q21" s="5"/>
      <c r="R21" s="5"/>
      <c r="S21" s="5"/>
      <c r="T21" s="5"/>
      <c r="U21" s="5"/>
    </row>
    <row r="22" spans="1:21" x14ac:dyDescent="0.25">
      <c r="A22" s="5"/>
      <c r="B22" s="5"/>
      <c r="C22" s="5"/>
      <c r="D22" s="5"/>
      <c r="E22" s="5"/>
      <c r="F22" s="5"/>
      <c r="G22" s="5"/>
      <c r="H22" s="5"/>
      <c r="I22" s="5"/>
      <c r="J22" s="5"/>
      <c r="K22" s="5"/>
      <c r="L22" s="5"/>
      <c r="M22" s="5"/>
      <c r="N22" s="5"/>
      <c r="O22" s="5"/>
      <c r="P22" s="5"/>
      <c r="Q22" s="5"/>
      <c r="R22" s="5"/>
      <c r="S22" s="5"/>
      <c r="T22" s="5"/>
      <c r="U22" s="5"/>
    </row>
    <row r="23" spans="1:21" x14ac:dyDescent="0.25">
      <c r="A23" s="5"/>
      <c r="B23" s="5"/>
      <c r="C23" s="5"/>
      <c r="D23" s="5"/>
      <c r="E23" s="5"/>
      <c r="F23" s="5"/>
      <c r="G23" s="5"/>
      <c r="H23" s="5"/>
      <c r="I23" s="5"/>
      <c r="J23" s="5"/>
      <c r="K23" s="5"/>
      <c r="L23" s="5"/>
      <c r="M23" s="5"/>
      <c r="N23" s="5"/>
      <c r="O23" s="5"/>
      <c r="P23" s="5"/>
      <c r="Q23" s="5"/>
      <c r="R23" s="5"/>
      <c r="S23" s="5"/>
      <c r="T23" s="5"/>
      <c r="U23" s="5"/>
    </row>
    <row r="24" spans="1:21" x14ac:dyDescent="0.25">
      <c r="A24" s="5"/>
      <c r="B24" s="5"/>
      <c r="C24" s="5"/>
      <c r="D24" s="5"/>
      <c r="E24" s="5"/>
      <c r="F24" s="5"/>
      <c r="G24" s="5"/>
      <c r="H24" s="5"/>
      <c r="I24" s="5"/>
      <c r="J24" s="5"/>
      <c r="K24" s="5"/>
      <c r="L24" s="5"/>
      <c r="M24" s="5"/>
      <c r="N24" s="5"/>
      <c r="O24" s="5"/>
      <c r="P24" s="5"/>
      <c r="Q24" s="5"/>
      <c r="R24" s="5"/>
      <c r="S24" s="5"/>
      <c r="T24" s="5"/>
      <c r="U24" s="5"/>
    </row>
    <row r="25" spans="1:21" x14ac:dyDescent="0.25">
      <c r="A25" s="5"/>
      <c r="B25" s="5"/>
      <c r="C25" s="5"/>
      <c r="D25" s="5"/>
      <c r="E25" s="5"/>
      <c r="F25" s="5"/>
      <c r="G25" s="5"/>
      <c r="H25" s="5"/>
      <c r="I25" s="5"/>
      <c r="J25" s="5"/>
      <c r="K25" s="5"/>
      <c r="L25" s="5"/>
      <c r="M25" s="5"/>
      <c r="N25" s="5"/>
      <c r="O25" s="5"/>
      <c r="P25" s="5"/>
      <c r="Q25" s="5"/>
      <c r="R25" s="5"/>
      <c r="S25" s="5"/>
      <c r="T25" s="5"/>
      <c r="U25" s="5"/>
    </row>
    <row r="26" spans="1:21" x14ac:dyDescent="0.25">
      <c r="A26" s="5"/>
      <c r="B26" s="5"/>
      <c r="C26" s="5"/>
      <c r="D26" s="5"/>
      <c r="E26" s="5"/>
      <c r="F26" s="5"/>
      <c r="G26" s="5"/>
      <c r="H26" s="5"/>
      <c r="I26" s="5"/>
      <c r="J26" s="5"/>
      <c r="K26" s="5"/>
      <c r="L26" s="5"/>
      <c r="M26" s="5"/>
      <c r="N26" s="5"/>
      <c r="O26" s="5"/>
      <c r="P26" s="5"/>
      <c r="Q26" s="5"/>
      <c r="R26" s="5"/>
      <c r="S26" s="5"/>
      <c r="T26" s="5"/>
      <c r="U26" s="5"/>
    </row>
    <row r="27" spans="1:21" x14ac:dyDescent="0.25">
      <c r="A27" s="5"/>
      <c r="B27" s="5"/>
      <c r="C27" s="5"/>
      <c r="D27" s="5"/>
      <c r="E27" s="5"/>
      <c r="F27" s="5"/>
      <c r="G27" s="5"/>
      <c r="H27" s="5"/>
      <c r="I27" s="5"/>
      <c r="J27" s="5"/>
      <c r="K27" s="5"/>
      <c r="L27" s="5"/>
      <c r="M27" s="5"/>
      <c r="N27" s="5"/>
      <c r="O27" s="5"/>
      <c r="P27" s="5"/>
      <c r="Q27" s="5"/>
      <c r="R27" s="5"/>
      <c r="S27" s="5"/>
      <c r="T27" s="5"/>
      <c r="U27" s="5"/>
    </row>
    <row r="28" spans="1:21" x14ac:dyDescent="0.25">
      <c r="A28" s="5"/>
      <c r="B28" s="5"/>
      <c r="C28" s="5"/>
      <c r="D28" s="5"/>
      <c r="E28" s="5"/>
      <c r="F28" s="5"/>
      <c r="G28" s="5"/>
      <c r="H28" s="5"/>
      <c r="I28" s="5"/>
      <c r="J28" s="5"/>
      <c r="K28" s="5"/>
      <c r="L28" s="5"/>
      <c r="M28" s="5"/>
      <c r="N28" s="5"/>
      <c r="O28" s="5"/>
      <c r="P28" s="5"/>
      <c r="Q28" s="5"/>
      <c r="R28" s="5"/>
      <c r="S28" s="5"/>
      <c r="T28" s="5"/>
      <c r="U28" s="5"/>
    </row>
    <row r="29" spans="1:21" x14ac:dyDescent="0.25">
      <c r="A29" s="5"/>
      <c r="B29" s="5"/>
      <c r="C29" s="5"/>
      <c r="D29" s="5"/>
      <c r="E29" s="5"/>
      <c r="F29" s="5"/>
      <c r="G29" s="5"/>
      <c r="H29" s="5"/>
      <c r="I29" s="5"/>
      <c r="J29" s="5"/>
      <c r="K29" s="5"/>
      <c r="L29" s="5"/>
      <c r="M29" s="5"/>
      <c r="N29" s="5"/>
      <c r="O29" s="5"/>
      <c r="P29" s="5"/>
      <c r="Q29" s="5"/>
      <c r="R29" s="5"/>
      <c r="S29" s="5"/>
      <c r="T29" s="5"/>
      <c r="U29" s="5"/>
    </row>
    <row r="30" spans="1:21" x14ac:dyDescent="0.25">
      <c r="A30" s="5"/>
      <c r="B30" s="5"/>
      <c r="C30" s="5"/>
      <c r="D30" s="5"/>
      <c r="E30" s="5"/>
      <c r="F30" s="5"/>
      <c r="G30" s="5"/>
      <c r="H30" s="5"/>
      <c r="I30" s="5"/>
      <c r="J30" s="5"/>
      <c r="K30" s="5"/>
      <c r="L30" s="5"/>
      <c r="M30" s="5"/>
      <c r="N30" s="5"/>
      <c r="O30" s="5"/>
      <c r="P30" s="5"/>
      <c r="Q30" s="5"/>
      <c r="R30" s="5"/>
      <c r="S30" s="5"/>
      <c r="T30" s="5"/>
      <c r="U30" s="5"/>
    </row>
    <row r="31" spans="1:21" x14ac:dyDescent="0.25">
      <c r="A31" s="5"/>
      <c r="B31" s="5"/>
      <c r="C31" s="5"/>
      <c r="D31" s="5"/>
      <c r="E31" s="5"/>
      <c r="F31" s="5"/>
      <c r="G31" s="5"/>
      <c r="H31" s="5"/>
      <c r="I31" s="5"/>
      <c r="J31" s="5"/>
      <c r="K31" s="5"/>
      <c r="L31" s="5"/>
      <c r="M31" s="5"/>
      <c r="N31" s="5"/>
      <c r="O31" s="5"/>
      <c r="P31" s="5"/>
      <c r="Q31" s="5"/>
      <c r="R31" s="5"/>
      <c r="S31" s="5"/>
      <c r="T31" s="5"/>
      <c r="U31" s="5"/>
    </row>
    <row r="32" spans="1:21" x14ac:dyDescent="0.25">
      <c r="A32" s="5"/>
      <c r="B32" s="5"/>
      <c r="C32" s="5"/>
      <c r="D32" s="5"/>
      <c r="E32" s="5"/>
      <c r="F32" s="5"/>
      <c r="G32" s="5"/>
      <c r="H32" s="5"/>
      <c r="I32" s="5"/>
      <c r="J32" s="5"/>
      <c r="K32" s="5"/>
      <c r="L32" s="5"/>
      <c r="M32" s="5"/>
      <c r="N32" s="5"/>
      <c r="O32" s="5"/>
      <c r="P32" s="5"/>
      <c r="Q32" s="5"/>
      <c r="R32" s="5"/>
      <c r="S32" s="5"/>
      <c r="T32" s="5"/>
      <c r="U32" s="5"/>
    </row>
    <row r="33" spans="1:21" x14ac:dyDescent="0.25">
      <c r="A33" s="5"/>
      <c r="B33" s="5"/>
      <c r="C33" s="5"/>
      <c r="D33" s="5"/>
      <c r="E33" s="5"/>
      <c r="F33" s="5"/>
      <c r="G33" s="5"/>
      <c r="H33" s="5"/>
      <c r="I33" s="5"/>
      <c r="J33" s="5"/>
      <c r="K33" s="5"/>
      <c r="L33" s="5"/>
      <c r="M33" s="5"/>
      <c r="N33" s="5"/>
      <c r="O33" s="5"/>
      <c r="P33" s="5"/>
      <c r="Q33" s="5"/>
      <c r="R33" s="5"/>
      <c r="S33" s="5"/>
      <c r="T33" s="5"/>
      <c r="U33" s="5"/>
    </row>
    <row r="34" spans="1:21" x14ac:dyDescent="0.25">
      <c r="A34" s="5"/>
      <c r="B34" s="5"/>
      <c r="C34" s="5"/>
      <c r="D34" s="5"/>
      <c r="E34" s="5"/>
      <c r="F34" s="5"/>
      <c r="G34" s="5"/>
      <c r="H34" s="5"/>
      <c r="I34" s="5"/>
      <c r="J34" s="5"/>
      <c r="K34" s="5"/>
      <c r="L34" s="5"/>
      <c r="M34" s="5"/>
      <c r="N34" s="5"/>
      <c r="O34" s="5"/>
      <c r="P34" s="5"/>
      <c r="Q34" s="5"/>
      <c r="R34" s="5"/>
      <c r="S34" s="5"/>
      <c r="T34" s="5"/>
      <c r="U34"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AECA3-B259-4B0B-B705-127F1B358179}">
  <sheetPr codeName="Sheet10"/>
  <dimension ref="A4:U34"/>
  <sheetViews>
    <sheetView showGridLines="0" showRowColHeaders="0" workbookViewId="0">
      <selection activeCell="M7" sqref="M7"/>
    </sheetView>
  </sheetViews>
  <sheetFormatPr defaultRowHeight="15" x14ac:dyDescent="0.25"/>
  <sheetData>
    <row r="4" spans="1:21" x14ac:dyDescent="0.25">
      <c r="A4" s="5"/>
      <c r="B4" s="5"/>
      <c r="C4" s="5"/>
      <c r="D4" s="5"/>
      <c r="E4" s="5"/>
      <c r="F4" s="5"/>
      <c r="G4" s="5"/>
      <c r="H4" s="5"/>
      <c r="I4" s="5"/>
      <c r="J4" s="5"/>
      <c r="K4" s="5"/>
      <c r="L4" s="5"/>
      <c r="M4" s="5"/>
      <c r="N4" s="5"/>
      <c r="O4" s="5"/>
      <c r="P4" s="5"/>
      <c r="Q4" s="5"/>
      <c r="R4" s="5"/>
      <c r="S4" s="5"/>
      <c r="T4" s="5"/>
      <c r="U4" s="5"/>
    </row>
    <row r="5" spans="1:21" x14ac:dyDescent="0.25">
      <c r="A5" s="5"/>
      <c r="B5" s="5"/>
      <c r="C5" s="5"/>
      <c r="D5" s="5"/>
      <c r="E5" s="5"/>
      <c r="F5" s="5"/>
      <c r="G5" s="5"/>
      <c r="H5" s="5"/>
      <c r="I5" s="5"/>
      <c r="J5" s="5"/>
      <c r="K5" s="5"/>
      <c r="L5" s="5"/>
      <c r="M5" s="5"/>
      <c r="N5" s="5"/>
      <c r="O5" s="5"/>
      <c r="P5" s="5"/>
      <c r="Q5" s="5"/>
      <c r="R5" s="5"/>
      <c r="S5" s="5"/>
      <c r="T5" s="5"/>
      <c r="U5" s="5"/>
    </row>
    <row r="6" spans="1:21" x14ac:dyDescent="0.25">
      <c r="A6" s="5"/>
      <c r="B6" s="5"/>
      <c r="C6" s="5"/>
      <c r="D6" s="5"/>
      <c r="E6" s="5"/>
      <c r="F6" s="5"/>
      <c r="G6" s="5"/>
      <c r="H6" s="5"/>
      <c r="I6" s="5"/>
      <c r="J6" s="5"/>
      <c r="K6" s="5"/>
      <c r="L6" s="5"/>
      <c r="M6" s="5"/>
      <c r="N6" s="5"/>
      <c r="O6" s="5"/>
      <c r="P6" s="5"/>
      <c r="Q6" s="5"/>
      <c r="R6" s="5"/>
      <c r="S6" s="5"/>
      <c r="T6" s="5"/>
      <c r="U6" s="5"/>
    </row>
    <row r="7" spans="1:21" x14ac:dyDescent="0.25">
      <c r="A7" s="5"/>
      <c r="B7" s="5"/>
      <c r="C7" s="5"/>
      <c r="D7" s="5"/>
      <c r="E7" s="5"/>
      <c r="F7" s="5"/>
      <c r="G7" s="5"/>
      <c r="H7" s="5"/>
      <c r="I7" s="5"/>
      <c r="J7" s="5"/>
      <c r="K7" s="5"/>
      <c r="L7" s="5"/>
      <c r="M7" s="5"/>
      <c r="N7" s="5"/>
      <c r="O7" s="5"/>
      <c r="P7" s="5"/>
      <c r="Q7" s="5"/>
      <c r="R7" s="5"/>
      <c r="S7" s="5"/>
      <c r="T7" s="5"/>
      <c r="U7" s="5"/>
    </row>
    <row r="8" spans="1:21" x14ac:dyDescent="0.25">
      <c r="A8" s="5"/>
      <c r="B8" s="5"/>
      <c r="C8" s="5"/>
      <c r="D8" s="5"/>
      <c r="E8" s="5"/>
      <c r="F8" s="5"/>
      <c r="G8" s="5"/>
      <c r="H8" s="5"/>
      <c r="I8" s="5"/>
      <c r="J8" s="5"/>
      <c r="K8" s="5"/>
      <c r="L8" s="5"/>
      <c r="M8" s="5"/>
      <c r="N8" s="5"/>
      <c r="O8" s="5"/>
      <c r="P8" s="5"/>
      <c r="Q8" s="5"/>
      <c r="R8" s="5"/>
      <c r="S8" s="5"/>
      <c r="T8" s="5"/>
      <c r="U8" s="5"/>
    </row>
    <row r="9" spans="1:21" x14ac:dyDescent="0.25">
      <c r="A9" s="5"/>
      <c r="B9" s="5"/>
      <c r="C9" s="5"/>
      <c r="D9" s="5"/>
      <c r="E9" s="5"/>
      <c r="F9" s="5"/>
      <c r="G9" s="5"/>
      <c r="H9" s="5"/>
      <c r="I9" s="5"/>
      <c r="J9" s="5"/>
      <c r="K9" s="5"/>
      <c r="L9" s="5"/>
      <c r="M9" s="5"/>
      <c r="N9" s="5"/>
      <c r="O9" s="5"/>
      <c r="P9" s="5"/>
      <c r="Q9" s="5"/>
      <c r="R9" s="5"/>
      <c r="S9" s="5"/>
      <c r="T9" s="5"/>
      <c r="U9" s="5"/>
    </row>
    <row r="10" spans="1:21" x14ac:dyDescent="0.25">
      <c r="A10" s="5"/>
      <c r="B10" s="5"/>
      <c r="C10" s="5"/>
      <c r="D10" s="5"/>
      <c r="E10" s="5"/>
      <c r="F10" s="5"/>
      <c r="G10" s="5"/>
      <c r="H10" s="5"/>
      <c r="I10" s="5"/>
      <c r="J10" s="5"/>
      <c r="K10" s="5"/>
      <c r="L10" s="5"/>
      <c r="M10" s="5"/>
      <c r="N10" s="5"/>
      <c r="O10" s="5"/>
      <c r="P10" s="5"/>
      <c r="Q10" s="5"/>
      <c r="R10" s="5"/>
      <c r="S10" s="5"/>
      <c r="T10" s="5"/>
      <c r="U10" s="5"/>
    </row>
    <row r="11" spans="1:21" x14ac:dyDescent="0.25">
      <c r="A11" s="5"/>
      <c r="B11" s="5"/>
      <c r="C11" s="5"/>
      <c r="D11" s="5"/>
      <c r="E11" s="5"/>
      <c r="F11" s="5"/>
      <c r="G11" s="5"/>
      <c r="H11" s="5"/>
      <c r="I11" s="5"/>
      <c r="J11" s="5"/>
      <c r="K11" s="5"/>
      <c r="L11" s="5"/>
      <c r="M11" s="5"/>
      <c r="N11" s="5"/>
      <c r="O11" s="5"/>
      <c r="P11" s="5"/>
      <c r="Q11" s="5"/>
      <c r="R11" s="5"/>
      <c r="S11" s="5"/>
      <c r="T11" s="5"/>
      <c r="U11" s="5"/>
    </row>
    <row r="12" spans="1:21" x14ac:dyDescent="0.25">
      <c r="A12" s="5"/>
      <c r="B12" s="5"/>
      <c r="C12" s="5"/>
      <c r="D12" s="5"/>
      <c r="E12" s="5"/>
      <c r="F12" s="5"/>
      <c r="G12" s="5"/>
      <c r="H12" s="5"/>
      <c r="I12" s="5"/>
      <c r="J12" s="5"/>
      <c r="K12" s="5"/>
      <c r="L12" s="5"/>
      <c r="M12" s="5"/>
      <c r="N12" s="5"/>
      <c r="O12" s="5"/>
      <c r="P12" s="5"/>
      <c r="Q12" s="5"/>
      <c r="R12" s="5"/>
      <c r="S12" s="5"/>
      <c r="T12" s="5"/>
      <c r="U12" s="5"/>
    </row>
    <row r="13" spans="1:21" x14ac:dyDescent="0.25">
      <c r="A13" s="5"/>
      <c r="B13" s="5"/>
      <c r="C13" s="5"/>
      <c r="D13" s="5"/>
      <c r="E13" s="5"/>
      <c r="F13" s="5"/>
      <c r="G13" s="5"/>
      <c r="H13" s="5"/>
      <c r="I13" s="5"/>
      <c r="J13" s="5"/>
      <c r="K13" s="5"/>
      <c r="L13" s="5"/>
      <c r="M13" s="5"/>
      <c r="N13" s="5"/>
      <c r="O13" s="5"/>
      <c r="P13" s="5"/>
      <c r="Q13" s="5"/>
      <c r="R13" s="5"/>
      <c r="S13" s="5"/>
      <c r="T13" s="5"/>
      <c r="U13" s="5"/>
    </row>
    <row r="14" spans="1:21" x14ac:dyDescent="0.25">
      <c r="A14" s="5"/>
      <c r="B14" s="5"/>
      <c r="C14" s="5"/>
      <c r="D14" s="5"/>
      <c r="E14" s="5"/>
      <c r="F14" s="5"/>
      <c r="G14" s="5"/>
      <c r="H14" s="5"/>
      <c r="I14" s="5"/>
      <c r="J14" s="5"/>
      <c r="K14" s="5"/>
      <c r="L14" s="5"/>
      <c r="M14" s="5"/>
      <c r="N14" s="5"/>
      <c r="O14" s="5"/>
      <c r="P14" s="5"/>
      <c r="Q14" s="5"/>
      <c r="R14" s="5"/>
      <c r="S14" s="5"/>
      <c r="T14" s="5"/>
      <c r="U14" s="5"/>
    </row>
    <row r="15" spans="1:21" x14ac:dyDescent="0.25">
      <c r="A15" s="5"/>
      <c r="B15" s="5"/>
      <c r="C15" s="5"/>
      <c r="D15" s="5"/>
      <c r="E15" s="5"/>
      <c r="F15" s="5"/>
      <c r="G15" s="5"/>
      <c r="H15" s="5"/>
      <c r="I15" s="5"/>
      <c r="J15" s="5"/>
      <c r="K15" s="5"/>
      <c r="L15" s="5"/>
      <c r="M15" s="5"/>
      <c r="N15" s="5"/>
      <c r="O15" s="5"/>
      <c r="P15" s="5"/>
      <c r="Q15" s="5"/>
      <c r="R15" s="5"/>
      <c r="S15" s="5"/>
      <c r="T15" s="5"/>
      <c r="U15" s="5"/>
    </row>
    <row r="16" spans="1:21" x14ac:dyDescent="0.25">
      <c r="A16" s="5"/>
      <c r="B16" s="5"/>
      <c r="C16" s="5"/>
      <c r="D16" s="5"/>
      <c r="E16" s="5"/>
      <c r="F16" s="5"/>
      <c r="G16" s="5"/>
      <c r="H16" s="5"/>
      <c r="I16" s="5"/>
      <c r="J16" s="5"/>
      <c r="K16" s="5"/>
      <c r="L16" s="5"/>
      <c r="M16" s="5"/>
      <c r="N16" s="5"/>
      <c r="O16" s="5"/>
      <c r="P16" s="5"/>
      <c r="Q16" s="5"/>
      <c r="R16" s="5"/>
      <c r="S16" s="5"/>
      <c r="T16" s="5"/>
      <c r="U16" s="5"/>
    </row>
    <row r="17" spans="1:21" x14ac:dyDescent="0.25">
      <c r="A17" s="5"/>
      <c r="B17" s="5"/>
      <c r="C17" s="5"/>
      <c r="D17" s="5"/>
      <c r="E17" s="5"/>
      <c r="F17" s="5"/>
      <c r="G17" s="5"/>
      <c r="H17" s="5"/>
      <c r="I17" s="5"/>
      <c r="J17" s="5"/>
      <c r="K17" s="5"/>
      <c r="L17" s="5"/>
      <c r="M17" s="5"/>
      <c r="N17" s="5"/>
      <c r="O17" s="5"/>
      <c r="P17" s="5"/>
      <c r="Q17" s="5"/>
      <c r="R17" s="5"/>
      <c r="S17" s="5"/>
      <c r="T17" s="5"/>
      <c r="U17" s="5"/>
    </row>
    <row r="18" spans="1:21" x14ac:dyDescent="0.25">
      <c r="A18" s="5"/>
      <c r="B18" s="5"/>
      <c r="C18" s="5"/>
      <c r="D18" s="5"/>
      <c r="E18" s="5"/>
      <c r="F18" s="5"/>
      <c r="G18" s="5"/>
      <c r="H18" s="5"/>
      <c r="I18" s="5"/>
      <c r="J18" s="5"/>
      <c r="K18" s="5"/>
      <c r="L18" s="5"/>
      <c r="M18" s="5"/>
      <c r="N18" s="5"/>
      <c r="O18" s="5"/>
      <c r="P18" s="5"/>
      <c r="Q18" s="5"/>
      <c r="R18" s="5"/>
      <c r="S18" s="5"/>
      <c r="T18" s="5"/>
      <c r="U18" s="5"/>
    </row>
    <row r="19" spans="1:21" x14ac:dyDescent="0.25">
      <c r="A19" s="5"/>
      <c r="B19" s="5"/>
      <c r="C19" s="5"/>
      <c r="D19" s="5"/>
      <c r="E19" s="5"/>
      <c r="F19" s="5"/>
      <c r="G19" s="5"/>
      <c r="H19" s="5"/>
      <c r="I19" s="5"/>
      <c r="J19" s="5"/>
      <c r="K19" s="5"/>
      <c r="L19" s="5"/>
      <c r="M19" s="5"/>
      <c r="N19" s="5"/>
      <c r="O19" s="5"/>
      <c r="P19" s="5"/>
      <c r="Q19" s="5"/>
      <c r="R19" s="5"/>
      <c r="S19" s="5"/>
      <c r="T19" s="5"/>
      <c r="U19" s="5"/>
    </row>
    <row r="20" spans="1:21" x14ac:dyDescent="0.25">
      <c r="A20" s="5"/>
      <c r="B20" s="5"/>
      <c r="C20" s="5"/>
      <c r="D20" s="5"/>
      <c r="E20" s="5"/>
      <c r="F20" s="5"/>
      <c r="G20" s="5"/>
      <c r="H20" s="5"/>
      <c r="I20" s="5"/>
      <c r="J20" s="5"/>
      <c r="K20" s="5"/>
      <c r="L20" s="5"/>
      <c r="M20" s="5"/>
      <c r="N20" s="5"/>
      <c r="O20" s="5"/>
      <c r="P20" s="5"/>
      <c r="Q20" s="5"/>
      <c r="R20" s="5"/>
      <c r="S20" s="5"/>
      <c r="T20" s="5"/>
      <c r="U20" s="5"/>
    </row>
    <row r="21" spans="1:21" x14ac:dyDescent="0.25">
      <c r="A21" s="5"/>
      <c r="B21" s="5"/>
      <c r="C21" s="5"/>
      <c r="D21" s="5"/>
      <c r="E21" s="5"/>
      <c r="F21" s="5"/>
      <c r="G21" s="5"/>
      <c r="H21" s="5"/>
      <c r="I21" s="5"/>
      <c r="J21" s="5"/>
      <c r="K21" s="5"/>
      <c r="L21" s="5"/>
      <c r="M21" s="5"/>
      <c r="N21" s="5"/>
      <c r="O21" s="5"/>
      <c r="P21" s="5"/>
      <c r="Q21" s="5"/>
      <c r="R21" s="5"/>
      <c r="S21" s="5"/>
      <c r="T21" s="5"/>
      <c r="U21" s="5"/>
    </row>
    <row r="22" spans="1:21" x14ac:dyDescent="0.25">
      <c r="A22" s="5"/>
      <c r="B22" s="5"/>
      <c r="C22" s="5"/>
      <c r="D22" s="5"/>
      <c r="E22" s="5"/>
      <c r="F22" s="5"/>
      <c r="G22" s="5"/>
      <c r="H22" s="5"/>
      <c r="I22" s="5"/>
      <c r="J22" s="5"/>
      <c r="K22" s="5"/>
      <c r="L22" s="5"/>
      <c r="M22" s="5"/>
      <c r="N22" s="5"/>
      <c r="O22" s="5"/>
      <c r="P22" s="5"/>
      <c r="Q22" s="5"/>
      <c r="R22" s="5"/>
      <c r="S22" s="5"/>
      <c r="T22" s="5"/>
      <c r="U22" s="5"/>
    </row>
    <row r="23" spans="1:21" x14ac:dyDescent="0.25">
      <c r="A23" s="5"/>
      <c r="B23" s="5"/>
      <c r="C23" s="5"/>
      <c r="D23" s="5"/>
      <c r="E23" s="5"/>
      <c r="F23" s="5"/>
      <c r="G23" s="5"/>
      <c r="H23" s="5"/>
      <c r="I23" s="5"/>
      <c r="J23" s="5"/>
      <c r="K23" s="5"/>
      <c r="L23" s="5"/>
      <c r="M23" s="5"/>
      <c r="N23" s="5"/>
      <c r="O23" s="5"/>
      <c r="P23" s="5"/>
      <c r="Q23" s="5"/>
      <c r="R23" s="5"/>
      <c r="S23" s="5"/>
      <c r="T23" s="5"/>
      <c r="U23" s="5"/>
    </row>
    <row r="24" spans="1:21" x14ac:dyDescent="0.25">
      <c r="A24" s="5"/>
      <c r="B24" s="5"/>
      <c r="C24" s="5"/>
      <c r="D24" s="5"/>
      <c r="E24" s="5"/>
      <c r="F24" s="5"/>
      <c r="G24" s="5"/>
      <c r="H24" s="5"/>
      <c r="I24" s="5"/>
      <c r="J24" s="5"/>
      <c r="K24" s="5"/>
      <c r="L24" s="5"/>
      <c r="M24" s="5"/>
      <c r="N24" s="5"/>
      <c r="O24" s="5"/>
      <c r="P24" s="5"/>
      <c r="Q24" s="5"/>
      <c r="R24" s="5"/>
      <c r="S24" s="5"/>
      <c r="T24" s="5"/>
      <c r="U24" s="5"/>
    </row>
    <row r="25" spans="1:21" x14ac:dyDescent="0.25">
      <c r="A25" s="5"/>
      <c r="B25" s="5"/>
      <c r="C25" s="5"/>
      <c r="D25" s="5"/>
      <c r="E25" s="5"/>
      <c r="F25" s="5"/>
      <c r="G25" s="5"/>
      <c r="H25" s="5"/>
      <c r="I25" s="5"/>
      <c r="J25" s="5"/>
      <c r="K25" s="5"/>
      <c r="L25" s="5"/>
      <c r="M25" s="5"/>
      <c r="N25" s="5"/>
      <c r="O25" s="5"/>
      <c r="P25" s="5"/>
      <c r="Q25" s="5"/>
      <c r="R25" s="5"/>
      <c r="S25" s="5"/>
      <c r="T25" s="5"/>
      <c r="U25" s="5"/>
    </row>
    <row r="26" spans="1:21" x14ac:dyDescent="0.25">
      <c r="A26" s="5"/>
      <c r="B26" s="5"/>
      <c r="C26" s="5"/>
      <c r="D26" s="5"/>
      <c r="E26" s="5"/>
      <c r="F26" s="5"/>
      <c r="G26" s="5"/>
      <c r="H26" s="5"/>
      <c r="I26" s="5"/>
      <c r="J26" s="5"/>
      <c r="K26" s="5"/>
      <c r="L26" s="5"/>
      <c r="M26" s="5"/>
      <c r="N26" s="5"/>
      <c r="O26" s="5"/>
      <c r="P26" s="5"/>
      <c r="Q26" s="5"/>
      <c r="R26" s="5"/>
      <c r="S26" s="5"/>
      <c r="T26" s="5"/>
      <c r="U26" s="5"/>
    </row>
    <row r="27" spans="1:21" x14ac:dyDescent="0.25">
      <c r="A27" s="5"/>
      <c r="B27" s="5"/>
      <c r="C27" s="5"/>
      <c r="D27" s="5"/>
      <c r="E27" s="5"/>
      <c r="F27" s="5"/>
      <c r="G27" s="5"/>
      <c r="H27" s="5"/>
      <c r="I27" s="5"/>
      <c r="J27" s="5"/>
      <c r="K27" s="5"/>
      <c r="L27" s="5"/>
      <c r="M27" s="5"/>
      <c r="N27" s="5"/>
      <c r="O27" s="5"/>
      <c r="P27" s="5"/>
      <c r="Q27" s="5"/>
      <c r="R27" s="5"/>
      <c r="S27" s="5"/>
      <c r="T27" s="5"/>
      <c r="U27" s="5"/>
    </row>
    <row r="28" spans="1:21" x14ac:dyDescent="0.25">
      <c r="A28" s="5"/>
      <c r="B28" s="5"/>
      <c r="C28" s="5"/>
      <c r="D28" s="5"/>
      <c r="E28" s="5"/>
      <c r="F28" s="5"/>
      <c r="G28" s="5"/>
      <c r="H28" s="5"/>
      <c r="I28" s="5"/>
      <c r="J28" s="5"/>
      <c r="K28" s="5"/>
      <c r="L28" s="5"/>
      <c r="M28" s="5"/>
      <c r="N28" s="5"/>
      <c r="O28" s="5"/>
      <c r="P28" s="5"/>
      <c r="Q28" s="5"/>
      <c r="R28" s="5"/>
      <c r="S28" s="5"/>
      <c r="T28" s="5"/>
      <c r="U28" s="5"/>
    </row>
    <row r="29" spans="1:21" x14ac:dyDescent="0.25">
      <c r="A29" s="5"/>
      <c r="B29" s="5"/>
      <c r="C29" s="5"/>
      <c r="D29" s="5"/>
      <c r="E29" s="5"/>
      <c r="F29" s="5"/>
      <c r="G29" s="5"/>
      <c r="H29" s="5"/>
      <c r="I29" s="5"/>
      <c r="J29" s="5"/>
      <c r="K29" s="5"/>
      <c r="L29" s="5"/>
      <c r="M29" s="5"/>
      <c r="N29" s="5"/>
      <c r="O29" s="5"/>
      <c r="P29" s="5"/>
      <c r="Q29" s="5"/>
      <c r="R29" s="5"/>
      <c r="S29" s="5"/>
      <c r="T29" s="5"/>
      <c r="U29" s="5"/>
    </row>
    <row r="30" spans="1:21" x14ac:dyDescent="0.25">
      <c r="A30" s="5"/>
      <c r="B30" s="5"/>
      <c r="C30" s="5"/>
      <c r="D30" s="5"/>
      <c r="E30" s="5"/>
      <c r="F30" s="5"/>
      <c r="G30" s="5"/>
      <c r="H30" s="5"/>
      <c r="I30" s="5"/>
      <c r="J30" s="5"/>
      <c r="K30" s="5"/>
      <c r="L30" s="5"/>
      <c r="M30" s="5"/>
      <c r="N30" s="5"/>
      <c r="O30" s="5"/>
      <c r="P30" s="5"/>
      <c r="Q30" s="5"/>
      <c r="R30" s="5"/>
      <c r="S30" s="5"/>
      <c r="T30" s="5"/>
      <c r="U30" s="5"/>
    </row>
    <row r="31" spans="1:21" x14ac:dyDescent="0.25">
      <c r="A31" s="5"/>
      <c r="B31" s="5"/>
      <c r="C31" s="5"/>
      <c r="D31" s="5"/>
      <c r="E31" s="5"/>
      <c r="F31" s="5"/>
      <c r="G31" s="5"/>
      <c r="H31" s="5"/>
      <c r="I31" s="5"/>
      <c r="J31" s="5"/>
      <c r="K31" s="5"/>
      <c r="L31" s="5"/>
      <c r="M31" s="5"/>
      <c r="N31" s="5"/>
      <c r="O31" s="5"/>
      <c r="P31" s="5"/>
      <c r="Q31" s="5"/>
      <c r="R31" s="5"/>
      <c r="S31" s="5"/>
      <c r="T31" s="5"/>
      <c r="U31" s="5"/>
    </row>
    <row r="32" spans="1:21" x14ac:dyDescent="0.25">
      <c r="A32" s="5"/>
      <c r="B32" s="5"/>
      <c r="C32" s="5"/>
      <c r="D32" s="5"/>
      <c r="E32" s="5"/>
      <c r="F32" s="5"/>
      <c r="G32" s="5"/>
      <c r="H32" s="5"/>
      <c r="I32" s="5"/>
      <c r="J32" s="5"/>
      <c r="K32" s="5"/>
      <c r="L32" s="5"/>
      <c r="M32" s="5"/>
      <c r="N32" s="5"/>
      <c r="O32" s="5"/>
      <c r="P32" s="5"/>
      <c r="Q32" s="5"/>
      <c r="R32" s="5"/>
      <c r="S32" s="5"/>
      <c r="T32" s="5"/>
      <c r="U32" s="5"/>
    </row>
    <row r="33" spans="1:21" x14ac:dyDescent="0.25">
      <c r="A33" s="5"/>
      <c r="B33" s="5"/>
      <c r="C33" s="5"/>
      <c r="D33" s="5"/>
      <c r="E33" s="5"/>
      <c r="F33" s="5"/>
      <c r="G33" s="5"/>
      <c r="H33" s="5"/>
      <c r="I33" s="5"/>
      <c r="J33" s="5"/>
      <c r="K33" s="5"/>
      <c r="L33" s="5"/>
      <c r="M33" s="5"/>
      <c r="N33" s="5"/>
      <c r="O33" s="5"/>
      <c r="P33" s="5"/>
      <c r="Q33" s="5"/>
      <c r="R33" s="5"/>
      <c r="S33" s="5"/>
      <c r="T33" s="5"/>
      <c r="U33" s="5"/>
    </row>
    <row r="34" spans="1:21" x14ac:dyDescent="0.25">
      <c r="A34" s="5"/>
      <c r="B34" s="5"/>
      <c r="C34" s="5"/>
      <c r="D34" s="5"/>
      <c r="E34" s="5"/>
      <c r="F34" s="5"/>
      <c r="G34" s="5"/>
      <c r="H34" s="5"/>
      <c r="I34" s="5"/>
      <c r="J34" s="5"/>
      <c r="K34" s="5"/>
      <c r="L34" s="5"/>
      <c r="M34" s="5"/>
      <c r="N34" s="5"/>
      <c r="O34" s="5"/>
      <c r="P34" s="5"/>
      <c r="Q34" s="5"/>
      <c r="R34" s="5"/>
      <c r="S34" s="5"/>
      <c r="T34" s="5"/>
      <c r="U34" s="5"/>
    </row>
  </sheetData>
  <sheetProtection algorithmName="SHA-512" hashValue="KGr0mmfP91NvV7fnAG+LWAql0SUlSPJo6TkHyDfhnrRrfZ9ye3YqQhQSufc8Jutyx796cALHwWWfJpJ8RibCnw==" saltValue="2D9CmyPH6NqMgIQHFodpHg=="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5FD11-73BB-4956-861D-72CB2E158CC9}">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ED7BD-7AEB-4B0C-A975-97AE050B229C}">
  <dimension ref="A1:U34"/>
  <sheetViews>
    <sheetView showGridLines="0" showRowColHeaders="0" workbookViewId="0">
      <selection activeCell="K5" sqref="K5"/>
    </sheetView>
  </sheetViews>
  <sheetFormatPr defaultRowHeight="15" x14ac:dyDescent="0.25"/>
  <sheetData>
    <row r="1" spans="1:21" x14ac:dyDescent="0.25">
      <c r="A1" s="5"/>
      <c r="B1" s="5"/>
      <c r="C1" s="5"/>
      <c r="D1" s="5"/>
      <c r="E1" s="5"/>
      <c r="F1" s="5"/>
      <c r="G1" s="5"/>
      <c r="H1" s="5"/>
      <c r="I1" s="5"/>
      <c r="J1" s="5"/>
      <c r="K1" s="5"/>
      <c r="L1" s="5"/>
      <c r="M1" s="5"/>
      <c r="N1" s="5"/>
      <c r="O1" s="5"/>
      <c r="P1" s="5"/>
      <c r="Q1" s="5"/>
      <c r="R1" s="5"/>
      <c r="S1" s="5"/>
      <c r="T1" s="5"/>
      <c r="U1" s="5"/>
    </row>
    <row r="2" spans="1:21" x14ac:dyDescent="0.25">
      <c r="A2" s="5"/>
      <c r="B2" s="5"/>
      <c r="C2" s="5"/>
      <c r="D2" s="5"/>
      <c r="E2" s="5"/>
      <c r="F2" s="5"/>
      <c r="G2" s="5"/>
      <c r="H2" s="5"/>
      <c r="I2" s="5"/>
      <c r="J2" s="5"/>
      <c r="K2" s="5"/>
      <c r="L2" s="5"/>
      <c r="M2" s="5"/>
      <c r="N2" s="5"/>
      <c r="O2" s="5"/>
      <c r="P2" s="5"/>
      <c r="Q2" s="5"/>
      <c r="R2" s="5"/>
      <c r="S2" s="5"/>
      <c r="T2" s="5"/>
      <c r="U2" s="5"/>
    </row>
    <row r="3" spans="1:21" x14ac:dyDescent="0.25">
      <c r="A3" s="5"/>
      <c r="B3" s="5"/>
      <c r="C3" s="5"/>
      <c r="D3" s="5"/>
      <c r="E3" s="5"/>
      <c r="F3" s="5"/>
      <c r="G3" s="5"/>
      <c r="H3" s="5"/>
      <c r="I3" s="5"/>
      <c r="J3" s="5"/>
      <c r="K3" s="5"/>
      <c r="L3" s="5"/>
      <c r="M3" s="5"/>
      <c r="N3" s="5"/>
      <c r="O3" s="5"/>
      <c r="P3" s="5"/>
      <c r="Q3" s="5"/>
      <c r="R3" s="5"/>
      <c r="S3" s="5"/>
      <c r="T3" s="5"/>
      <c r="U3" s="5"/>
    </row>
    <row r="4" spans="1:21" x14ac:dyDescent="0.25">
      <c r="A4" s="5"/>
      <c r="B4" s="5"/>
      <c r="C4" s="5"/>
      <c r="D4" s="5"/>
      <c r="E4" s="5"/>
      <c r="F4" s="5"/>
      <c r="G4" s="5"/>
      <c r="H4" s="5"/>
      <c r="I4" s="5"/>
      <c r="J4" s="5"/>
      <c r="K4" s="5"/>
      <c r="L4" s="5"/>
      <c r="M4" s="5"/>
      <c r="N4" s="5"/>
      <c r="O4" s="5"/>
      <c r="P4" s="5"/>
      <c r="Q4" s="5"/>
      <c r="R4" s="5"/>
      <c r="S4" s="5"/>
      <c r="T4" s="5"/>
      <c r="U4" s="5"/>
    </row>
    <row r="5" spans="1:21" x14ac:dyDescent="0.25">
      <c r="A5" s="5"/>
      <c r="B5" s="5"/>
      <c r="C5" s="5"/>
      <c r="D5" s="5"/>
      <c r="E5" s="5"/>
      <c r="F5" s="5"/>
      <c r="G5" s="5"/>
      <c r="H5" s="5"/>
      <c r="I5" s="5"/>
      <c r="J5" s="5"/>
      <c r="K5" s="5"/>
      <c r="L5" s="5"/>
      <c r="M5" s="5"/>
      <c r="N5" s="5"/>
      <c r="O5" s="5"/>
      <c r="P5" s="5"/>
      <c r="Q5" s="5"/>
      <c r="R5" s="5"/>
      <c r="S5" s="5"/>
      <c r="T5" s="5"/>
      <c r="U5" s="5"/>
    </row>
    <row r="6" spans="1:21" x14ac:dyDescent="0.25">
      <c r="A6" s="5"/>
      <c r="B6" s="5"/>
      <c r="C6" s="5"/>
      <c r="D6" s="5"/>
      <c r="E6" s="5"/>
      <c r="F6" s="5"/>
      <c r="G6" s="5"/>
      <c r="H6" s="5"/>
      <c r="I6" s="5"/>
      <c r="J6" s="5"/>
      <c r="K6" s="5"/>
      <c r="L6" s="5"/>
      <c r="M6" s="5"/>
      <c r="N6" s="5"/>
      <c r="O6" s="5"/>
      <c r="P6" s="5"/>
      <c r="Q6" s="5"/>
      <c r="R6" s="5"/>
      <c r="S6" s="5"/>
      <c r="T6" s="5"/>
      <c r="U6" s="5"/>
    </row>
    <row r="7" spans="1:21" x14ac:dyDescent="0.25">
      <c r="A7" s="5"/>
      <c r="B7" s="5"/>
      <c r="C7" s="5"/>
      <c r="D7" s="5"/>
      <c r="E7" s="5"/>
      <c r="F7" s="5"/>
      <c r="G7" s="5"/>
      <c r="H7" s="5"/>
      <c r="I7" s="5"/>
      <c r="J7" s="5"/>
      <c r="K7" s="5"/>
      <c r="L7" s="5"/>
      <c r="M7" s="5"/>
      <c r="N7" s="5"/>
      <c r="O7" s="5"/>
      <c r="P7" s="5"/>
      <c r="Q7" s="5"/>
      <c r="R7" s="5"/>
      <c r="S7" s="5"/>
      <c r="T7" s="5"/>
      <c r="U7" s="5"/>
    </row>
    <row r="8" spans="1:21" x14ac:dyDescent="0.25">
      <c r="A8" s="5"/>
      <c r="B8" s="5"/>
      <c r="C8" s="5"/>
      <c r="D8" s="5"/>
      <c r="E8" s="5"/>
      <c r="F8" s="5"/>
      <c r="G8" s="5"/>
      <c r="H8" s="5"/>
      <c r="I8" s="5"/>
      <c r="J8" s="5"/>
      <c r="K8" s="5"/>
      <c r="L8" s="5"/>
      <c r="M8" s="5"/>
      <c r="N8" s="5"/>
      <c r="O8" s="5"/>
      <c r="P8" s="5"/>
      <c r="Q8" s="5"/>
      <c r="R8" s="5"/>
      <c r="S8" s="5"/>
      <c r="T8" s="5"/>
      <c r="U8" s="5"/>
    </row>
    <row r="9" spans="1:21" x14ac:dyDescent="0.25">
      <c r="A9" s="5"/>
      <c r="B9" s="5"/>
      <c r="C9" s="5"/>
      <c r="D9" s="5"/>
      <c r="E9" s="5"/>
      <c r="F9" s="5"/>
      <c r="G9" s="5"/>
      <c r="H9" s="5"/>
      <c r="I9" s="5"/>
      <c r="J9" s="5"/>
      <c r="K9" s="5"/>
      <c r="L9" s="5"/>
      <c r="M9" s="5"/>
      <c r="N9" s="5"/>
      <c r="O9" s="5"/>
      <c r="P9" s="5"/>
      <c r="Q9" s="5"/>
      <c r="R9" s="5"/>
      <c r="S9" s="5"/>
      <c r="T9" s="5"/>
      <c r="U9" s="5"/>
    </row>
    <row r="10" spans="1:21" x14ac:dyDescent="0.25">
      <c r="A10" s="5"/>
      <c r="B10" s="5"/>
      <c r="C10" s="5"/>
      <c r="D10" s="5"/>
      <c r="E10" s="5"/>
      <c r="F10" s="5"/>
      <c r="G10" s="5"/>
      <c r="H10" s="5"/>
      <c r="I10" s="5"/>
      <c r="J10" s="5"/>
      <c r="K10" s="5"/>
      <c r="L10" s="5"/>
      <c r="M10" s="5"/>
      <c r="N10" s="5"/>
      <c r="O10" s="5"/>
      <c r="P10" s="5"/>
      <c r="Q10" s="5"/>
      <c r="R10" s="5"/>
      <c r="S10" s="5"/>
      <c r="T10" s="5"/>
      <c r="U10" s="5"/>
    </row>
    <row r="11" spans="1:21" x14ac:dyDescent="0.25">
      <c r="A11" s="5"/>
      <c r="B11" s="5"/>
      <c r="C11" s="5"/>
      <c r="D11" s="5"/>
      <c r="E11" s="5"/>
      <c r="F11" s="5"/>
      <c r="G11" s="5"/>
      <c r="H11" s="5"/>
      <c r="I11" s="5"/>
      <c r="J11" s="5"/>
      <c r="K11" s="5"/>
      <c r="L11" s="5"/>
      <c r="M11" s="5"/>
      <c r="N11" s="5"/>
      <c r="O11" s="5"/>
      <c r="P11" s="5"/>
      <c r="Q11" s="5"/>
      <c r="R11" s="5"/>
      <c r="S11" s="5"/>
      <c r="T11" s="5"/>
      <c r="U11" s="5"/>
    </row>
    <row r="12" spans="1:21" x14ac:dyDescent="0.25">
      <c r="A12" s="5"/>
      <c r="B12" s="5"/>
      <c r="C12" s="5"/>
      <c r="D12" s="5"/>
      <c r="E12" s="5"/>
      <c r="F12" s="5"/>
      <c r="G12" s="5"/>
      <c r="H12" s="5"/>
      <c r="I12" s="5"/>
      <c r="J12" s="5"/>
      <c r="K12" s="5"/>
      <c r="L12" s="5"/>
      <c r="M12" s="5"/>
      <c r="N12" s="5"/>
      <c r="O12" s="5"/>
      <c r="P12" s="5"/>
      <c r="Q12" s="5"/>
      <c r="R12" s="5"/>
      <c r="S12" s="5"/>
      <c r="T12" s="5"/>
      <c r="U12" s="5"/>
    </row>
    <row r="13" spans="1:21" x14ac:dyDescent="0.25">
      <c r="A13" s="5"/>
      <c r="B13" s="5"/>
      <c r="C13" s="5"/>
      <c r="D13" s="5"/>
      <c r="E13" s="5"/>
      <c r="F13" s="5"/>
      <c r="G13" s="5"/>
      <c r="H13" s="5"/>
      <c r="I13" s="5"/>
      <c r="J13" s="5"/>
      <c r="K13" s="5"/>
      <c r="L13" s="5"/>
      <c r="M13" s="5"/>
      <c r="N13" s="5"/>
      <c r="O13" s="5"/>
      <c r="P13" s="5"/>
      <c r="Q13" s="5"/>
      <c r="R13" s="5"/>
      <c r="S13" s="5"/>
      <c r="T13" s="5"/>
      <c r="U13" s="5"/>
    </row>
    <row r="14" spans="1:21" x14ac:dyDescent="0.25">
      <c r="A14" s="5"/>
      <c r="B14" s="5"/>
      <c r="C14" s="5"/>
      <c r="D14" s="5"/>
      <c r="E14" s="5"/>
      <c r="F14" s="5"/>
      <c r="G14" s="5"/>
      <c r="H14" s="5"/>
      <c r="I14" s="5"/>
      <c r="J14" s="5"/>
      <c r="K14" s="5"/>
      <c r="L14" s="5"/>
      <c r="M14" s="5"/>
      <c r="N14" s="5"/>
      <c r="O14" s="5"/>
      <c r="P14" s="5"/>
      <c r="Q14" s="5"/>
      <c r="R14" s="5"/>
      <c r="S14" s="5"/>
      <c r="T14" s="5"/>
      <c r="U14" s="5"/>
    </row>
    <row r="15" spans="1:21" x14ac:dyDescent="0.25">
      <c r="A15" s="5"/>
      <c r="B15" s="5"/>
      <c r="C15" s="5"/>
      <c r="D15" s="5"/>
      <c r="E15" s="5"/>
      <c r="F15" s="5"/>
      <c r="G15" s="5"/>
      <c r="H15" s="5"/>
      <c r="I15" s="5"/>
      <c r="J15" s="5"/>
      <c r="K15" s="5"/>
      <c r="L15" s="5"/>
      <c r="M15" s="5"/>
      <c r="N15" s="5"/>
      <c r="O15" s="5"/>
      <c r="P15" s="5"/>
      <c r="Q15" s="5"/>
      <c r="R15" s="5"/>
      <c r="S15" s="5"/>
      <c r="T15" s="5"/>
      <c r="U15" s="5"/>
    </row>
    <row r="16" spans="1:21" x14ac:dyDescent="0.25">
      <c r="A16" s="5"/>
      <c r="B16" s="5"/>
      <c r="C16" s="5"/>
      <c r="D16" s="5"/>
      <c r="E16" s="5"/>
      <c r="F16" s="5"/>
      <c r="G16" s="5"/>
      <c r="H16" s="5"/>
      <c r="I16" s="5"/>
      <c r="J16" s="5"/>
      <c r="K16" s="5"/>
      <c r="L16" s="5"/>
      <c r="M16" s="5"/>
      <c r="N16" s="5"/>
      <c r="O16" s="5"/>
      <c r="P16" s="5"/>
      <c r="Q16" s="5"/>
      <c r="R16" s="5"/>
      <c r="S16" s="5"/>
      <c r="T16" s="5"/>
      <c r="U16" s="5"/>
    </row>
    <row r="17" spans="1:21" x14ac:dyDescent="0.25">
      <c r="A17" s="5"/>
      <c r="B17" s="5"/>
      <c r="C17" s="5"/>
      <c r="D17" s="5"/>
      <c r="E17" s="5"/>
      <c r="F17" s="5"/>
      <c r="G17" s="5"/>
      <c r="H17" s="5"/>
      <c r="I17" s="5"/>
      <c r="J17" s="5"/>
      <c r="K17" s="5"/>
      <c r="L17" s="5"/>
      <c r="M17" s="5"/>
      <c r="N17" s="5"/>
      <c r="O17" s="5"/>
      <c r="P17" s="5"/>
      <c r="Q17" s="5"/>
      <c r="R17" s="5"/>
      <c r="S17" s="5"/>
      <c r="T17" s="5"/>
      <c r="U17" s="5"/>
    </row>
    <row r="18" spans="1:21" x14ac:dyDescent="0.25">
      <c r="A18" s="5"/>
      <c r="B18" s="5"/>
      <c r="C18" s="5"/>
      <c r="D18" s="5"/>
      <c r="E18" s="5"/>
      <c r="F18" s="5"/>
      <c r="G18" s="5"/>
      <c r="H18" s="5"/>
      <c r="I18" s="5"/>
      <c r="J18" s="5"/>
      <c r="K18" s="5"/>
      <c r="L18" s="5"/>
      <c r="M18" s="5"/>
      <c r="N18" s="5"/>
      <c r="O18" s="5"/>
      <c r="P18" s="5"/>
      <c r="Q18" s="5"/>
      <c r="R18" s="5"/>
      <c r="S18" s="5"/>
      <c r="T18" s="5"/>
      <c r="U18" s="5"/>
    </row>
    <row r="19" spans="1:21" x14ac:dyDescent="0.25">
      <c r="A19" s="5"/>
      <c r="B19" s="5"/>
      <c r="C19" s="5"/>
      <c r="D19" s="5"/>
      <c r="E19" s="5"/>
      <c r="F19" s="5"/>
      <c r="G19" s="5"/>
      <c r="H19" s="5"/>
      <c r="I19" s="5"/>
      <c r="J19" s="5"/>
      <c r="K19" s="5"/>
      <c r="L19" s="5"/>
      <c r="M19" s="5"/>
      <c r="N19" s="5"/>
      <c r="O19" s="5"/>
      <c r="P19" s="5"/>
      <c r="Q19" s="5"/>
      <c r="R19" s="5"/>
      <c r="S19" s="5"/>
      <c r="T19" s="5"/>
      <c r="U19" s="5"/>
    </row>
    <row r="20" spans="1:21" x14ac:dyDescent="0.25">
      <c r="A20" s="5"/>
      <c r="B20" s="5"/>
      <c r="C20" s="5"/>
      <c r="D20" s="5"/>
      <c r="E20" s="5"/>
      <c r="F20" s="5"/>
      <c r="G20" s="5"/>
      <c r="H20" s="5"/>
      <c r="I20" s="5"/>
      <c r="J20" s="5"/>
      <c r="K20" s="5"/>
      <c r="L20" s="5"/>
      <c r="M20" s="5"/>
      <c r="N20" s="5"/>
      <c r="O20" s="5"/>
      <c r="P20" s="5"/>
      <c r="Q20" s="5"/>
      <c r="R20" s="5"/>
      <c r="S20" s="5"/>
      <c r="T20" s="5"/>
      <c r="U20" s="5"/>
    </row>
    <row r="21" spans="1:21" x14ac:dyDescent="0.25">
      <c r="A21" s="5"/>
      <c r="B21" s="5"/>
      <c r="C21" s="5"/>
      <c r="D21" s="5"/>
      <c r="E21" s="5"/>
      <c r="F21" s="5"/>
      <c r="G21" s="5"/>
      <c r="H21" s="5"/>
      <c r="I21" s="5"/>
      <c r="J21" s="5"/>
      <c r="K21" s="5"/>
      <c r="L21" s="5"/>
      <c r="M21" s="5"/>
      <c r="N21" s="5"/>
      <c r="O21" s="5"/>
      <c r="P21" s="5"/>
      <c r="Q21" s="5"/>
      <c r="R21" s="5"/>
      <c r="S21" s="5"/>
      <c r="T21" s="5"/>
      <c r="U21" s="5"/>
    </row>
    <row r="22" spans="1:21" x14ac:dyDescent="0.25">
      <c r="A22" s="5"/>
      <c r="B22" s="5"/>
      <c r="C22" s="5"/>
      <c r="D22" s="5"/>
      <c r="E22" s="5"/>
      <c r="F22" s="5"/>
      <c r="G22" s="5"/>
      <c r="H22" s="5"/>
      <c r="I22" s="5"/>
      <c r="J22" s="5"/>
      <c r="K22" s="5"/>
      <c r="L22" s="5"/>
      <c r="M22" s="5"/>
      <c r="N22" s="5"/>
      <c r="O22" s="5"/>
      <c r="P22" s="5"/>
      <c r="Q22" s="5"/>
      <c r="R22" s="5"/>
      <c r="S22" s="5"/>
      <c r="T22" s="5"/>
      <c r="U22" s="5"/>
    </row>
    <row r="23" spans="1:21" x14ac:dyDescent="0.25">
      <c r="A23" s="5"/>
      <c r="B23" s="5"/>
      <c r="C23" s="5"/>
      <c r="D23" s="5"/>
      <c r="E23" s="5"/>
      <c r="F23" s="5"/>
      <c r="G23" s="5"/>
      <c r="H23" s="5"/>
      <c r="I23" s="5"/>
      <c r="J23" s="5"/>
      <c r="K23" s="5"/>
      <c r="L23" s="5"/>
      <c r="M23" s="5"/>
      <c r="N23" s="5"/>
      <c r="O23" s="5"/>
      <c r="P23" s="5"/>
      <c r="Q23" s="5"/>
      <c r="R23" s="5"/>
      <c r="S23" s="5"/>
      <c r="T23" s="5"/>
      <c r="U23" s="5"/>
    </row>
    <row r="24" spans="1:21" x14ac:dyDescent="0.25">
      <c r="A24" s="5"/>
      <c r="B24" s="5"/>
      <c r="C24" s="5"/>
      <c r="D24" s="5"/>
      <c r="E24" s="5"/>
      <c r="F24" s="5"/>
      <c r="G24" s="5"/>
      <c r="H24" s="5"/>
      <c r="I24" s="5"/>
      <c r="J24" s="5"/>
      <c r="K24" s="5"/>
      <c r="L24" s="5"/>
      <c r="M24" s="5"/>
      <c r="N24" s="5"/>
      <c r="O24" s="5"/>
      <c r="P24" s="5"/>
      <c r="Q24" s="5"/>
      <c r="R24" s="5"/>
      <c r="S24" s="5"/>
      <c r="T24" s="5"/>
      <c r="U24" s="5"/>
    </row>
    <row r="25" spans="1:21" x14ac:dyDescent="0.25">
      <c r="A25" s="5"/>
      <c r="B25" s="5"/>
      <c r="C25" s="5"/>
      <c r="D25" s="5"/>
      <c r="E25" s="5"/>
      <c r="F25" s="5"/>
      <c r="G25" s="5"/>
      <c r="H25" s="5"/>
      <c r="I25" s="5"/>
      <c r="J25" s="5"/>
      <c r="K25" s="5"/>
      <c r="L25" s="5"/>
      <c r="M25" s="5"/>
      <c r="N25" s="5"/>
      <c r="O25" s="5"/>
      <c r="P25" s="5"/>
      <c r="Q25" s="5"/>
      <c r="R25" s="5"/>
      <c r="S25" s="5"/>
      <c r="T25" s="5"/>
      <c r="U25" s="5"/>
    </row>
    <row r="26" spans="1:21" x14ac:dyDescent="0.25">
      <c r="A26" s="5"/>
      <c r="B26" s="5"/>
      <c r="C26" s="5"/>
      <c r="D26" s="5"/>
      <c r="E26" s="5"/>
      <c r="F26" s="5"/>
      <c r="G26" s="5"/>
      <c r="H26" s="5"/>
      <c r="I26" s="5"/>
      <c r="J26" s="5"/>
      <c r="K26" s="5"/>
      <c r="L26" s="5"/>
      <c r="M26" s="5"/>
      <c r="N26" s="5"/>
      <c r="O26" s="5"/>
      <c r="P26" s="5"/>
      <c r="Q26" s="5"/>
      <c r="R26" s="5"/>
      <c r="S26" s="5"/>
      <c r="T26" s="5"/>
      <c r="U26" s="5"/>
    </row>
    <row r="27" spans="1:21" x14ac:dyDescent="0.25">
      <c r="A27" s="5"/>
      <c r="B27" s="5"/>
      <c r="C27" s="5"/>
      <c r="D27" s="5"/>
      <c r="E27" s="5"/>
      <c r="F27" s="5"/>
      <c r="G27" s="5"/>
      <c r="H27" s="5"/>
      <c r="I27" s="5"/>
      <c r="J27" s="5"/>
      <c r="K27" s="5"/>
      <c r="L27" s="5"/>
      <c r="M27" s="5"/>
      <c r="N27" s="5"/>
      <c r="O27" s="5"/>
      <c r="P27" s="5"/>
      <c r="Q27" s="5"/>
      <c r="R27" s="5"/>
      <c r="S27" s="5"/>
      <c r="T27" s="5"/>
      <c r="U27" s="5"/>
    </row>
    <row r="28" spans="1:21" x14ac:dyDescent="0.25">
      <c r="A28" s="5"/>
      <c r="B28" s="5"/>
      <c r="C28" s="5"/>
      <c r="D28" s="5"/>
      <c r="E28" s="5"/>
      <c r="F28" s="5"/>
      <c r="G28" s="5"/>
      <c r="H28" s="5"/>
      <c r="I28" s="5"/>
      <c r="J28" s="5"/>
      <c r="K28" s="5"/>
      <c r="L28" s="5"/>
      <c r="M28" s="5"/>
      <c r="N28" s="5"/>
      <c r="O28" s="5"/>
      <c r="P28" s="5"/>
      <c r="Q28" s="5"/>
      <c r="R28" s="5"/>
      <c r="S28" s="5"/>
      <c r="T28" s="5"/>
      <c r="U28" s="5"/>
    </row>
    <row r="29" spans="1:21" x14ac:dyDescent="0.25">
      <c r="A29" s="5"/>
      <c r="B29" s="5"/>
      <c r="C29" s="5"/>
      <c r="D29" s="5"/>
      <c r="E29" s="5"/>
      <c r="F29" s="5"/>
      <c r="G29" s="5"/>
      <c r="H29" s="5"/>
      <c r="I29" s="5"/>
      <c r="J29" s="5"/>
      <c r="K29" s="5"/>
      <c r="L29" s="5"/>
      <c r="M29" s="5"/>
      <c r="N29" s="5"/>
      <c r="O29" s="5"/>
      <c r="P29" s="5"/>
      <c r="Q29" s="5"/>
      <c r="R29" s="5"/>
      <c r="S29" s="5"/>
      <c r="T29" s="5"/>
      <c r="U29" s="5"/>
    </row>
    <row r="30" spans="1:21" x14ac:dyDescent="0.25">
      <c r="A30" s="5"/>
      <c r="B30" s="5"/>
      <c r="C30" s="5"/>
      <c r="D30" s="5"/>
      <c r="E30" s="5"/>
      <c r="F30" s="5"/>
      <c r="G30" s="5"/>
      <c r="H30" s="5"/>
      <c r="I30" s="5"/>
      <c r="J30" s="5"/>
      <c r="K30" s="5"/>
      <c r="L30" s="5"/>
      <c r="M30" s="5"/>
      <c r="N30" s="5"/>
      <c r="O30" s="5"/>
      <c r="P30" s="5"/>
      <c r="Q30" s="5"/>
      <c r="R30" s="5"/>
      <c r="S30" s="5"/>
      <c r="T30" s="5"/>
      <c r="U30" s="5"/>
    </row>
    <row r="31" spans="1:21" x14ac:dyDescent="0.25">
      <c r="A31" s="5"/>
      <c r="B31" s="5"/>
      <c r="C31" s="5"/>
      <c r="D31" s="5"/>
      <c r="E31" s="5"/>
      <c r="F31" s="5"/>
      <c r="G31" s="5"/>
      <c r="H31" s="5"/>
      <c r="I31" s="5"/>
      <c r="J31" s="5"/>
      <c r="K31" s="5"/>
      <c r="L31" s="5"/>
      <c r="M31" s="5"/>
      <c r="N31" s="5"/>
      <c r="O31" s="5"/>
      <c r="P31" s="5"/>
      <c r="Q31" s="5"/>
      <c r="R31" s="5"/>
      <c r="S31" s="5"/>
      <c r="T31" s="5"/>
      <c r="U31" s="5"/>
    </row>
    <row r="32" spans="1:21" x14ac:dyDescent="0.25">
      <c r="A32" s="5"/>
      <c r="B32" s="5"/>
      <c r="C32" s="5"/>
      <c r="D32" s="5"/>
      <c r="E32" s="5"/>
      <c r="F32" s="5"/>
      <c r="G32" s="5"/>
      <c r="H32" s="5"/>
      <c r="I32" s="5"/>
      <c r="J32" s="5"/>
      <c r="K32" s="5"/>
      <c r="L32" s="5"/>
      <c r="M32" s="5"/>
      <c r="N32" s="5"/>
      <c r="O32" s="5"/>
      <c r="P32" s="5"/>
      <c r="Q32" s="5"/>
      <c r="R32" s="5"/>
      <c r="S32" s="5"/>
      <c r="T32" s="5"/>
      <c r="U32" s="5"/>
    </row>
    <row r="33" spans="1:21" x14ac:dyDescent="0.25">
      <c r="A33" s="5"/>
      <c r="B33" s="5"/>
      <c r="C33" s="5"/>
      <c r="D33" s="5"/>
      <c r="E33" s="5"/>
      <c r="F33" s="5"/>
      <c r="G33" s="5"/>
      <c r="H33" s="5"/>
      <c r="I33" s="5"/>
      <c r="J33" s="5"/>
      <c r="K33" s="5"/>
      <c r="L33" s="5"/>
      <c r="M33" s="5"/>
      <c r="N33" s="5"/>
      <c r="O33" s="5"/>
      <c r="P33" s="5"/>
      <c r="Q33" s="5"/>
      <c r="R33" s="5"/>
      <c r="S33" s="5"/>
      <c r="T33" s="5"/>
      <c r="U33" s="5"/>
    </row>
    <row r="34" spans="1:21" x14ac:dyDescent="0.25">
      <c r="A34" s="5"/>
      <c r="B34" s="5"/>
      <c r="C34" s="5"/>
      <c r="D34" s="5"/>
      <c r="E34" s="5"/>
      <c r="F34" s="5"/>
      <c r="G34" s="5"/>
      <c r="H34" s="5"/>
      <c r="I34" s="5"/>
      <c r="J34" s="5"/>
      <c r="K34" s="5"/>
      <c r="L34" s="5"/>
      <c r="M34" s="5"/>
      <c r="N34" s="5"/>
      <c r="O34" s="5"/>
      <c r="P34" s="5"/>
      <c r="Q34" s="5"/>
      <c r="R34" s="5"/>
      <c r="S34" s="5"/>
      <c r="T34" s="5"/>
      <c r="U34" s="5"/>
    </row>
  </sheetData>
  <sheetProtection algorithmName="SHA-512" hashValue="04Cw09iF9UWA31SGL+od2h7aTTdN4dwJf/dxqwMzm/zBO4dspZNM+isrFMSOonWY+dAVJXjIoyoPzz3cmmjl9w==" saltValue="Eqzw6Y4r9Hdc/pRqmHMw7A==" spinCount="100000" sheet="1" objects="1" scenarios="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95B6A-5A4D-4562-A360-E0E47E2B5781}">
  <dimension ref="A1:F34"/>
  <sheetViews>
    <sheetView showRowColHeaders="0" tabSelected="1" workbookViewId="0">
      <selection activeCell="D14" sqref="D14"/>
    </sheetView>
  </sheetViews>
  <sheetFormatPr defaultRowHeight="15" x14ac:dyDescent="0.25"/>
  <cols>
    <col min="1" max="1" width="19.28515625" customWidth="1"/>
    <col min="2" max="2" width="25.42578125" customWidth="1"/>
    <col min="3" max="3" width="131.5703125" customWidth="1"/>
    <col min="4" max="4" width="16.42578125" customWidth="1"/>
    <col min="5" max="5" width="20" customWidth="1"/>
    <col min="6" max="6" width="133" customWidth="1"/>
    <col min="7" max="7" width="86.42578125" customWidth="1"/>
    <col min="8" max="8" width="8.85546875" customWidth="1"/>
  </cols>
  <sheetData>
    <row r="1" spans="1:4" x14ac:dyDescent="0.25">
      <c r="A1" s="5"/>
      <c r="B1" s="5"/>
      <c r="C1" s="5"/>
      <c r="D1" s="5"/>
    </row>
    <row r="2" spans="1:4" x14ac:dyDescent="0.25">
      <c r="A2" s="5"/>
      <c r="B2" s="5"/>
      <c r="C2" s="5"/>
      <c r="D2" s="5"/>
    </row>
    <row r="3" spans="1:4" x14ac:dyDescent="0.25">
      <c r="A3" s="5"/>
      <c r="B3" s="5"/>
      <c r="C3" s="5"/>
      <c r="D3" s="5"/>
    </row>
    <row r="4" spans="1:4" x14ac:dyDescent="0.25">
      <c r="A4" s="5"/>
      <c r="B4" s="5"/>
      <c r="C4" s="5"/>
      <c r="D4" s="5"/>
    </row>
    <row r="5" spans="1:4" ht="18.75" x14ac:dyDescent="0.3">
      <c r="A5" s="11" t="s">
        <v>42</v>
      </c>
      <c r="B5" s="12" t="s">
        <v>43</v>
      </c>
      <c r="C5" s="13" t="s">
        <v>44</v>
      </c>
      <c r="D5" s="5"/>
    </row>
    <row r="6" spans="1:4" x14ac:dyDescent="0.25">
      <c r="A6" s="15"/>
      <c r="B6" s="16"/>
      <c r="C6" s="17"/>
      <c r="D6" s="5"/>
    </row>
    <row r="7" spans="1:4" x14ac:dyDescent="0.25">
      <c r="A7" s="18" t="s">
        <v>0</v>
      </c>
      <c r="B7" s="19" t="s">
        <v>45</v>
      </c>
      <c r="C7" s="20" t="s">
        <v>46</v>
      </c>
      <c r="D7" s="5"/>
    </row>
    <row r="8" spans="1:4" x14ac:dyDescent="0.25">
      <c r="A8" s="15"/>
      <c r="B8" s="16"/>
      <c r="C8" s="17"/>
      <c r="D8" s="5"/>
    </row>
    <row r="9" spans="1:4" x14ac:dyDescent="0.25">
      <c r="A9" s="18" t="s">
        <v>1</v>
      </c>
      <c r="B9" s="19" t="s">
        <v>23</v>
      </c>
      <c r="C9" s="20" t="s">
        <v>47</v>
      </c>
      <c r="D9" s="5"/>
    </row>
    <row r="10" spans="1:4" x14ac:dyDescent="0.25">
      <c r="A10" s="15"/>
      <c r="B10" s="16"/>
      <c r="C10" s="17"/>
      <c r="D10" s="5"/>
    </row>
    <row r="11" spans="1:4" x14ac:dyDescent="0.25">
      <c r="A11" s="18" t="s">
        <v>2</v>
      </c>
      <c r="B11" s="19" t="s">
        <v>26</v>
      </c>
      <c r="C11" s="20" t="s">
        <v>48</v>
      </c>
      <c r="D11" s="5"/>
    </row>
    <row r="12" spans="1:4" x14ac:dyDescent="0.25">
      <c r="A12" s="15"/>
      <c r="B12" s="16"/>
      <c r="C12" s="17"/>
      <c r="D12" s="5"/>
    </row>
    <row r="13" spans="1:4" x14ac:dyDescent="0.25">
      <c r="A13" s="18" t="s">
        <v>3</v>
      </c>
      <c r="B13" s="19" t="s">
        <v>49</v>
      </c>
      <c r="C13" s="20" t="s">
        <v>50</v>
      </c>
      <c r="D13" s="5"/>
    </row>
    <row r="14" spans="1:4" x14ac:dyDescent="0.25">
      <c r="A14" s="15"/>
      <c r="B14" s="16"/>
      <c r="C14" s="17"/>
      <c r="D14" s="5"/>
    </row>
    <row r="15" spans="1:4" x14ac:dyDescent="0.25">
      <c r="A15" s="18" t="s">
        <v>4</v>
      </c>
      <c r="B15" s="19" t="s">
        <v>51</v>
      </c>
      <c r="C15" s="20" t="s">
        <v>58</v>
      </c>
      <c r="D15" s="5"/>
    </row>
    <row r="16" spans="1:4" x14ac:dyDescent="0.25">
      <c r="A16" s="15"/>
      <c r="B16" s="16"/>
      <c r="C16" s="17"/>
      <c r="D16" s="5"/>
    </row>
    <row r="17" spans="1:4" x14ac:dyDescent="0.25">
      <c r="A17" s="18" t="s">
        <v>5</v>
      </c>
      <c r="B17" s="19" t="s">
        <v>52</v>
      </c>
      <c r="C17" s="20" t="s">
        <v>53</v>
      </c>
      <c r="D17" s="5"/>
    </row>
    <row r="18" spans="1:4" x14ac:dyDescent="0.25">
      <c r="A18" s="15"/>
      <c r="B18" s="16"/>
      <c r="C18" s="17"/>
      <c r="D18" s="5"/>
    </row>
    <row r="19" spans="1:4" x14ac:dyDescent="0.25">
      <c r="A19" s="18" t="s">
        <v>6</v>
      </c>
      <c r="B19" s="19" t="s">
        <v>54</v>
      </c>
      <c r="C19" s="20" t="s">
        <v>55</v>
      </c>
      <c r="D19" s="5"/>
    </row>
    <row r="20" spans="1:4" x14ac:dyDescent="0.25">
      <c r="A20" s="15"/>
      <c r="B20" s="16"/>
      <c r="C20" s="17"/>
      <c r="D20" s="5"/>
    </row>
    <row r="21" spans="1:4" x14ac:dyDescent="0.25">
      <c r="A21" s="18" t="s">
        <v>7</v>
      </c>
      <c r="B21" s="19" t="s">
        <v>56</v>
      </c>
      <c r="C21" s="20" t="s">
        <v>57</v>
      </c>
      <c r="D21" s="5"/>
    </row>
    <row r="22" spans="1:4" x14ac:dyDescent="0.25">
      <c r="A22" s="15"/>
      <c r="B22" s="16"/>
      <c r="C22" s="17"/>
      <c r="D22" s="5"/>
    </row>
    <row r="23" spans="1:4" x14ac:dyDescent="0.25">
      <c r="A23" s="18" t="s">
        <v>8</v>
      </c>
      <c r="B23" s="19" t="s">
        <v>59</v>
      </c>
      <c r="C23" s="20" t="s">
        <v>60</v>
      </c>
      <c r="D23" s="5"/>
    </row>
    <row r="24" spans="1:4" x14ac:dyDescent="0.25">
      <c r="A24" s="15"/>
      <c r="B24" s="16"/>
      <c r="C24" s="17"/>
      <c r="D24" s="5"/>
    </row>
    <row r="25" spans="1:4" x14ac:dyDescent="0.25">
      <c r="A25" s="18" t="s">
        <v>9</v>
      </c>
      <c r="B25" s="19" t="s">
        <v>61</v>
      </c>
      <c r="C25" s="20" t="s">
        <v>62</v>
      </c>
      <c r="D25" s="5"/>
    </row>
    <row r="26" spans="1:4" x14ac:dyDescent="0.25">
      <c r="A26" s="15"/>
      <c r="B26" s="16"/>
      <c r="C26" s="17"/>
      <c r="D26" s="5"/>
    </row>
    <row r="27" spans="1:4" x14ac:dyDescent="0.25">
      <c r="A27" s="18" t="s">
        <v>10</v>
      </c>
      <c r="B27" s="19" t="s">
        <v>63</v>
      </c>
      <c r="C27" s="20" t="s">
        <v>64</v>
      </c>
      <c r="D27" s="5"/>
    </row>
    <row r="28" spans="1:4" x14ac:dyDescent="0.25">
      <c r="A28" s="15"/>
      <c r="B28" s="16"/>
      <c r="C28" s="17"/>
      <c r="D28" s="5"/>
    </row>
    <row r="29" spans="1:4" x14ac:dyDescent="0.25">
      <c r="A29" s="18" t="s">
        <v>11</v>
      </c>
      <c r="B29" s="19" t="s">
        <v>65</v>
      </c>
      <c r="C29" s="21" t="s">
        <v>71</v>
      </c>
      <c r="D29" s="5"/>
    </row>
    <row r="30" spans="1:4" x14ac:dyDescent="0.25">
      <c r="A30" s="15"/>
      <c r="B30" s="16"/>
      <c r="C30" s="17"/>
      <c r="D30" s="5"/>
    </row>
    <row r="31" spans="1:4" x14ac:dyDescent="0.25">
      <c r="A31" s="15" t="s">
        <v>12</v>
      </c>
      <c r="B31" s="16" t="s">
        <v>66</v>
      </c>
      <c r="C31" s="17" t="s">
        <v>67</v>
      </c>
      <c r="D31" s="5"/>
    </row>
    <row r="32" spans="1:4" x14ac:dyDescent="0.25">
      <c r="A32" s="22"/>
      <c r="B32" s="22"/>
      <c r="C32" s="22"/>
      <c r="D32" s="5"/>
    </row>
    <row r="33" spans="1:6" x14ac:dyDescent="0.25">
      <c r="A33" s="18" t="s">
        <v>68</v>
      </c>
      <c r="B33" s="19" t="s">
        <v>69</v>
      </c>
      <c r="C33" s="20" t="s">
        <v>70</v>
      </c>
      <c r="D33" s="5"/>
    </row>
    <row r="34" spans="1:6" x14ac:dyDescent="0.25">
      <c r="A34" s="5"/>
      <c r="B34" s="5"/>
      <c r="C34" s="5"/>
      <c r="D34" s="14"/>
      <c r="E34" s="9"/>
      <c r="F34" s="10"/>
    </row>
  </sheetData>
  <sheetProtection algorithmName="SHA-512" hashValue="0mAkuQPvhT3jnzX4aqw1/HY2HHXiWfMLhfJ/rJsDGJhLvekMnr5vhBdVK16ukS6DLS+C9IaDGdzuTRHKafxWPw==" saltValue="Tbi+HRWjatzp6MgIYNxwLg==" spinCount="100000" sheet="1" objects="1" scenarios="1"/>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538-FA4F-4766-BB12-37F6BE687BE6}">
  <sheetPr codeName="Sheet11"/>
  <dimension ref="A3:C18"/>
  <sheetViews>
    <sheetView workbookViewId="0">
      <selection activeCell="E24" sqref="E24"/>
    </sheetView>
  </sheetViews>
  <sheetFormatPr defaultRowHeight="15" x14ac:dyDescent="0.25"/>
  <cols>
    <col min="1" max="1" width="13.140625" bestFit="1" customWidth="1"/>
    <col min="2" max="2" width="12.28515625" bestFit="1" customWidth="1"/>
    <col min="3" max="3" width="37" bestFit="1" customWidth="1"/>
  </cols>
  <sheetData>
    <row r="3" spans="1:3" x14ac:dyDescent="0.25">
      <c r="A3" s="2" t="s">
        <v>14</v>
      </c>
      <c r="B3" t="s">
        <v>36</v>
      </c>
      <c r="C3" t="s">
        <v>38</v>
      </c>
    </row>
    <row r="4" spans="1:3" x14ac:dyDescent="0.25">
      <c r="A4" s="1" t="s">
        <v>17</v>
      </c>
      <c r="B4">
        <v>12</v>
      </c>
      <c r="C4">
        <v>9</v>
      </c>
    </row>
    <row r="5" spans="1:3" x14ac:dyDescent="0.25">
      <c r="A5" s="1" t="s">
        <v>18</v>
      </c>
      <c r="B5">
        <v>71</v>
      </c>
      <c r="C5">
        <v>50</v>
      </c>
    </row>
    <row r="6" spans="1:3" x14ac:dyDescent="0.25">
      <c r="A6" s="1" t="s">
        <v>19</v>
      </c>
      <c r="B6">
        <v>116</v>
      </c>
      <c r="C6">
        <v>63</v>
      </c>
    </row>
    <row r="7" spans="1:3" x14ac:dyDescent="0.25">
      <c r="A7" s="1" t="s">
        <v>20</v>
      </c>
      <c r="B7">
        <v>91</v>
      </c>
      <c r="C7">
        <v>35</v>
      </c>
    </row>
    <row r="8" spans="1:3" x14ac:dyDescent="0.25">
      <c r="A8" s="1" t="s">
        <v>21</v>
      </c>
      <c r="B8">
        <v>13</v>
      </c>
      <c r="C8">
        <v>8</v>
      </c>
    </row>
    <row r="9" spans="1:3" x14ac:dyDescent="0.25">
      <c r="A9" s="1" t="s">
        <v>15</v>
      </c>
      <c r="B9">
        <v>303</v>
      </c>
      <c r="C9">
        <v>165</v>
      </c>
    </row>
    <row r="13" spans="1:3" x14ac:dyDescent="0.25">
      <c r="B13" s="8"/>
    </row>
    <row r="15" spans="1:3" x14ac:dyDescent="0.25">
      <c r="C15">
        <f>COUNTIFS(Table1[target],0)</f>
        <v>138</v>
      </c>
    </row>
    <row r="16" spans="1:3" x14ac:dyDescent="0.25">
      <c r="C16">
        <f>COUNTIFS(Table1[target],1)</f>
        <v>165</v>
      </c>
    </row>
    <row r="18" spans="2:2" x14ac:dyDescent="0.25">
      <c r="B18" s="4" t="e">
        <f>"Chest Pain Patient" &amp;CHAR(10) &amp;CHAR(10) &amp;GETPIVOTDATA("Chest Pain associated with Heart Disease Patient",$A$3) &amp;"Out of" &amp;CHAR(10) &amp;CHAR(10) &amp;GETPIVOTDATA("Heart Disease Patient",$A$3) &amp;"Heart Disease Patient"</f>
        <v>#REF!</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CFE14-1141-4443-9186-813693D5FC6E}">
  <sheetPr codeName="Sheet13"/>
  <dimension ref="A2:C8"/>
  <sheetViews>
    <sheetView workbookViewId="0">
      <selection activeCell="C2" sqref="C2"/>
    </sheetView>
  </sheetViews>
  <sheetFormatPr defaultRowHeight="15" x14ac:dyDescent="0.25"/>
  <cols>
    <col min="1" max="1" width="13.140625" bestFit="1" customWidth="1"/>
    <col min="2" max="2" width="12.28515625" bestFit="1" customWidth="1"/>
    <col min="3" max="3" width="51.42578125" bestFit="1" customWidth="1"/>
  </cols>
  <sheetData>
    <row r="2" spans="1:3" x14ac:dyDescent="0.25">
      <c r="A2" s="2" t="s">
        <v>14</v>
      </c>
      <c r="B2" t="s">
        <v>36</v>
      </c>
      <c r="C2" t="s">
        <v>39</v>
      </c>
    </row>
    <row r="3" spans="1:3" x14ac:dyDescent="0.25">
      <c r="A3" s="1" t="s">
        <v>17</v>
      </c>
      <c r="B3">
        <v>12</v>
      </c>
      <c r="C3">
        <v>5</v>
      </c>
    </row>
    <row r="4" spans="1:3" x14ac:dyDescent="0.25">
      <c r="A4" s="1" t="s">
        <v>18</v>
      </c>
      <c r="B4">
        <v>71</v>
      </c>
      <c r="C4">
        <v>22</v>
      </c>
    </row>
    <row r="5" spans="1:3" x14ac:dyDescent="0.25">
      <c r="A5" s="1" t="s">
        <v>19</v>
      </c>
      <c r="B5">
        <v>116</v>
      </c>
      <c r="C5">
        <v>33</v>
      </c>
    </row>
    <row r="6" spans="1:3" x14ac:dyDescent="0.25">
      <c r="A6" s="1" t="s">
        <v>20</v>
      </c>
      <c r="B6">
        <v>91</v>
      </c>
      <c r="C6">
        <v>23</v>
      </c>
    </row>
    <row r="7" spans="1:3" x14ac:dyDescent="0.25">
      <c r="A7" s="1" t="s">
        <v>21</v>
      </c>
      <c r="B7">
        <v>13</v>
      </c>
      <c r="C7">
        <v>5</v>
      </c>
    </row>
    <row r="8" spans="1:3" x14ac:dyDescent="0.25">
      <c r="A8" s="1" t="s">
        <v>15</v>
      </c>
      <c r="B8">
        <v>303</v>
      </c>
      <c r="C8">
        <v>88</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592CF-7C1F-45D8-8693-D2423B19F8B7}">
  <sheetPr codeName="Sheet14"/>
  <dimension ref="A3:C9"/>
  <sheetViews>
    <sheetView workbookViewId="0">
      <selection activeCell="C3" sqref="C3"/>
    </sheetView>
  </sheetViews>
  <sheetFormatPr defaultRowHeight="15" x14ac:dyDescent="0.25"/>
  <cols>
    <col min="1" max="1" width="13.140625" bestFit="1" customWidth="1"/>
    <col min="2" max="2" width="12.28515625" bestFit="1" customWidth="1"/>
    <col min="3" max="3" width="47.140625" bestFit="1" customWidth="1"/>
  </cols>
  <sheetData>
    <row r="3" spans="1:3" x14ac:dyDescent="0.25">
      <c r="A3" s="2" t="s">
        <v>14</v>
      </c>
      <c r="B3" t="s">
        <v>36</v>
      </c>
      <c r="C3" t="s">
        <v>40</v>
      </c>
    </row>
    <row r="4" spans="1:3" x14ac:dyDescent="0.25">
      <c r="A4" s="1" t="s">
        <v>17</v>
      </c>
      <c r="B4">
        <v>12</v>
      </c>
      <c r="C4">
        <v>2</v>
      </c>
    </row>
    <row r="5" spans="1:3" x14ac:dyDescent="0.25">
      <c r="A5" s="1" t="s">
        <v>18</v>
      </c>
      <c r="B5">
        <v>71</v>
      </c>
      <c r="C5">
        <v>19</v>
      </c>
    </row>
    <row r="6" spans="1:3" x14ac:dyDescent="0.25">
      <c r="A6" s="1" t="s">
        <v>19</v>
      </c>
      <c r="B6">
        <v>116</v>
      </c>
      <c r="C6">
        <v>26</v>
      </c>
    </row>
    <row r="7" spans="1:3" x14ac:dyDescent="0.25">
      <c r="A7" s="1" t="s">
        <v>20</v>
      </c>
      <c r="B7">
        <v>91</v>
      </c>
      <c r="C7">
        <v>22</v>
      </c>
    </row>
    <row r="8" spans="1:3" x14ac:dyDescent="0.25">
      <c r="A8" s="1" t="s">
        <v>21</v>
      </c>
      <c r="B8">
        <v>13</v>
      </c>
      <c r="C8">
        <v>4</v>
      </c>
    </row>
    <row r="9" spans="1:3" x14ac:dyDescent="0.25">
      <c r="A9" s="1" t="s">
        <v>15</v>
      </c>
      <c r="B9">
        <v>303</v>
      </c>
      <c r="C9">
        <v>73</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EBEFF-5A75-411F-A433-8984305B846B}">
  <sheetPr codeName="Sheet15"/>
  <dimension ref="A3:C9"/>
  <sheetViews>
    <sheetView workbookViewId="0">
      <selection activeCell="C3" sqref="C3"/>
    </sheetView>
  </sheetViews>
  <sheetFormatPr defaultRowHeight="15" x14ac:dyDescent="0.25"/>
  <cols>
    <col min="1" max="1" width="13.140625" bestFit="1" customWidth="1"/>
    <col min="2" max="2" width="12.28515625" bestFit="1" customWidth="1"/>
    <col min="3" max="3" width="41.140625" bestFit="1" customWidth="1"/>
  </cols>
  <sheetData>
    <row r="3" spans="1:3" x14ac:dyDescent="0.25">
      <c r="A3" s="2" t="s">
        <v>14</v>
      </c>
      <c r="B3" t="s">
        <v>36</v>
      </c>
      <c r="C3" t="s">
        <v>41</v>
      </c>
    </row>
    <row r="4" spans="1:3" x14ac:dyDescent="0.25">
      <c r="A4" s="1" t="s">
        <v>17</v>
      </c>
      <c r="B4">
        <v>12</v>
      </c>
      <c r="C4">
        <v>1</v>
      </c>
    </row>
    <row r="5" spans="1:3" x14ac:dyDescent="0.25">
      <c r="A5" s="1" t="s">
        <v>18</v>
      </c>
      <c r="B5">
        <v>71</v>
      </c>
      <c r="C5">
        <v>12</v>
      </c>
    </row>
    <row r="6" spans="1:3" x14ac:dyDescent="0.25">
      <c r="A6" s="1" t="s">
        <v>19</v>
      </c>
      <c r="B6">
        <v>116</v>
      </c>
      <c r="C6">
        <v>21</v>
      </c>
    </row>
    <row r="7" spans="1:3" x14ac:dyDescent="0.25">
      <c r="A7" s="1" t="s">
        <v>20</v>
      </c>
      <c r="B7">
        <v>91</v>
      </c>
      <c r="C7">
        <v>12</v>
      </c>
    </row>
    <row r="8" spans="1:3" x14ac:dyDescent="0.25">
      <c r="A8" s="1" t="s">
        <v>21</v>
      </c>
      <c r="B8">
        <v>13</v>
      </c>
      <c r="C8">
        <v>3</v>
      </c>
    </row>
    <row r="9" spans="1:3" x14ac:dyDescent="0.25">
      <c r="A9" s="1" t="s">
        <v>15</v>
      </c>
      <c r="B9">
        <v>303</v>
      </c>
      <c r="C9">
        <v>49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B36EB-72EF-4A82-A47F-C9EC9194E85C}">
  <sheetPr codeName="Sheet17"/>
  <dimension ref="B3:K9"/>
  <sheetViews>
    <sheetView workbookViewId="0">
      <selection activeCell="B3" sqref="B3"/>
    </sheetView>
  </sheetViews>
  <sheetFormatPr defaultRowHeight="15" x14ac:dyDescent="0.25"/>
  <cols>
    <col min="2" max="2" width="15.7109375" customWidth="1"/>
    <col min="5" max="5" width="17" customWidth="1"/>
    <col min="8" max="8" width="16.28515625" customWidth="1"/>
    <col min="11" max="11" width="19.5703125" customWidth="1"/>
  </cols>
  <sheetData>
    <row r="3" spans="2:11" x14ac:dyDescent="0.25">
      <c r="B3">
        <f>COUNTA(Table1[Chest Pain + Target])</f>
        <v>303</v>
      </c>
    </row>
    <row r="4" spans="2:11" x14ac:dyDescent="0.25">
      <c r="B4" s="3">
        <f>COUNTIFS(Table1[Chest Pain + Target],1)/COUNTA(Table1[Chest Pain + Target])</f>
        <v>0.54455445544554459</v>
      </c>
      <c r="E4" s="3">
        <f>E6/B3</f>
        <v>0.29042904290429045</v>
      </c>
      <c r="H4" s="3">
        <f>H6/B3</f>
        <v>0.24092409240924093</v>
      </c>
      <c r="K4" s="3">
        <f>K6/B3</f>
        <v>0.1617161716171617</v>
      </c>
    </row>
    <row r="6" spans="2:11" x14ac:dyDescent="0.25">
      <c r="B6">
        <f>COUNTIFS(Table1[Chest Pain + Target],1)</f>
        <v>165</v>
      </c>
      <c r="E6">
        <f>COUNTIFS(Table1[Add BP],1)</f>
        <v>88</v>
      </c>
      <c r="H6">
        <f>COUNTIFS(Table1[Add Cholestrol],1)</f>
        <v>73</v>
      </c>
      <c r="K6">
        <f>COUNTIFS(Table1[Add Slope],1)</f>
        <v>49</v>
      </c>
    </row>
    <row r="9" spans="2:11" x14ac:dyDescent="0.25">
      <c r="B9" t="str">
        <f>B6&amp;"/"&amp;B3</f>
        <v>165/303</v>
      </c>
      <c r="E9" t="str">
        <f>E6&amp;"/"&amp;B3</f>
        <v>88/303</v>
      </c>
      <c r="H9" t="str">
        <f>H6&amp;"/"&amp;B3</f>
        <v>73/303</v>
      </c>
      <c r="K9" t="str">
        <f>K6&amp;"/"&amp;B3</f>
        <v>49/303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heart_disease_data</vt:lpstr>
      <vt:lpstr>OC-1</vt:lpstr>
      <vt:lpstr>OC-2</vt:lpstr>
      <vt:lpstr>OC-3</vt:lpstr>
      <vt:lpstr>OC-4</vt:lpstr>
      <vt:lpstr>OC-5</vt:lpstr>
      <vt:lpstr>OC-6</vt:lpstr>
      <vt:lpstr>Okpi</vt:lpstr>
      <vt:lpstr>OverView</vt:lpstr>
      <vt:lpstr>Analysis</vt:lpstr>
      <vt:lpstr>Sheet1</vt:lpstr>
      <vt:lpstr>Key Insights</vt:lpstr>
      <vt:lpstr>Data Dictionary</vt:lpstr>
      <vt:lpstr>AC-1</vt:lpstr>
      <vt:lpstr>AC-2</vt:lpstr>
      <vt:lpstr>AC-3</vt:lpstr>
      <vt:lpstr>AC-4</vt:lpstr>
      <vt:lpstr>A-koi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Syed Hasnain Abbas</cp:lastModifiedBy>
  <dcterms:created xsi:type="dcterms:W3CDTF">2026-06-12T21:19:04Z</dcterms:created>
  <dcterms:modified xsi:type="dcterms:W3CDTF">2026-08-16T21:59:22Z</dcterms:modified>
</cp:coreProperties>
</file>