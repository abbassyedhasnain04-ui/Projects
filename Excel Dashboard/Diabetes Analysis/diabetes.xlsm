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0.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1.xml" ContentType="application/vnd.openxmlformats-officedocument.spreadsheetml.pivotTable+xml"/>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2.xml" ContentType="application/vnd.openxmlformats-officedocument.spreadsheetml.pivotTable+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slicers/slicer3.xml" ContentType="application/vnd.ms-excel.slicer+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2.xml" ContentType="application/vnd.openxmlformats-officedocument.drawing+xml"/>
  <Override PartName="/xl/slicers/slicer4.xml" ContentType="application/vnd.ms-excel.slicer+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3.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Ex1.xml" ContentType="application/vnd.ms-office.chartex+xml"/>
  <Override PartName="/xl/charts/style31.xml" ContentType="application/vnd.ms-office.chartstyle+xml"/>
  <Override PartName="/xl/charts/colors31.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4.xml" ContentType="application/vnd.openxmlformats-officedocument.spreadsheetml.table+xml"/>
  <Override PartName="/xl/pivotTables/pivotTable13.xml" ContentType="application/vnd.openxmlformats-officedocument.spreadsheetml.pivotTable+xml"/>
  <Override PartName="/xl/drawings/drawing16.xml" ContentType="application/vnd.openxmlformats-officedocument.drawing+xml"/>
  <Override PartName="/xl/charts/chart31.xml" ContentType="application/vnd.openxmlformats-officedocument.drawingml.chart+xml"/>
  <Override PartName="/xl/charts/style32.xml" ContentType="application/vnd.ms-office.chartstyle+xml"/>
  <Override PartName="/xl/charts/colors32.xml" ContentType="application/vnd.ms-office.chartcolorstyle+xml"/>
  <Override PartName="/xl/pivotTables/pivotTable14.xml" ContentType="application/vnd.openxmlformats-officedocument.spreadsheetml.pivotTable+xml"/>
  <Override PartName="/xl/drawings/drawing17.xml" ContentType="application/vnd.openxmlformats-officedocument.drawing+xml"/>
  <Override PartName="/xl/charts/chart32.xml" ContentType="application/vnd.openxmlformats-officedocument.drawingml.chart+xml"/>
  <Override PartName="/xl/charts/style33.xml" ContentType="application/vnd.ms-office.chartstyle+xml"/>
  <Override PartName="/xl/charts/colors33.xml" ContentType="application/vnd.ms-office.chartcolorstyle+xml"/>
  <Override PartName="/xl/pivotTables/pivotTable15.xml" ContentType="application/vnd.openxmlformats-officedocument.spreadsheetml.pivotTable+xml"/>
  <Override PartName="/xl/drawings/drawing18.xml" ContentType="application/vnd.openxmlformats-officedocument.drawing+xml"/>
  <Override PartName="/xl/charts/chart33.xml" ContentType="application/vnd.openxmlformats-officedocument.drawingml.chart+xml"/>
  <Override PartName="/xl/charts/style34.xml" ContentType="application/vnd.ms-office.chartstyle+xml"/>
  <Override PartName="/xl/charts/colors34.xml" ContentType="application/vnd.ms-office.chartcolorstyle+xml"/>
  <Override PartName="/xl/pivotTables/pivotTable16.xml" ContentType="application/vnd.openxmlformats-officedocument.spreadsheetml.pivotTable+xml"/>
  <Override PartName="/xl/drawings/drawing19.xml" ContentType="application/vnd.openxmlformats-officedocument.drawing+xml"/>
  <Override PartName="/xl/charts/chart34.xml" ContentType="application/vnd.openxmlformats-officedocument.drawingml.chart+xml"/>
  <Override PartName="/xl/charts/style35.xml" ContentType="application/vnd.ms-office.chartstyle+xml"/>
  <Override PartName="/xl/charts/colors35.xml" ContentType="application/vnd.ms-office.chartcolorstyle+xml"/>
  <Override PartName="/xl/pivotTables/pivotTable17.xml" ContentType="application/vnd.openxmlformats-officedocument.spreadsheetml.pivotTable+xml"/>
  <Override PartName="/xl/drawings/drawing20.xml" ContentType="application/vnd.openxmlformats-officedocument.drawing+xml"/>
  <Override PartName="/xl/charts/chart35.xml" ContentType="application/vnd.openxmlformats-officedocument.drawingml.chart+xml"/>
  <Override PartName="/xl/charts/style36.xml" ContentType="application/vnd.ms-office.chartstyle+xml"/>
  <Override PartName="/xl/charts/colors36.xml" ContentType="application/vnd.ms-office.chartcolorstyle+xml"/>
  <Override PartName="/xl/pivotTables/pivotTable18.xml" ContentType="application/vnd.openxmlformats-officedocument.spreadsheetml.pivotTable+xml"/>
  <Override PartName="/xl/drawings/drawing21.xml" ContentType="application/vnd.openxmlformats-officedocument.drawing+xml"/>
  <Override PartName="/xl/charts/chartEx2.xml" ContentType="application/vnd.ms-office.chartex+xml"/>
  <Override PartName="/xl/charts/style37.xml" ContentType="application/vnd.ms-office.chartstyle+xml"/>
  <Override PartName="/xl/charts/colors37.xml" ContentType="application/vnd.ms-office.chartcolorstyle+xml"/>
  <Override PartName="/xl/pivotTables/pivotTable19.xml" ContentType="application/vnd.openxmlformats-officedocument.spreadsheetml.pivotTable+xml"/>
  <Override PartName="/xl/drawings/drawing22.xml" ContentType="application/vnd.openxmlformats-officedocument.drawing+xml"/>
  <Override PartName="/xl/charts/chart36.xml" ContentType="application/vnd.openxmlformats-officedocument.drawingml.chart+xml"/>
  <Override PartName="/xl/charts/style38.xml" ContentType="application/vnd.ms-office.chartstyle+xml"/>
  <Override PartName="/xl/charts/colors38.xml" ContentType="application/vnd.ms-office.chartcolorstyle+xml"/>
  <Override PartName="/xl/pivotTables/pivotTable20.xml" ContentType="application/vnd.openxmlformats-officedocument.spreadsheetml.pivotTable+xml"/>
  <Override PartName="/xl/drawings/drawing23.xml" ContentType="application/vnd.openxmlformats-officedocument.drawing+xml"/>
  <Override PartName="/xl/charts/chart37.xml" ContentType="application/vnd.openxmlformats-officedocument.drawingml.chart+xml"/>
  <Override PartName="/xl/charts/style39.xml" ContentType="application/vnd.ms-office.chartstyle+xml"/>
  <Override PartName="/xl/charts/colors39.xml" ContentType="application/vnd.ms-office.chartcolorstyle+xml"/>
  <Override PartName="/xl/pivotTables/pivotTable21.xml" ContentType="application/vnd.openxmlformats-officedocument.spreadsheetml.pivotTable+xml"/>
  <Override PartName="/xl/drawings/drawing24.xml" ContentType="application/vnd.openxmlformats-officedocument.drawing+xml"/>
  <Override PartName="/xl/charts/chart38.xml" ContentType="application/vnd.openxmlformats-officedocument.drawingml.chart+xml"/>
  <Override PartName="/xl/charts/style40.xml" ContentType="application/vnd.ms-office.chartstyle+xml"/>
  <Override PartName="/xl/charts/colors40.xml" ContentType="application/vnd.ms-office.chartcolorstyle+xml"/>
  <Override PartName="/xl/pivotTables/pivotTable22.xml" ContentType="application/vnd.openxmlformats-officedocument.spreadsheetml.pivotTable+xml"/>
  <Override PartName="/xl/drawings/drawing25.xml" ContentType="application/vnd.openxmlformats-officedocument.drawing+xml"/>
  <Override PartName="/xl/charts/chart39.xml" ContentType="application/vnd.openxmlformats-officedocument.drawingml.chart+xml"/>
  <Override PartName="/xl/charts/style41.xml" ContentType="application/vnd.ms-office.chartstyle+xml"/>
  <Override PartName="/xl/charts/colors41.xml" ContentType="application/vnd.ms-office.chartcolorstyle+xml"/>
  <Override PartName="/xl/pivotTables/pivotTable23.xml" ContentType="application/vnd.openxmlformats-officedocument.spreadsheetml.pivotTable+xml"/>
  <Override PartName="/xl/drawings/drawing26.xml" ContentType="application/vnd.openxmlformats-officedocument.drawing+xml"/>
  <Override PartName="/xl/charts/chart40.xml" ContentType="application/vnd.openxmlformats-officedocument.drawingml.chart+xml"/>
  <Override PartName="/xl/charts/style42.xml" ContentType="application/vnd.ms-office.chartstyle+xml"/>
  <Override PartName="/xl/charts/colors42.xml" ContentType="application/vnd.ms-office.chartcolorstyle+xml"/>
  <Override PartName="/xl/pivotTables/pivotTable24.xml" ContentType="application/vnd.openxmlformats-officedocument.spreadsheetml.pivotTable+xml"/>
  <Override PartName="/xl/drawings/drawing27.xml" ContentType="application/vnd.openxmlformats-officedocument.drawing+xml"/>
  <Override PartName="/xl/charts/chart41.xml" ContentType="application/vnd.openxmlformats-officedocument.drawingml.chart+xml"/>
  <Override PartName="/xl/charts/style43.xml" ContentType="application/vnd.ms-office.chartstyle+xml"/>
  <Override PartName="/xl/charts/colors43.xml" ContentType="application/vnd.ms-office.chartcolorstyle+xml"/>
  <Override PartName="/xl/pivotTables/pivotTable25.xml" ContentType="application/vnd.openxmlformats-officedocument.spreadsheetml.pivotTable+xml"/>
  <Override PartName="/xl/drawings/drawing28.xml" ContentType="application/vnd.openxmlformats-officedocument.drawing+xml"/>
  <Override PartName="/xl/charts/chart42.xml" ContentType="application/vnd.openxmlformats-officedocument.drawingml.chart+xml"/>
  <Override PartName="/xl/charts/style44.xml" ContentType="application/vnd.ms-office.chartstyle+xml"/>
  <Override PartName="/xl/charts/colors4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Hp\Desktop\Diabetic Dashboard\"/>
    </mc:Choice>
  </mc:AlternateContent>
  <xr:revisionPtr revIDLastSave="0" documentId="13_ncr:1_{72F31F87-0723-41C3-9843-DEAD9FA72CC4}" xr6:coauthVersionLast="47" xr6:coauthVersionMax="47" xr10:uidLastSave="{00000000-0000-0000-0000-000000000000}"/>
  <bookViews>
    <workbookView xWindow="-120" yWindow="-120" windowWidth="20730" windowHeight="11160" firstSheet="2" activeTab="18" xr2:uid="{0CD02FB2-D5AB-4A9B-9AD2-77015AA1E26F}"/>
  </bookViews>
  <sheets>
    <sheet name="diabetes" sheetId="1" r:id="rId1"/>
    <sheet name="Table2" sheetId="15" r:id="rId2"/>
    <sheet name="Table1" sheetId="2" r:id="rId3"/>
    <sheet name="Sheet2" sheetId="24" state="hidden" r:id="rId4"/>
    <sheet name="KPI" sheetId="16" state="hidden" r:id="rId5"/>
    <sheet name="preg" sheetId="3" state="hidden" r:id="rId6"/>
    <sheet name="glu" sheetId="4" state="hidden" r:id="rId7"/>
    <sheet name="bp" sheetId="5" state="hidden" r:id="rId8"/>
    <sheet name="st" sheetId="6" state="hidden" r:id="rId9"/>
    <sheet name="ins" sheetId="7" state="hidden" r:id="rId10"/>
    <sheet name="bmi" sheetId="8" state="hidden" r:id="rId11"/>
    <sheet name="dpf" sheetId="9" state="hidden" r:id="rId12"/>
    <sheet name="age" sheetId="10" state="hidden" r:id="rId13"/>
    <sheet name="Sheet9" sheetId="11" state="hidden" r:id="rId14"/>
    <sheet name="Ach1" sheetId="20" state="hidden" r:id="rId15"/>
    <sheet name="Ach2" sheetId="21" state="hidden" r:id="rId16"/>
    <sheet name="Sheet5" sheetId="50" state="hidden" r:id="rId17"/>
    <sheet name="Ach3" sheetId="22" state="hidden" r:id="rId18"/>
    <sheet name="OverView" sheetId="13" r:id="rId19"/>
    <sheet name="Sheet4" sheetId="46" state="hidden" r:id="rId20"/>
    <sheet name="Analysis1" sheetId="17" r:id="rId21"/>
    <sheet name="Sheet7" sheetId="52" state="hidden" r:id="rId22"/>
    <sheet name="Sheet6" sheetId="51" state="hidden" r:id="rId23"/>
    <sheet name="Sheet1" sheetId="49" state="hidden" r:id="rId24"/>
    <sheet name="Analysis2" sheetId="23" r:id="rId25"/>
    <sheet name="Sheet8" sheetId="53" state="hidden" r:id="rId26"/>
    <sheet name="Trend Analysis" sheetId="38" r:id="rId27"/>
    <sheet name="Sheet10" sheetId="54" state="hidden" r:id="rId28"/>
    <sheet name="Key Insights" sheetId="45" r:id="rId29"/>
    <sheet name="dict" sheetId="47" r:id="rId30"/>
    <sheet name="Tch1" sheetId="39" state="hidden" r:id="rId31"/>
    <sheet name="Tch2" sheetId="40" state="hidden" r:id="rId32"/>
    <sheet name="Tch3" sheetId="41" state="hidden" r:id="rId33"/>
    <sheet name="Tch4" sheetId="42" state="hidden" r:id="rId34"/>
    <sheet name="Tch5" sheetId="43" state="hidden" r:id="rId35"/>
    <sheet name="Tch6" sheetId="44" state="hidden" r:id="rId36"/>
    <sheet name="Ach7" sheetId="37" state="hidden" r:id="rId37"/>
    <sheet name="A2ch6" sheetId="36" state="hidden" r:id="rId38"/>
    <sheet name="A2ch5" sheetId="35" state="hidden" r:id="rId39"/>
    <sheet name="A2ch4" sheetId="34" state="hidden" r:id="rId40"/>
    <sheet name="A2ch3" sheetId="33" state="hidden" r:id="rId41"/>
    <sheet name="A2ch1" sheetId="27" state="hidden" r:id="rId42"/>
    <sheet name="Sheet3" sheetId="26" state="hidden" r:id="rId43"/>
    <sheet name="A2ch2" sheetId="29" state="hidden" r:id="rId44"/>
    <sheet name="AKPI" sheetId="18" state="hidden" r:id="rId45"/>
  </sheets>
  <definedNames>
    <definedName name="_xlchart.v2.0" hidden="1">'Tch6'!$D$4:$D$9</definedName>
    <definedName name="_xlchart.v2.1" hidden="1">'Tch6'!$E$4:$E$9</definedName>
    <definedName name="_xlchart.v2.2" hidden="1">'Tch6'!$D$4:$D$9</definedName>
    <definedName name="_xlchart.v2.3" hidden="1">'Tch6'!$E$4:$E$9</definedName>
    <definedName name="ExternalData_1" localSheetId="2" hidden="1">Table1!$A$1:$I$769</definedName>
    <definedName name="ExternalData_2" localSheetId="1" hidden="1">Table2!$A$1:$I$769</definedName>
    <definedName name="Slicer_Age">#N/A</definedName>
    <definedName name="Slicer_Outcome">#N/A</definedName>
  </definedNames>
  <calcPr calcId="191029"/>
  <pivotCaches>
    <pivotCache cacheId="0" r:id="rId46"/>
  </pivotCaches>
  <extLst>
    <ext xmlns:x14="http://schemas.microsoft.com/office/spreadsheetml/2009/9/main" uri="{BBE1A952-AA13-448e-AADC-164F8A28A991}">
      <x14:slicerCaches>
        <x14:slicerCache r:id="rId47"/>
        <x14:slicerCache r:id="rId4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7" i="2" l="1"/>
  <c r="N5" i="2"/>
  <c r="D5" i="44"/>
  <c r="E5" i="44"/>
  <c r="D6" i="44"/>
  <c r="E6" i="44"/>
  <c r="D7" i="44"/>
  <c r="E7" i="44"/>
  <c r="D8" i="44"/>
  <c r="E8" i="44"/>
  <c r="D9" i="44"/>
  <c r="E9" i="44"/>
  <c r="E4" i="44"/>
  <c r="D4" i="44"/>
  <c r="B3" i="26"/>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L606" i="2"/>
  <c r="L607" i="2"/>
  <c r="L608" i="2"/>
  <c r="L609" i="2"/>
  <c r="L610" i="2"/>
  <c r="L611" i="2"/>
  <c r="L612" i="2"/>
  <c r="L613" i="2"/>
  <c r="L614" i="2"/>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L642" i="2"/>
  <c r="L643" i="2"/>
  <c r="L644" i="2"/>
  <c r="L645" i="2"/>
  <c r="L646" i="2"/>
  <c r="L647" i="2"/>
  <c r="L648" i="2"/>
  <c r="L649" i="2"/>
  <c r="L650" i="2"/>
  <c r="L651" i="2"/>
  <c r="L652" i="2"/>
  <c r="L653" i="2"/>
  <c r="L654" i="2"/>
  <c r="L655" i="2"/>
  <c r="L656" i="2"/>
  <c r="L657" i="2"/>
  <c r="L658" i="2"/>
  <c r="L659" i="2"/>
  <c r="L660" i="2"/>
  <c r="L661" i="2"/>
  <c r="L662" i="2"/>
  <c r="L663" i="2"/>
  <c r="L664" i="2"/>
  <c r="L665" i="2"/>
  <c r="L666" i="2"/>
  <c r="L667" i="2"/>
  <c r="L668" i="2"/>
  <c r="L669" i="2"/>
  <c r="L670" i="2"/>
  <c r="L671" i="2"/>
  <c r="L672" i="2"/>
  <c r="L673" i="2"/>
  <c r="L674" i="2"/>
  <c r="L675" i="2"/>
  <c r="L676" i="2"/>
  <c r="L677" i="2"/>
  <c r="L678" i="2"/>
  <c r="L679" i="2"/>
  <c r="L680" i="2"/>
  <c r="L681" i="2"/>
  <c r="L682" i="2"/>
  <c r="L683" i="2"/>
  <c r="L684" i="2"/>
  <c r="L685" i="2"/>
  <c r="L686" i="2"/>
  <c r="L687" i="2"/>
  <c r="L688" i="2"/>
  <c r="L689" i="2"/>
  <c r="L690" i="2"/>
  <c r="L691" i="2"/>
  <c r="L692" i="2"/>
  <c r="L693" i="2"/>
  <c r="L694" i="2"/>
  <c r="L695" i="2"/>
  <c r="L696" i="2"/>
  <c r="L697" i="2"/>
  <c r="L698" i="2"/>
  <c r="L699" i="2"/>
  <c r="L700" i="2"/>
  <c r="L701" i="2"/>
  <c r="L702" i="2"/>
  <c r="L703" i="2"/>
  <c r="L704" i="2"/>
  <c r="L705" i="2"/>
  <c r="L706" i="2"/>
  <c r="L707" i="2"/>
  <c r="L708" i="2"/>
  <c r="L709" i="2"/>
  <c r="L710" i="2"/>
  <c r="L711" i="2"/>
  <c r="L712" i="2"/>
  <c r="L713" i="2"/>
  <c r="L714" i="2"/>
  <c r="L715" i="2"/>
  <c r="L716" i="2"/>
  <c r="L717" i="2"/>
  <c r="L718" i="2"/>
  <c r="L719" i="2"/>
  <c r="L720" i="2"/>
  <c r="L721" i="2"/>
  <c r="L722" i="2"/>
  <c r="L723" i="2"/>
  <c r="L724" i="2"/>
  <c r="L725" i="2"/>
  <c r="L726" i="2"/>
  <c r="L727" i="2"/>
  <c r="L728" i="2"/>
  <c r="L729" i="2"/>
  <c r="L730" i="2"/>
  <c r="L731" i="2"/>
  <c r="L732" i="2"/>
  <c r="L733" i="2"/>
  <c r="L734" i="2"/>
  <c r="L735" i="2"/>
  <c r="L736" i="2"/>
  <c r="L737" i="2"/>
  <c r="L738" i="2"/>
  <c r="L739" i="2"/>
  <c r="L740" i="2"/>
  <c r="L741" i="2"/>
  <c r="L742" i="2"/>
  <c r="L743" i="2"/>
  <c r="L744" i="2"/>
  <c r="L745" i="2"/>
  <c r="L746" i="2"/>
  <c r="L747" i="2"/>
  <c r="L748" i="2"/>
  <c r="L749" i="2"/>
  <c r="L750" i="2"/>
  <c r="L751" i="2"/>
  <c r="L752" i="2"/>
  <c r="L753" i="2"/>
  <c r="L754" i="2"/>
  <c r="L755" i="2"/>
  <c r="L756" i="2"/>
  <c r="L757" i="2"/>
  <c r="L758" i="2"/>
  <c r="L759" i="2"/>
  <c r="L760" i="2"/>
  <c r="L761" i="2"/>
  <c r="L762" i="2"/>
  <c r="L763" i="2"/>
  <c r="L764" i="2"/>
  <c r="L765" i="2"/>
  <c r="L766" i="2"/>
  <c r="L767" i="2"/>
  <c r="L768" i="2"/>
  <c r="L769" i="2"/>
  <c r="D6" i="18"/>
  <c r="B3" i="18"/>
  <c r="K174" i="2"/>
  <c r="K178" i="2"/>
  <c r="K182" i="2"/>
  <c r="K186" i="2"/>
  <c r="K190" i="2"/>
  <c r="K194" i="2"/>
  <c r="K198" i="2"/>
  <c r="K202" i="2"/>
  <c r="K206" i="2"/>
  <c r="K210" i="2"/>
  <c r="K214" i="2"/>
  <c r="K218" i="2"/>
  <c r="K222" i="2"/>
  <c r="K226" i="2"/>
  <c r="K230" i="2"/>
  <c r="K234" i="2"/>
  <c r="K238" i="2"/>
  <c r="K242" i="2"/>
  <c r="K246" i="2"/>
  <c r="K250" i="2"/>
  <c r="K254" i="2"/>
  <c r="K258" i="2"/>
  <c r="K262" i="2"/>
  <c r="K266" i="2"/>
  <c r="K270" i="2"/>
  <c r="K274" i="2"/>
  <c r="K278" i="2"/>
  <c r="K282" i="2"/>
  <c r="K286" i="2"/>
  <c r="K290" i="2"/>
  <c r="K294" i="2"/>
  <c r="K298" i="2"/>
  <c r="K302" i="2"/>
  <c r="K306" i="2"/>
  <c r="K310" i="2"/>
  <c r="K314" i="2"/>
  <c r="K318" i="2"/>
  <c r="K322" i="2"/>
  <c r="K326" i="2"/>
  <c r="K330" i="2"/>
  <c r="K334" i="2"/>
  <c r="K338" i="2"/>
  <c r="K342" i="2"/>
  <c r="K346" i="2"/>
  <c r="K350" i="2"/>
  <c r="K354" i="2"/>
  <c r="K358" i="2"/>
  <c r="K362" i="2"/>
  <c r="K366" i="2"/>
  <c r="K370" i="2"/>
  <c r="K374" i="2"/>
  <c r="K378" i="2"/>
  <c r="K382" i="2"/>
  <c r="K386" i="2"/>
  <c r="K390" i="2"/>
  <c r="K394" i="2"/>
  <c r="K398" i="2"/>
  <c r="K402" i="2"/>
  <c r="K406" i="2"/>
  <c r="K410" i="2"/>
  <c r="K414" i="2"/>
  <c r="K418" i="2"/>
  <c r="K422" i="2"/>
  <c r="K426" i="2"/>
  <c r="K428" i="2"/>
  <c r="K430" i="2"/>
  <c r="K432" i="2"/>
  <c r="K434" i="2"/>
  <c r="K436" i="2"/>
  <c r="K438" i="2"/>
  <c r="K440" i="2"/>
  <c r="K442" i="2"/>
  <c r="K444" i="2"/>
  <c r="K446" i="2"/>
  <c r="K448" i="2"/>
  <c r="K450" i="2"/>
  <c r="K452" i="2"/>
  <c r="K454" i="2"/>
  <c r="K456" i="2"/>
  <c r="K458" i="2"/>
  <c r="K460" i="2"/>
  <c r="K462" i="2"/>
  <c r="K464" i="2"/>
  <c r="K466" i="2"/>
  <c r="K468" i="2"/>
  <c r="K470" i="2"/>
  <c r="K472" i="2"/>
  <c r="K474" i="2"/>
  <c r="K476" i="2"/>
  <c r="K478" i="2"/>
  <c r="K480" i="2"/>
  <c r="K482" i="2"/>
  <c r="K484" i="2"/>
  <c r="K486" i="2"/>
  <c r="K488" i="2"/>
  <c r="K490" i="2"/>
  <c r="K492" i="2"/>
  <c r="K494" i="2"/>
  <c r="K496" i="2"/>
  <c r="K498" i="2"/>
  <c r="K500" i="2"/>
  <c r="K502" i="2"/>
  <c r="K504" i="2"/>
  <c r="K506" i="2"/>
  <c r="K508" i="2"/>
  <c r="K510" i="2"/>
  <c r="K512" i="2"/>
  <c r="K514" i="2"/>
  <c r="K516" i="2"/>
  <c r="K518" i="2"/>
  <c r="K520" i="2"/>
  <c r="K522" i="2"/>
  <c r="K524" i="2"/>
  <c r="K526" i="2"/>
  <c r="K528" i="2"/>
  <c r="K530" i="2"/>
  <c r="K532" i="2"/>
  <c r="K534" i="2"/>
  <c r="K536" i="2"/>
  <c r="K538" i="2"/>
  <c r="K540" i="2"/>
  <c r="K542" i="2"/>
  <c r="K544" i="2"/>
  <c r="K546" i="2"/>
  <c r="K548" i="2"/>
  <c r="K550" i="2"/>
  <c r="K552" i="2"/>
  <c r="K554" i="2"/>
  <c r="K556" i="2"/>
  <c r="K558" i="2"/>
  <c r="K560" i="2"/>
  <c r="K562" i="2"/>
  <c r="K564" i="2"/>
  <c r="K566" i="2"/>
  <c r="K568" i="2"/>
  <c r="K570" i="2"/>
  <c r="K572" i="2"/>
  <c r="K574" i="2"/>
  <c r="K576" i="2"/>
  <c r="K578" i="2"/>
  <c r="K580" i="2"/>
  <c r="K582" i="2"/>
  <c r="K584" i="2"/>
  <c r="K586" i="2"/>
  <c r="K588" i="2"/>
  <c r="K590" i="2"/>
  <c r="K592" i="2"/>
  <c r="K594" i="2"/>
  <c r="K596" i="2"/>
  <c r="K598" i="2"/>
  <c r="K600" i="2"/>
  <c r="K602" i="2"/>
  <c r="K604" i="2"/>
  <c r="K606" i="2"/>
  <c r="K608" i="2"/>
  <c r="K610" i="2"/>
  <c r="K612" i="2"/>
  <c r="K614" i="2"/>
  <c r="K616" i="2"/>
  <c r="K618" i="2"/>
  <c r="K620" i="2"/>
  <c r="K622" i="2"/>
  <c r="K624" i="2"/>
  <c r="K626" i="2"/>
  <c r="K628" i="2"/>
  <c r="K630" i="2"/>
  <c r="K632" i="2"/>
  <c r="K634" i="2"/>
  <c r="K636" i="2"/>
  <c r="K638" i="2"/>
  <c r="K640" i="2"/>
  <c r="K642" i="2"/>
  <c r="K644" i="2"/>
  <c r="K646" i="2"/>
  <c r="K648" i="2"/>
  <c r="K650" i="2"/>
  <c r="K652" i="2"/>
  <c r="K654" i="2"/>
  <c r="K656" i="2"/>
  <c r="K658" i="2"/>
  <c r="K660" i="2"/>
  <c r="K662" i="2"/>
  <c r="K664" i="2"/>
  <c r="K666" i="2"/>
  <c r="K668" i="2"/>
  <c r="K670" i="2"/>
  <c r="K672" i="2"/>
  <c r="K674" i="2"/>
  <c r="K676" i="2"/>
  <c r="K678" i="2"/>
  <c r="K680" i="2"/>
  <c r="K682" i="2"/>
  <c r="K684" i="2"/>
  <c r="K686" i="2"/>
  <c r="K688" i="2"/>
  <c r="K690" i="2"/>
  <c r="K692" i="2"/>
  <c r="K694" i="2"/>
  <c r="K696" i="2"/>
  <c r="K698" i="2"/>
  <c r="K700" i="2"/>
  <c r="K702" i="2"/>
  <c r="K704" i="2"/>
  <c r="K706" i="2"/>
  <c r="K708" i="2"/>
  <c r="K710" i="2"/>
  <c r="K712" i="2"/>
  <c r="K714" i="2"/>
  <c r="K716" i="2"/>
  <c r="K718" i="2"/>
  <c r="K720" i="2"/>
  <c r="K722" i="2"/>
  <c r="K724" i="2"/>
  <c r="K726" i="2"/>
  <c r="K728" i="2"/>
  <c r="K730" i="2"/>
  <c r="K732" i="2"/>
  <c r="K734" i="2"/>
  <c r="K736" i="2"/>
  <c r="K738" i="2"/>
  <c r="K740" i="2"/>
  <c r="K742" i="2"/>
  <c r="K744" i="2"/>
  <c r="K746" i="2"/>
  <c r="K748" i="2"/>
  <c r="K750" i="2"/>
  <c r="K752" i="2"/>
  <c r="K754" i="2"/>
  <c r="K756" i="2"/>
  <c r="K758" i="2"/>
  <c r="K760" i="2"/>
  <c r="K762" i="2"/>
  <c r="K764" i="2"/>
  <c r="K766" i="2"/>
  <c r="K768" i="2"/>
  <c r="J3" i="2"/>
  <c r="K3" i="2" s="1"/>
  <c r="J4" i="2"/>
  <c r="K4" i="2" s="1"/>
  <c r="J5" i="2"/>
  <c r="K5" i="2" s="1"/>
  <c r="J6" i="2"/>
  <c r="K6" i="2" s="1"/>
  <c r="J7" i="2"/>
  <c r="K7" i="2" s="1"/>
  <c r="J8" i="2"/>
  <c r="K8" i="2" s="1"/>
  <c r="J9" i="2"/>
  <c r="K9" i="2" s="1"/>
  <c r="J10" i="2"/>
  <c r="K10" i="2" s="1"/>
  <c r="J11" i="2"/>
  <c r="K11" i="2" s="1"/>
  <c r="J12" i="2"/>
  <c r="K12" i="2" s="1"/>
  <c r="J13" i="2"/>
  <c r="K13" i="2" s="1"/>
  <c r="J14" i="2"/>
  <c r="K14" i="2" s="1"/>
  <c r="J15" i="2"/>
  <c r="K15" i="2" s="1"/>
  <c r="J16" i="2"/>
  <c r="K16" i="2" s="1"/>
  <c r="J17" i="2"/>
  <c r="K17" i="2" s="1"/>
  <c r="J18" i="2"/>
  <c r="K18" i="2" s="1"/>
  <c r="J19" i="2"/>
  <c r="K19" i="2" s="1"/>
  <c r="J20" i="2"/>
  <c r="K20" i="2" s="1"/>
  <c r="J21" i="2"/>
  <c r="K21" i="2" s="1"/>
  <c r="J22" i="2"/>
  <c r="K22" i="2" s="1"/>
  <c r="J23" i="2"/>
  <c r="K23" i="2" s="1"/>
  <c r="J24" i="2"/>
  <c r="K24" i="2" s="1"/>
  <c r="J25" i="2"/>
  <c r="K25" i="2" s="1"/>
  <c r="J26" i="2"/>
  <c r="K26" i="2" s="1"/>
  <c r="J27" i="2"/>
  <c r="K27" i="2" s="1"/>
  <c r="J28" i="2"/>
  <c r="K28" i="2" s="1"/>
  <c r="J29" i="2"/>
  <c r="K29" i="2" s="1"/>
  <c r="J30" i="2"/>
  <c r="K30" i="2" s="1"/>
  <c r="J31" i="2"/>
  <c r="K31" i="2" s="1"/>
  <c r="J32" i="2"/>
  <c r="K32" i="2" s="1"/>
  <c r="J33" i="2"/>
  <c r="K33" i="2" s="1"/>
  <c r="J34" i="2"/>
  <c r="K34" i="2" s="1"/>
  <c r="J35" i="2"/>
  <c r="K35" i="2" s="1"/>
  <c r="J36" i="2"/>
  <c r="K36" i="2" s="1"/>
  <c r="J37" i="2"/>
  <c r="K37" i="2" s="1"/>
  <c r="J38" i="2"/>
  <c r="K38" i="2" s="1"/>
  <c r="J39" i="2"/>
  <c r="K39" i="2" s="1"/>
  <c r="J40" i="2"/>
  <c r="K40" i="2" s="1"/>
  <c r="J41" i="2"/>
  <c r="K41" i="2" s="1"/>
  <c r="J42" i="2"/>
  <c r="K42" i="2" s="1"/>
  <c r="J43" i="2"/>
  <c r="K43" i="2" s="1"/>
  <c r="J44" i="2"/>
  <c r="K44" i="2" s="1"/>
  <c r="J45" i="2"/>
  <c r="K45" i="2" s="1"/>
  <c r="J46" i="2"/>
  <c r="K46" i="2" s="1"/>
  <c r="J47" i="2"/>
  <c r="K47" i="2" s="1"/>
  <c r="J48" i="2"/>
  <c r="K48" i="2" s="1"/>
  <c r="J49" i="2"/>
  <c r="K49" i="2" s="1"/>
  <c r="J50" i="2"/>
  <c r="K50" i="2" s="1"/>
  <c r="J51" i="2"/>
  <c r="K51" i="2" s="1"/>
  <c r="J52" i="2"/>
  <c r="K52" i="2" s="1"/>
  <c r="J53" i="2"/>
  <c r="K53" i="2" s="1"/>
  <c r="J54" i="2"/>
  <c r="K54" i="2" s="1"/>
  <c r="J55" i="2"/>
  <c r="K55" i="2" s="1"/>
  <c r="J56" i="2"/>
  <c r="K56" i="2" s="1"/>
  <c r="J57" i="2"/>
  <c r="K57" i="2" s="1"/>
  <c r="J58" i="2"/>
  <c r="K58" i="2" s="1"/>
  <c r="J59" i="2"/>
  <c r="K59" i="2" s="1"/>
  <c r="J60" i="2"/>
  <c r="K60" i="2" s="1"/>
  <c r="J61" i="2"/>
  <c r="K61" i="2" s="1"/>
  <c r="J62" i="2"/>
  <c r="K62" i="2" s="1"/>
  <c r="J63" i="2"/>
  <c r="K63" i="2" s="1"/>
  <c r="J64" i="2"/>
  <c r="K64" i="2" s="1"/>
  <c r="J65" i="2"/>
  <c r="K65" i="2" s="1"/>
  <c r="J66" i="2"/>
  <c r="K66" i="2" s="1"/>
  <c r="J67" i="2"/>
  <c r="K67" i="2" s="1"/>
  <c r="J68" i="2"/>
  <c r="K68" i="2" s="1"/>
  <c r="J69" i="2"/>
  <c r="K69" i="2" s="1"/>
  <c r="J70" i="2"/>
  <c r="K70" i="2" s="1"/>
  <c r="J71" i="2"/>
  <c r="K71" i="2" s="1"/>
  <c r="J72" i="2"/>
  <c r="K72" i="2" s="1"/>
  <c r="J73" i="2"/>
  <c r="K73" i="2" s="1"/>
  <c r="J74" i="2"/>
  <c r="K74" i="2" s="1"/>
  <c r="J75" i="2"/>
  <c r="K75" i="2" s="1"/>
  <c r="J76" i="2"/>
  <c r="K76" i="2" s="1"/>
  <c r="J77" i="2"/>
  <c r="K77" i="2" s="1"/>
  <c r="J78" i="2"/>
  <c r="K78" i="2" s="1"/>
  <c r="J79" i="2"/>
  <c r="K79" i="2" s="1"/>
  <c r="J80" i="2"/>
  <c r="K80" i="2" s="1"/>
  <c r="J81" i="2"/>
  <c r="K81" i="2" s="1"/>
  <c r="J82" i="2"/>
  <c r="K82" i="2" s="1"/>
  <c r="J83" i="2"/>
  <c r="K83" i="2" s="1"/>
  <c r="J84" i="2"/>
  <c r="K84" i="2" s="1"/>
  <c r="J85" i="2"/>
  <c r="K85" i="2" s="1"/>
  <c r="J86" i="2"/>
  <c r="K86" i="2" s="1"/>
  <c r="J87" i="2"/>
  <c r="K87" i="2" s="1"/>
  <c r="J88" i="2"/>
  <c r="K88" i="2" s="1"/>
  <c r="J89" i="2"/>
  <c r="K89" i="2" s="1"/>
  <c r="J90" i="2"/>
  <c r="K90" i="2" s="1"/>
  <c r="J91" i="2"/>
  <c r="K91" i="2" s="1"/>
  <c r="J92" i="2"/>
  <c r="K92" i="2" s="1"/>
  <c r="J93" i="2"/>
  <c r="K93" i="2" s="1"/>
  <c r="J94" i="2"/>
  <c r="K94" i="2" s="1"/>
  <c r="J95" i="2"/>
  <c r="K95" i="2" s="1"/>
  <c r="J96" i="2"/>
  <c r="K96" i="2" s="1"/>
  <c r="J97" i="2"/>
  <c r="K97" i="2" s="1"/>
  <c r="J98" i="2"/>
  <c r="K98" i="2" s="1"/>
  <c r="J99" i="2"/>
  <c r="K99" i="2" s="1"/>
  <c r="J100" i="2"/>
  <c r="K100" i="2" s="1"/>
  <c r="J101" i="2"/>
  <c r="K101" i="2" s="1"/>
  <c r="J102" i="2"/>
  <c r="K102" i="2" s="1"/>
  <c r="J103" i="2"/>
  <c r="K103" i="2" s="1"/>
  <c r="J104" i="2"/>
  <c r="K104" i="2" s="1"/>
  <c r="J105" i="2"/>
  <c r="K105" i="2" s="1"/>
  <c r="J106" i="2"/>
  <c r="K106" i="2" s="1"/>
  <c r="J107" i="2"/>
  <c r="K107" i="2" s="1"/>
  <c r="J108" i="2"/>
  <c r="K108" i="2" s="1"/>
  <c r="J109" i="2"/>
  <c r="K109" i="2" s="1"/>
  <c r="J110" i="2"/>
  <c r="K110" i="2" s="1"/>
  <c r="J111" i="2"/>
  <c r="K111" i="2" s="1"/>
  <c r="J112" i="2"/>
  <c r="K112" i="2" s="1"/>
  <c r="J113" i="2"/>
  <c r="K113" i="2" s="1"/>
  <c r="J114" i="2"/>
  <c r="K114" i="2" s="1"/>
  <c r="J115" i="2"/>
  <c r="K115" i="2" s="1"/>
  <c r="J116" i="2"/>
  <c r="K116" i="2" s="1"/>
  <c r="J117" i="2"/>
  <c r="K117" i="2" s="1"/>
  <c r="J118" i="2"/>
  <c r="K118" i="2" s="1"/>
  <c r="J119" i="2"/>
  <c r="K119" i="2" s="1"/>
  <c r="J120" i="2"/>
  <c r="K120" i="2" s="1"/>
  <c r="J121" i="2"/>
  <c r="K121" i="2" s="1"/>
  <c r="J122" i="2"/>
  <c r="K122" i="2" s="1"/>
  <c r="J123" i="2"/>
  <c r="K123" i="2" s="1"/>
  <c r="J124" i="2"/>
  <c r="K124" i="2" s="1"/>
  <c r="J125" i="2"/>
  <c r="K125" i="2" s="1"/>
  <c r="J126" i="2"/>
  <c r="K126" i="2" s="1"/>
  <c r="J127" i="2"/>
  <c r="K127" i="2" s="1"/>
  <c r="J128" i="2"/>
  <c r="K128" i="2" s="1"/>
  <c r="J129" i="2"/>
  <c r="K129" i="2" s="1"/>
  <c r="J130" i="2"/>
  <c r="K130" i="2" s="1"/>
  <c r="J131" i="2"/>
  <c r="K131" i="2" s="1"/>
  <c r="J132" i="2"/>
  <c r="K132" i="2" s="1"/>
  <c r="J133" i="2"/>
  <c r="K133" i="2" s="1"/>
  <c r="J134" i="2"/>
  <c r="K134" i="2" s="1"/>
  <c r="J135" i="2"/>
  <c r="K135" i="2" s="1"/>
  <c r="J136" i="2"/>
  <c r="K136" i="2" s="1"/>
  <c r="J137" i="2"/>
  <c r="K137" i="2" s="1"/>
  <c r="J138" i="2"/>
  <c r="K138" i="2" s="1"/>
  <c r="J139" i="2"/>
  <c r="K139" i="2" s="1"/>
  <c r="J140" i="2"/>
  <c r="K140" i="2" s="1"/>
  <c r="J141" i="2"/>
  <c r="K141" i="2" s="1"/>
  <c r="J142" i="2"/>
  <c r="K142" i="2" s="1"/>
  <c r="J143" i="2"/>
  <c r="K143" i="2" s="1"/>
  <c r="J144" i="2"/>
  <c r="K144" i="2" s="1"/>
  <c r="J145" i="2"/>
  <c r="K145" i="2" s="1"/>
  <c r="J146" i="2"/>
  <c r="K146" i="2" s="1"/>
  <c r="J147" i="2"/>
  <c r="K147" i="2" s="1"/>
  <c r="J148" i="2"/>
  <c r="K148" i="2" s="1"/>
  <c r="J149" i="2"/>
  <c r="K149" i="2" s="1"/>
  <c r="J150" i="2"/>
  <c r="K150" i="2" s="1"/>
  <c r="J151" i="2"/>
  <c r="K151" i="2" s="1"/>
  <c r="J152" i="2"/>
  <c r="K152" i="2" s="1"/>
  <c r="J153" i="2"/>
  <c r="K153" i="2" s="1"/>
  <c r="J154" i="2"/>
  <c r="K154" i="2" s="1"/>
  <c r="J155" i="2"/>
  <c r="K155" i="2" s="1"/>
  <c r="J156" i="2"/>
  <c r="K156" i="2" s="1"/>
  <c r="J157" i="2"/>
  <c r="K157" i="2" s="1"/>
  <c r="J158" i="2"/>
  <c r="K158" i="2" s="1"/>
  <c r="J159" i="2"/>
  <c r="K159" i="2" s="1"/>
  <c r="J160" i="2"/>
  <c r="K160" i="2" s="1"/>
  <c r="J161" i="2"/>
  <c r="K161" i="2" s="1"/>
  <c r="J162" i="2"/>
  <c r="K162" i="2" s="1"/>
  <c r="J163" i="2"/>
  <c r="K163" i="2" s="1"/>
  <c r="J164" i="2"/>
  <c r="K164" i="2" s="1"/>
  <c r="J165" i="2"/>
  <c r="K165" i="2" s="1"/>
  <c r="J166" i="2"/>
  <c r="K166" i="2" s="1"/>
  <c r="J167" i="2"/>
  <c r="K167" i="2" s="1"/>
  <c r="J168" i="2"/>
  <c r="K168" i="2" s="1"/>
  <c r="J169" i="2"/>
  <c r="K169" i="2" s="1"/>
  <c r="J170" i="2"/>
  <c r="K170" i="2" s="1"/>
  <c r="J171" i="2"/>
  <c r="K171" i="2" s="1"/>
  <c r="J172" i="2"/>
  <c r="K172" i="2" s="1"/>
  <c r="J173" i="2"/>
  <c r="K173" i="2" s="1"/>
  <c r="J174" i="2"/>
  <c r="J175" i="2"/>
  <c r="K175" i="2" s="1"/>
  <c r="J176" i="2"/>
  <c r="K176" i="2" s="1"/>
  <c r="J177" i="2"/>
  <c r="K177" i="2" s="1"/>
  <c r="J178" i="2"/>
  <c r="J179" i="2"/>
  <c r="K179" i="2" s="1"/>
  <c r="J180" i="2"/>
  <c r="K180" i="2" s="1"/>
  <c r="J181" i="2"/>
  <c r="K181" i="2" s="1"/>
  <c r="J182" i="2"/>
  <c r="J183" i="2"/>
  <c r="K183" i="2" s="1"/>
  <c r="J184" i="2"/>
  <c r="K184" i="2" s="1"/>
  <c r="J185" i="2"/>
  <c r="K185" i="2" s="1"/>
  <c r="J186" i="2"/>
  <c r="J187" i="2"/>
  <c r="K187" i="2" s="1"/>
  <c r="J188" i="2"/>
  <c r="K188" i="2" s="1"/>
  <c r="J189" i="2"/>
  <c r="K189" i="2" s="1"/>
  <c r="J190" i="2"/>
  <c r="J191" i="2"/>
  <c r="K191" i="2" s="1"/>
  <c r="J192" i="2"/>
  <c r="K192" i="2" s="1"/>
  <c r="J193" i="2"/>
  <c r="K193" i="2" s="1"/>
  <c r="J194" i="2"/>
  <c r="J195" i="2"/>
  <c r="K195" i="2" s="1"/>
  <c r="J196" i="2"/>
  <c r="K196" i="2" s="1"/>
  <c r="J197" i="2"/>
  <c r="K197" i="2" s="1"/>
  <c r="J198" i="2"/>
  <c r="J199" i="2"/>
  <c r="K199" i="2" s="1"/>
  <c r="J200" i="2"/>
  <c r="K200" i="2" s="1"/>
  <c r="J201" i="2"/>
  <c r="K201" i="2" s="1"/>
  <c r="J202" i="2"/>
  <c r="J203" i="2"/>
  <c r="K203" i="2" s="1"/>
  <c r="J204" i="2"/>
  <c r="K204" i="2" s="1"/>
  <c r="J205" i="2"/>
  <c r="K205" i="2" s="1"/>
  <c r="J206" i="2"/>
  <c r="J207" i="2"/>
  <c r="K207" i="2" s="1"/>
  <c r="J208" i="2"/>
  <c r="K208" i="2" s="1"/>
  <c r="J209" i="2"/>
  <c r="K209" i="2" s="1"/>
  <c r="J210" i="2"/>
  <c r="J211" i="2"/>
  <c r="K211" i="2" s="1"/>
  <c r="J212" i="2"/>
  <c r="K212" i="2" s="1"/>
  <c r="J213" i="2"/>
  <c r="K213" i="2" s="1"/>
  <c r="J214" i="2"/>
  <c r="J215" i="2"/>
  <c r="K215" i="2" s="1"/>
  <c r="J216" i="2"/>
  <c r="K216" i="2" s="1"/>
  <c r="J217" i="2"/>
  <c r="K217" i="2" s="1"/>
  <c r="J218" i="2"/>
  <c r="J219" i="2"/>
  <c r="K219" i="2" s="1"/>
  <c r="J220" i="2"/>
  <c r="K220" i="2" s="1"/>
  <c r="J221" i="2"/>
  <c r="K221" i="2" s="1"/>
  <c r="J222" i="2"/>
  <c r="J223" i="2"/>
  <c r="K223" i="2" s="1"/>
  <c r="J224" i="2"/>
  <c r="K224" i="2" s="1"/>
  <c r="J225" i="2"/>
  <c r="K225" i="2" s="1"/>
  <c r="J226" i="2"/>
  <c r="J227" i="2"/>
  <c r="K227" i="2" s="1"/>
  <c r="J228" i="2"/>
  <c r="K228" i="2" s="1"/>
  <c r="J229" i="2"/>
  <c r="K229" i="2" s="1"/>
  <c r="J230" i="2"/>
  <c r="J231" i="2"/>
  <c r="K231" i="2" s="1"/>
  <c r="J232" i="2"/>
  <c r="K232" i="2" s="1"/>
  <c r="J233" i="2"/>
  <c r="K233" i="2" s="1"/>
  <c r="J234" i="2"/>
  <c r="J235" i="2"/>
  <c r="K235" i="2" s="1"/>
  <c r="J236" i="2"/>
  <c r="K236" i="2" s="1"/>
  <c r="J237" i="2"/>
  <c r="K237" i="2" s="1"/>
  <c r="J238" i="2"/>
  <c r="J239" i="2"/>
  <c r="K239" i="2" s="1"/>
  <c r="J240" i="2"/>
  <c r="K240" i="2" s="1"/>
  <c r="J241" i="2"/>
  <c r="K241" i="2" s="1"/>
  <c r="J242" i="2"/>
  <c r="J243" i="2"/>
  <c r="K243" i="2" s="1"/>
  <c r="J244" i="2"/>
  <c r="K244" i="2" s="1"/>
  <c r="J245" i="2"/>
  <c r="K245" i="2" s="1"/>
  <c r="J246" i="2"/>
  <c r="J247" i="2"/>
  <c r="K247" i="2" s="1"/>
  <c r="J248" i="2"/>
  <c r="K248" i="2" s="1"/>
  <c r="J249" i="2"/>
  <c r="K249" i="2" s="1"/>
  <c r="J250" i="2"/>
  <c r="J251" i="2"/>
  <c r="K251" i="2" s="1"/>
  <c r="J252" i="2"/>
  <c r="K252" i="2" s="1"/>
  <c r="J253" i="2"/>
  <c r="K253" i="2" s="1"/>
  <c r="J254" i="2"/>
  <c r="J255" i="2"/>
  <c r="K255" i="2" s="1"/>
  <c r="J256" i="2"/>
  <c r="K256" i="2" s="1"/>
  <c r="J257" i="2"/>
  <c r="K257" i="2" s="1"/>
  <c r="J258" i="2"/>
  <c r="J259" i="2"/>
  <c r="K259" i="2" s="1"/>
  <c r="J260" i="2"/>
  <c r="K260" i="2" s="1"/>
  <c r="J261" i="2"/>
  <c r="K261" i="2" s="1"/>
  <c r="J262" i="2"/>
  <c r="J263" i="2"/>
  <c r="K263" i="2" s="1"/>
  <c r="J264" i="2"/>
  <c r="K264" i="2" s="1"/>
  <c r="J265" i="2"/>
  <c r="K265" i="2" s="1"/>
  <c r="J266" i="2"/>
  <c r="J267" i="2"/>
  <c r="K267" i="2" s="1"/>
  <c r="J268" i="2"/>
  <c r="K268" i="2" s="1"/>
  <c r="J269" i="2"/>
  <c r="K269" i="2" s="1"/>
  <c r="J270" i="2"/>
  <c r="J271" i="2"/>
  <c r="K271" i="2" s="1"/>
  <c r="J272" i="2"/>
  <c r="K272" i="2" s="1"/>
  <c r="J273" i="2"/>
  <c r="K273" i="2" s="1"/>
  <c r="J274" i="2"/>
  <c r="J275" i="2"/>
  <c r="K275" i="2" s="1"/>
  <c r="J276" i="2"/>
  <c r="K276" i="2" s="1"/>
  <c r="J277" i="2"/>
  <c r="K277" i="2" s="1"/>
  <c r="J278" i="2"/>
  <c r="J279" i="2"/>
  <c r="K279" i="2" s="1"/>
  <c r="J280" i="2"/>
  <c r="K280" i="2" s="1"/>
  <c r="J281" i="2"/>
  <c r="K281" i="2" s="1"/>
  <c r="J282" i="2"/>
  <c r="J283" i="2"/>
  <c r="K283" i="2" s="1"/>
  <c r="J284" i="2"/>
  <c r="K284" i="2" s="1"/>
  <c r="J285" i="2"/>
  <c r="K285" i="2" s="1"/>
  <c r="J286" i="2"/>
  <c r="J287" i="2"/>
  <c r="K287" i="2" s="1"/>
  <c r="J288" i="2"/>
  <c r="K288" i="2" s="1"/>
  <c r="J289" i="2"/>
  <c r="K289" i="2" s="1"/>
  <c r="J290" i="2"/>
  <c r="J291" i="2"/>
  <c r="K291" i="2" s="1"/>
  <c r="J292" i="2"/>
  <c r="K292" i="2" s="1"/>
  <c r="J293" i="2"/>
  <c r="K293" i="2" s="1"/>
  <c r="J294" i="2"/>
  <c r="J295" i="2"/>
  <c r="K295" i="2" s="1"/>
  <c r="J296" i="2"/>
  <c r="K296" i="2" s="1"/>
  <c r="J297" i="2"/>
  <c r="K297" i="2" s="1"/>
  <c r="J298" i="2"/>
  <c r="J299" i="2"/>
  <c r="K299" i="2" s="1"/>
  <c r="J300" i="2"/>
  <c r="K300" i="2" s="1"/>
  <c r="J301" i="2"/>
  <c r="K301" i="2" s="1"/>
  <c r="J302" i="2"/>
  <c r="J303" i="2"/>
  <c r="K303" i="2" s="1"/>
  <c r="J304" i="2"/>
  <c r="K304" i="2" s="1"/>
  <c r="J305" i="2"/>
  <c r="K305" i="2" s="1"/>
  <c r="J306" i="2"/>
  <c r="J307" i="2"/>
  <c r="K307" i="2" s="1"/>
  <c r="J308" i="2"/>
  <c r="K308" i="2" s="1"/>
  <c r="J309" i="2"/>
  <c r="K309" i="2" s="1"/>
  <c r="J310" i="2"/>
  <c r="J311" i="2"/>
  <c r="K311" i="2" s="1"/>
  <c r="J312" i="2"/>
  <c r="K312" i="2" s="1"/>
  <c r="J313" i="2"/>
  <c r="K313" i="2" s="1"/>
  <c r="J314" i="2"/>
  <c r="J315" i="2"/>
  <c r="K315" i="2" s="1"/>
  <c r="J316" i="2"/>
  <c r="K316" i="2" s="1"/>
  <c r="J317" i="2"/>
  <c r="K317" i="2" s="1"/>
  <c r="J318" i="2"/>
  <c r="J319" i="2"/>
  <c r="K319" i="2" s="1"/>
  <c r="J320" i="2"/>
  <c r="K320" i="2" s="1"/>
  <c r="J321" i="2"/>
  <c r="K321" i="2" s="1"/>
  <c r="J322" i="2"/>
  <c r="J323" i="2"/>
  <c r="K323" i="2" s="1"/>
  <c r="J324" i="2"/>
  <c r="K324" i="2" s="1"/>
  <c r="J325" i="2"/>
  <c r="K325" i="2" s="1"/>
  <c r="J326" i="2"/>
  <c r="J327" i="2"/>
  <c r="K327" i="2" s="1"/>
  <c r="J328" i="2"/>
  <c r="K328" i="2" s="1"/>
  <c r="J329" i="2"/>
  <c r="K329" i="2" s="1"/>
  <c r="J330" i="2"/>
  <c r="J331" i="2"/>
  <c r="K331" i="2" s="1"/>
  <c r="J332" i="2"/>
  <c r="K332" i="2" s="1"/>
  <c r="J333" i="2"/>
  <c r="K333" i="2" s="1"/>
  <c r="J334" i="2"/>
  <c r="J335" i="2"/>
  <c r="K335" i="2" s="1"/>
  <c r="J336" i="2"/>
  <c r="K336" i="2" s="1"/>
  <c r="J337" i="2"/>
  <c r="K337" i="2" s="1"/>
  <c r="J338" i="2"/>
  <c r="J339" i="2"/>
  <c r="K339" i="2" s="1"/>
  <c r="J340" i="2"/>
  <c r="K340" i="2" s="1"/>
  <c r="J341" i="2"/>
  <c r="K341" i="2" s="1"/>
  <c r="J342" i="2"/>
  <c r="J343" i="2"/>
  <c r="K343" i="2" s="1"/>
  <c r="J344" i="2"/>
  <c r="K344" i="2" s="1"/>
  <c r="J345" i="2"/>
  <c r="K345" i="2" s="1"/>
  <c r="J346" i="2"/>
  <c r="J347" i="2"/>
  <c r="K347" i="2" s="1"/>
  <c r="J348" i="2"/>
  <c r="K348" i="2" s="1"/>
  <c r="J349" i="2"/>
  <c r="K349" i="2" s="1"/>
  <c r="J350" i="2"/>
  <c r="J351" i="2"/>
  <c r="K351" i="2" s="1"/>
  <c r="J352" i="2"/>
  <c r="K352" i="2" s="1"/>
  <c r="J353" i="2"/>
  <c r="K353" i="2" s="1"/>
  <c r="J354" i="2"/>
  <c r="J355" i="2"/>
  <c r="K355" i="2" s="1"/>
  <c r="J356" i="2"/>
  <c r="K356" i="2" s="1"/>
  <c r="J357" i="2"/>
  <c r="K357" i="2" s="1"/>
  <c r="J358" i="2"/>
  <c r="J359" i="2"/>
  <c r="K359" i="2" s="1"/>
  <c r="J360" i="2"/>
  <c r="K360" i="2" s="1"/>
  <c r="J361" i="2"/>
  <c r="K361" i="2" s="1"/>
  <c r="J362" i="2"/>
  <c r="J363" i="2"/>
  <c r="K363" i="2" s="1"/>
  <c r="J364" i="2"/>
  <c r="K364" i="2" s="1"/>
  <c r="J365" i="2"/>
  <c r="K365" i="2" s="1"/>
  <c r="J366" i="2"/>
  <c r="J367" i="2"/>
  <c r="K367" i="2" s="1"/>
  <c r="J368" i="2"/>
  <c r="K368" i="2" s="1"/>
  <c r="J369" i="2"/>
  <c r="K369" i="2" s="1"/>
  <c r="J370" i="2"/>
  <c r="J371" i="2"/>
  <c r="K371" i="2" s="1"/>
  <c r="J372" i="2"/>
  <c r="K372" i="2" s="1"/>
  <c r="J373" i="2"/>
  <c r="K373" i="2" s="1"/>
  <c r="J374" i="2"/>
  <c r="J375" i="2"/>
  <c r="K375" i="2" s="1"/>
  <c r="J376" i="2"/>
  <c r="K376" i="2" s="1"/>
  <c r="J377" i="2"/>
  <c r="K377" i="2" s="1"/>
  <c r="J378" i="2"/>
  <c r="J379" i="2"/>
  <c r="K379" i="2" s="1"/>
  <c r="J380" i="2"/>
  <c r="K380" i="2" s="1"/>
  <c r="J381" i="2"/>
  <c r="K381" i="2" s="1"/>
  <c r="J382" i="2"/>
  <c r="J383" i="2"/>
  <c r="K383" i="2" s="1"/>
  <c r="J384" i="2"/>
  <c r="K384" i="2" s="1"/>
  <c r="J385" i="2"/>
  <c r="K385" i="2" s="1"/>
  <c r="J386" i="2"/>
  <c r="J387" i="2"/>
  <c r="K387" i="2" s="1"/>
  <c r="J388" i="2"/>
  <c r="K388" i="2" s="1"/>
  <c r="J389" i="2"/>
  <c r="K389" i="2" s="1"/>
  <c r="J390" i="2"/>
  <c r="J391" i="2"/>
  <c r="K391" i="2" s="1"/>
  <c r="J392" i="2"/>
  <c r="K392" i="2" s="1"/>
  <c r="J393" i="2"/>
  <c r="K393" i="2" s="1"/>
  <c r="J394" i="2"/>
  <c r="J395" i="2"/>
  <c r="K395" i="2" s="1"/>
  <c r="J396" i="2"/>
  <c r="K396" i="2" s="1"/>
  <c r="J397" i="2"/>
  <c r="K397" i="2" s="1"/>
  <c r="J398" i="2"/>
  <c r="J399" i="2"/>
  <c r="K399" i="2" s="1"/>
  <c r="J400" i="2"/>
  <c r="K400" i="2" s="1"/>
  <c r="J401" i="2"/>
  <c r="K401" i="2" s="1"/>
  <c r="J402" i="2"/>
  <c r="J403" i="2"/>
  <c r="K403" i="2" s="1"/>
  <c r="J404" i="2"/>
  <c r="K404" i="2" s="1"/>
  <c r="J405" i="2"/>
  <c r="K405" i="2" s="1"/>
  <c r="J406" i="2"/>
  <c r="J407" i="2"/>
  <c r="K407" i="2" s="1"/>
  <c r="J408" i="2"/>
  <c r="K408" i="2" s="1"/>
  <c r="J409" i="2"/>
  <c r="K409" i="2" s="1"/>
  <c r="J410" i="2"/>
  <c r="J411" i="2"/>
  <c r="K411" i="2" s="1"/>
  <c r="J412" i="2"/>
  <c r="K412" i="2" s="1"/>
  <c r="J413" i="2"/>
  <c r="K413" i="2" s="1"/>
  <c r="J414" i="2"/>
  <c r="J415" i="2"/>
  <c r="K415" i="2" s="1"/>
  <c r="J416" i="2"/>
  <c r="K416" i="2" s="1"/>
  <c r="J417" i="2"/>
  <c r="K417" i="2" s="1"/>
  <c r="J418" i="2"/>
  <c r="J419" i="2"/>
  <c r="K419" i="2" s="1"/>
  <c r="J420" i="2"/>
  <c r="K420" i="2" s="1"/>
  <c r="J421" i="2"/>
  <c r="K421" i="2" s="1"/>
  <c r="J422" i="2"/>
  <c r="J423" i="2"/>
  <c r="K423" i="2" s="1"/>
  <c r="J424" i="2"/>
  <c r="K424" i="2" s="1"/>
  <c r="J425" i="2"/>
  <c r="K425" i="2" s="1"/>
  <c r="J426" i="2"/>
  <c r="J427" i="2"/>
  <c r="K427" i="2" s="1"/>
  <c r="J428" i="2"/>
  <c r="J429" i="2"/>
  <c r="K429" i="2" s="1"/>
  <c r="J430" i="2"/>
  <c r="J431" i="2"/>
  <c r="K431" i="2" s="1"/>
  <c r="J432" i="2"/>
  <c r="J433" i="2"/>
  <c r="K433" i="2" s="1"/>
  <c r="J434" i="2"/>
  <c r="J435" i="2"/>
  <c r="K435" i="2" s="1"/>
  <c r="J436" i="2"/>
  <c r="J437" i="2"/>
  <c r="K437" i="2" s="1"/>
  <c r="J438" i="2"/>
  <c r="J439" i="2"/>
  <c r="K439" i="2" s="1"/>
  <c r="J440" i="2"/>
  <c r="J441" i="2"/>
  <c r="K441" i="2" s="1"/>
  <c r="J442" i="2"/>
  <c r="J443" i="2"/>
  <c r="K443" i="2" s="1"/>
  <c r="J444" i="2"/>
  <c r="J445" i="2"/>
  <c r="K445" i="2" s="1"/>
  <c r="J446" i="2"/>
  <c r="J447" i="2"/>
  <c r="K447" i="2" s="1"/>
  <c r="J448" i="2"/>
  <c r="J449" i="2"/>
  <c r="K449" i="2" s="1"/>
  <c r="J450" i="2"/>
  <c r="J451" i="2"/>
  <c r="K451" i="2" s="1"/>
  <c r="J452" i="2"/>
  <c r="J453" i="2"/>
  <c r="K453" i="2" s="1"/>
  <c r="J454" i="2"/>
  <c r="J455" i="2"/>
  <c r="K455" i="2" s="1"/>
  <c r="J456" i="2"/>
  <c r="J457" i="2"/>
  <c r="K457" i="2" s="1"/>
  <c r="J458" i="2"/>
  <c r="J459" i="2"/>
  <c r="K459" i="2" s="1"/>
  <c r="J460" i="2"/>
  <c r="J461" i="2"/>
  <c r="K461" i="2" s="1"/>
  <c r="J462" i="2"/>
  <c r="J463" i="2"/>
  <c r="K463" i="2" s="1"/>
  <c r="J464" i="2"/>
  <c r="J465" i="2"/>
  <c r="K465" i="2" s="1"/>
  <c r="J466" i="2"/>
  <c r="J467" i="2"/>
  <c r="K467" i="2" s="1"/>
  <c r="J468" i="2"/>
  <c r="J469" i="2"/>
  <c r="K469" i="2" s="1"/>
  <c r="J470" i="2"/>
  <c r="J471" i="2"/>
  <c r="K471" i="2" s="1"/>
  <c r="J472" i="2"/>
  <c r="J473" i="2"/>
  <c r="K473" i="2" s="1"/>
  <c r="J474" i="2"/>
  <c r="J475" i="2"/>
  <c r="K475" i="2" s="1"/>
  <c r="J476" i="2"/>
  <c r="J477" i="2"/>
  <c r="K477" i="2" s="1"/>
  <c r="J478" i="2"/>
  <c r="J479" i="2"/>
  <c r="K479" i="2" s="1"/>
  <c r="J480" i="2"/>
  <c r="J481" i="2"/>
  <c r="K481" i="2" s="1"/>
  <c r="J482" i="2"/>
  <c r="J483" i="2"/>
  <c r="K483" i="2" s="1"/>
  <c r="J484" i="2"/>
  <c r="J485" i="2"/>
  <c r="K485" i="2" s="1"/>
  <c r="J486" i="2"/>
  <c r="J487" i="2"/>
  <c r="K487" i="2" s="1"/>
  <c r="J488" i="2"/>
  <c r="J489" i="2"/>
  <c r="K489" i="2" s="1"/>
  <c r="J490" i="2"/>
  <c r="J491" i="2"/>
  <c r="K491" i="2" s="1"/>
  <c r="J492" i="2"/>
  <c r="J493" i="2"/>
  <c r="K493" i="2" s="1"/>
  <c r="J494" i="2"/>
  <c r="J495" i="2"/>
  <c r="K495" i="2" s="1"/>
  <c r="J496" i="2"/>
  <c r="J497" i="2"/>
  <c r="K497" i="2" s="1"/>
  <c r="J498" i="2"/>
  <c r="J499" i="2"/>
  <c r="K499" i="2" s="1"/>
  <c r="J500" i="2"/>
  <c r="J501" i="2"/>
  <c r="K501" i="2" s="1"/>
  <c r="J502" i="2"/>
  <c r="J503" i="2"/>
  <c r="K503" i="2" s="1"/>
  <c r="J504" i="2"/>
  <c r="J505" i="2"/>
  <c r="K505" i="2" s="1"/>
  <c r="J506" i="2"/>
  <c r="J507" i="2"/>
  <c r="K507" i="2" s="1"/>
  <c r="J508" i="2"/>
  <c r="J509" i="2"/>
  <c r="K509" i="2" s="1"/>
  <c r="J510" i="2"/>
  <c r="J511" i="2"/>
  <c r="K511" i="2" s="1"/>
  <c r="J512" i="2"/>
  <c r="J513" i="2"/>
  <c r="K513" i="2" s="1"/>
  <c r="J514" i="2"/>
  <c r="J515" i="2"/>
  <c r="K515" i="2" s="1"/>
  <c r="J516" i="2"/>
  <c r="J517" i="2"/>
  <c r="K517" i="2" s="1"/>
  <c r="J518" i="2"/>
  <c r="J519" i="2"/>
  <c r="K519" i="2" s="1"/>
  <c r="J520" i="2"/>
  <c r="J521" i="2"/>
  <c r="K521" i="2" s="1"/>
  <c r="J522" i="2"/>
  <c r="J523" i="2"/>
  <c r="K523" i="2" s="1"/>
  <c r="J524" i="2"/>
  <c r="J525" i="2"/>
  <c r="K525" i="2" s="1"/>
  <c r="J526" i="2"/>
  <c r="J527" i="2"/>
  <c r="K527" i="2" s="1"/>
  <c r="J528" i="2"/>
  <c r="J529" i="2"/>
  <c r="K529" i="2" s="1"/>
  <c r="J530" i="2"/>
  <c r="J531" i="2"/>
  <c r="K531" i="2" s="1"/>
  <c r="J532" i="2"/>
  <c r="J533" i="2"/>
  <c r="K533" i="2" s="1"/>
  <c r="J534" i="2"/>
  <c r="J535" i="2"/>
  <c r="K535" i="2" s="1"/>
  <c r="J536" i="2"/>
  <c r="J537" i="2"/>
  <c r="K537" i="2" s="1"/>
  <c r="J538" i="2"/>
  <c r="J539" i="2"/>
  <c r="K539" i="2" s="1"/>
  <c r="J540" i="2"/>
  <c r="J541" i="2"/>
  <c r="K541" i="2" s="1"/>
  <c r="J542" i="2"/>
  <c r="J543" i="2"/>
  <c r="K543" i="2" s="1"/>
  <c r="J544" i="2"/>
  <c r="J545" i="2"/>
  <c r="K545" i="2" s="1"/>
  <c r="J546" i="2"/>
  <c r="J547" i="2"/>
  <c r="K547" i="2" s="1"/>
  <c r="J548" i="2"/>
  <c r="J549" i="2"/>
  <c r="K549" i="2" s="1"/>
  <c r="J550" i="2"/>
  <c r="J551" i="2"/>
  <c r="K551" i="2" s="1"/>
  <c r="J552" i="2"/>
  <c r="J553" i="2"/>
  <c r="K553" i="2" s="1"/>
  <c r="J554" i="2"/>
  <c r="J555" i="2"/>
  <c r="K555" i="2" s="1"/>
  <c r="J556" i="2"/>
  <c r="J557" i="2"/>
  <c r="K557" i="2" s="1"/>
  <c r="J558" i="2"/>
  <c r="J559" i="2"/>
  <c r="K559" i="2" s="1"/>
  <c r="J560" i="2"/>
  <c r="J561" i="2"/>
  <c r="K561" i="2" s="1"/>
  <c r="J562" i="2"/>
  <c r="J563" i="2"/>
  <c r="K563" i="2" s="1"/>
  <c r="J564" i="2"/>
  <c r="J565" i="2"/>
  <c r="K565" i="2" s="1"/>
  <c r="J566" i="2"/>
  <c r="J567" i="2"/>
  <c r="K567" i="2" s="1"/>
  <c r="J568" i="2"/>
  <c r="J569" i="2"/>
  <c r="K569" i="2" s="1"/>
  <c r="J570" i="2"/>
  <c r="J571" i="2"/>
  <c r="K571" i="2" s="1"/>
  <c r="J572" i="2"/>
  <c r="J573" i="2"/>
  <c r="K573" i="2" s="1"/>
  <c r="J574" i="2"/>
  <c r="J575" i="2"/>
  <c r="K575" i="2" s="1"/>
  <c r="J576" i="2"/>
  <c r="J577" i="2"/>
  <c r="K577" i="2" s="1"/>
  <c r="J578" i="2"/>
  <c r="J579" i="2"/>
  <c r="K579" i="2" s="1"/>
  <c r="J580" i="2"/>
  <c r="J581" i="2"/>
  <c r="K581" i="2" s="1"/>
  <c r="J582" i="2"/>
  <c r="J583" i="2"/>
  <c r="K583" i="2" s="1"/>
  <c r="J584" i="2"/>
  <c r="J585" i="2"/>
  <c r="K585" i="2" s="1"/>
  <c r="J586" i="2"/>
  <c r="J587" i="2"/>
  <c r="K587" i="2" s="1"/>
  <c r="J588" i="2"/>
  <c r="J589" i="2"/>
  <c r="K589" i="2" s="1"/>
  <c r="J590" i="2"/>
  <c r="J591" i="2"/>
  <c r="K591" i="2" s="1"/>
  <c r="J592" i="2"/>
  <c r="J593" i="2"/>
  <c r="K593" i="2" s="1"/>
  <c r="J594" i="2"/>
  <c r="J595" i="2"/>
  <c r="K595" i="2" s="1"/>
  <c r="J596" i="2"/>
  <c r="J597" i="2"/>
  <c r="K597" i="2" s="1"/>
  <c r="J598" i="2"/>
  <c r="J599" i="2"/>
  <c r="K599" i="2" s="1"/>
  <c r="J600" i="2"/>
  <c r="J601" i="2"/>
  <c r="K601" i="2" s="1"/>
  <c r="J602" i="2"/>
  <c r="J603" i="2"/>
  <c r="K603" i="2" s="1"/>
  <c r="J604" i="2"/>
  <c r="J605" i="2"/>
  <c r="K605" i="2" s="1"/>
  <c r="J606" i="2"/>
  <c r="J607" i="2"/>
  <c r="K607" i="2" s="1"/>
  <c r="J608" i="2"/>
  <c r="J609" i="2"/>
  <c r="K609" i="2" s="1"/>
  <c r="J610" i="2"/>
  <c r="J611" i="2"/>
  <c r="K611" i="2" s="1"/>
  <c r="J612" i="2"/>
  <c r="J613" i="2"/>
  <c r="K613" i="2" s="1"/>
  <c r="J614" i="2"/>
  <c r="J615" i="2"/>
  <c r="K615" i="2" s="1"/>
  <c r="J616" i="2"/>
  <c r="J617" i="2"/>
  <c r="K617" i="2" s="1"/>
  <c r="J618" i="2"/>
  <c r="J619" i="2"/>
  <c r="K619" i="2" s="1"/>
  <c r="J620" i="2"/>
  <c r="J621" i="2"/>
  <c r="K621" i="2" s="1"/>
  <c r="J622" i="2"/>
  <c r="J623" i="2"/>
  <c r="K623" i="2" s="1"/>
  <c r="J624" i="2"/>
  <c r="J625" i="2"/>
  <c r="K625" i="2" s="1"/>
  <c r="J626" i="2"/>
  <c r="J627" i="2"/>
  <c r="K627" i="2" s="1"/>
  <c r="J628" i="2"/>
  <c r="J629" i="2"/>
  <c r="K629" i="2" s="1"/>
  <c r="J630" i="2"/>
  <c r="J631" i="2"/>
  <c r="K631" i="2" s="1"/>
  <c r="J632" i="2"/>
  <c r="J633" i="2"/>
  <c r="K633" i="2" s="1"/>
  <c r="J634" i="2"/>
  <c r="J635" i="2"/>
  <c r="K635" i="2" s="1"/>
  <c r="J636" i="2"/>
  <c r="J637" i="2"/>
  <c r="K637" i="2" s="1"/>
  <c r="J638" i="2"/>
  <c r="J639" i="2"/>
  <c r="K639" i="2" s="1"/>
  <c r="J640" i="2"/>
  <c r="J641" i="2"/>
  <c r="K641" i="2" s="1"/>
  <c r="J642" i="2"/>
  <c r="J643" i="2"/>
  <c r="K643" i="2" s="1"/>
  <c r="J644" i="2"/>
  <c r="J645" i="2"/>
  <c r="K645" i="2" s="1"/>
  <c r="J646" i="2"/>
  <c r="J647" i="2"/>
  <c r="K647" i="2" s="1"/>
  <c r="J648" i="2"/>
  <c r="J649" i="2"/>
  <c r="K649" i="2" s="1"/>
  <c r="J650" i="2"/>
  <c r="J651" i="2"/>
  <c r="K651" i="2" s="1"/>
  <c r="J652" i="2"/>
  <c r="J653" i="2"/>
  <c r="K653" i="2" s="1"/>
  <c r="J654" i="2"/>
  <c r="J655" i="2"/>
  <c r="K655" i="2" s="1"/>
  <c r="J656" i="2"/>
  <c r="J657" i="2"/>
  <c r="K657" i="2" s="1"/>
  <c r="J658" i="2"/>
  <c r="J659" i="2"/>
  <c r="K659" i="2" s="1"/>
  <c r="J660" i="2"/>
  <c r="J661" i="2"/>
  <c r="K661" i="2" s="1"/>
  <c r="J662" i="2"/>
  <c r="J663" i="2"/>
  <c r="K663" i="2" s="1"/>
  <c r="J664" i="2"/>
  <c r="J665" i="2"/>
  <c r="K665" i="2" s="1"/>
  <c r="J666" i="2"/>
  <c r="J667" i="2"/>
  <c r="K667" i="2" s="1"/>
  <c r="J668" i="2"/>
  <c r="J669" i="2"/>
  <c r="K669" i="2" s="1"/>
  <c r="J670" i="2"/>
  <c r="J671" i="2"/>
  <c r="K671" i="2" s="1"/>
  <c r="J672" i="2"/>
  <c r="J673" i="2"/>
  <c r="K673" i="2" s="1"/>
  <c r="J674" i="2"/>
  <c r="J675" i="2"/>
  <c r="K675" i="2" s="1"/>
  <c r="J676" i="2"/>
  <c r="J677" i="2"/>
  <c r="K677" i="2" s="1"/>
  <c r="J678" i="2"/>
  <c r="J679" i="2"/>
  <c r="K679" i="2" s="1"/>
  <c r="J680" i="2"/>
  <c r="J681" i="2"/>
  <c r="K681" i="2" s="1"/>
  <c r="J682" i="2"/>
  <c r="J683" i="2"/>
  <c r="K683" i="2" s="1"/>
  <c r="J684" i="2"/>
  <c r="J685" i="2"/>
  <c r="K685" i="2" s="1"/>
  <c r="J686" i="2"/>
  <c r="J687" i="2"/>
  <c r="K687" i="2" s="1"/>
  <c r="J688" i="2"/>
  <c r="J689" i="2"/>
  <c r="K689" i="2" s="1"/>
  <c r="J690" i="2"/>
  <c r="J691" i="2"/>
  <c r="K691" i="2" s="1"/>
  <c r="J692" i="2"/>
  <c r="J693" i="2"/>
  <c r="K693" i="2" s="1"/>
  <c r="J694" i="2"/>
  <c r="J695" i="2"/>
  <c r="K695" i="2" s="1"/>
  <c r="J696" i="2"/>
  <c r="J697" i="2"/>
  <c r="K697" i="2" s="1"/>
  <c r="J698" i="2"/>
  <c r="J699" i="2"/>
  <c r="K699" i="2" s="1"/>
  <c r="J700" i="2"/>
  <c r="J701" i="2"/>
  <c r="K701" i="2" s="1"/>
  <c r="J702" i="2"/>
  <c r="J703" i="2"/>
  <c r="K703" i="2" s="1"/>
  <c r="J704" i="2"/>
  <c r="J705" i="2"/>
  <c r="K705" i="2" s="1"/>
  <c r="J706" i="2"/>
  <c r="J707" i="2"/>
  <c r="K707" i="2" s="1"/>
  <c r="J708" i="2"/>
  <c r="J709" i="2"/>
  <c r="K709" i="2" s="1"/>
  <c r="J710" i="2"/>
  <c r="J711" i="2"/>
  <c r="K711" i="2" s="1"/>
  <c r="J712" i="2"/>
  <c r="J713" i="2"/>
  <c r="K713" i="2" s="1"/>
  <c r="J714" i="2"/>
  <c r="J715" i="2"/>
  <c r="K715" i="2" s="1"/>
  <c r="J716" i="2"/>
  <c r="J717" i="2"/>
  <c r="K717" i="2" s="1"/>
  <c r="J718" i="2"/>
  <c r="J719" i="2"/>
  <c r="K719" i="2" s="1"/>
  <c r="J720" i="2"/>
  <c r="J721" i="2"/>
  <c r="K721" i="2" s="1"/>
  <c r="J722" i="2"/>
  <c r="J723" i="2"/>
  <c r="K723" i="2" s="1"/>
  <c r="J724" i="2"/>
  <c r="J725" i="2"/>
  <c r="K725" i="2" s="1"/>
  <c r="J726" i="2"/>
  <c r="J727" i="2"/>
  <c r="K727" i="2" s="1"/>
  <c r="J728" i="2"/>
  <c r="J729" i="2"/>
  <c r="K729" i="2" s="1"/>
  <c r="J730" i="2"/>
  <c r="J731" i="2"/>
  <c r="K731" i="2" s="1"/>
  <c r="J732" i="2"/>
  <c r="J733" i="2"/>
  <c r="K733" i="2" s="1"/>
  <c r="J734" i="2"/>
  <c r="J735" i="2"/>
  <c r="K735" i="2" s="1"/>
  <c r="J736" i="2"/>
  <c r="J737" i="2"/>
  <c r="K737" i="2" s="1"/>
  <c r="J738" i="2"/>
  <c r="J739" i="2"/>
  <c r="K739" i="2" s="1"/>
  <c r="J740" i="2"/>
  <c r="J741" i="2"/>
  <c r="K741" i="2" s="1"/>
  <c r="J742" i="2"/>
  <c r="J743" i="2"/>
  <c r="K743" i="2" s="1"/>
  <c r="J744" i="2"/>
  <c r="J745" i="2"/>
  <c r="K745" i="2" s="1"/>
  <c r="J746" i="2"/>
  <c r="J747" i="2"/>
  <c r="K747" i="2" s="1"/>
  <c r="J748" i="2"/>
  <c r="J749" i="2"/>
  <c r="K749" i="2" s="1"/>
  <c r="J750" i="2"/>
  <c r="J751" i="2"/>
  <c r="K751" i="2" s="1"/>
  <c r="J752" i="2"/>
  <c r="J753" i="2"/>
  <c r="K753" i="2" s="1"/>
  <c r="J754" i="2"/>
  <c r="J755" i="2"/>
  <c r="K755" i="2" s="1"/>
  <c r="J756" i="2"/>
  <c r="J757" i="2"/>
  <c r="K757" i="2" s="1"/>
  <c r="J758" i="2"/>
  <c r="J759" i="2"/>
  <c r="K759" i="2" s="1"/>
  <c r="J760" i="2"/>
  <c r="J761" i="2"/>
  <c r="K761" i="2" s="1"/>
  <c r="J762" i="2"/>
  <c r="J763" i="2"/>
  <c r="K763" i="2" s="1"/>
  <c r="J764" i="2"/>
  <c r="J765" i="2"/>
  <c r="K765" i="2" s="1"/>
  <c r="J766" i="2"/>
  <c r="J767" i="2"/>
  <c r="K767" i="2" s="1"/>
  <c r="J768" i="2"/>
  <c r="J769" i="2"/>
  <c r="K769" i="2" s="1"/>
  <c r="J2" i="2"/>
  <c r="K2" i="2" s="1"/>
  <c r="B3" i="16"/>
  <c r="F12" i="16"/>
  <c r="G8" i="16"/>
  <c r="D6" i="16"/>
  <c r="G41" i="10"/>
  <c r="G11" i="11" s="1"/>
  <c r="G5" i="9"/>
  <c r="G10" i="11" s="1"/>
  <c r="G8" i="8"/>
  <c r="G9" i="11" s="1"/>
  <c r="G51" i="7"/>
  <c r="G8" i="11" s="1"/>
  <c r="G8" i="6"/>
  <c r="G7" i="11" s="1"/>
  <c r="G10" i="5"/>
  <c r="G6" i="11" s="1"/>
  <c r="G66" i="4"/>
  <c r="G5" i="11" s="1"/>
  <c r="F7" i="3"/>
  <c r="G4" i="1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E5F6239-2650-4F1E-BBB0-85A45F35AD91}"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 id="2" xr16:uid="{61BB91FB-8321-41F4-B702-98F37B2CC274}" keepAlive="1" name="Query - Table2" description="Connection to the 'Table2' query in the workbook." type="5" refreshedVersion="8" background="1" saveData="1">
    <dbPr connection="Provider=Microsoft.Mashup.OleDb.1;Data Source=$Workbook$;Location=Table2;Extended Properties=&quot;&quot;" command="SELECT * FROM [Table2]"/>
  </connection>
</connections>
</file>

<file path=xl/sharedStrings.xml><?xml version="1.0" encoding="utf-8"?>
<sst xmlns="http://schemas.openxmlformats.org/spreadsheetml/2006/main" count="283" uniqueCount="107">
  <si>
    <t>Pregnancies</t>
  </si>
  <si>
    <t>Glucose</t>
  </si>
  <si>
    <t>BloodPressure</t>
  </si>
  <si>
    <t>SkinThickness</t>
  </si>
  <si>
    <t>Insulin</t>
  </si>
  <si>
    <t>BMI</t>
  </si>
  <si>
    <t>DiabetesPedigreeFunction</t>
  </si>
  <si>
    <t>Age</t>
  </si>
  <si>
    <t>Outcome</t>
  </si>
  <si>
    <t>Row Labels</t>
  </si>
  <si>
    <t>Grand Total</t>
  </si>
  <si>
    <t>Sum of Outcome</t>
  </si>
  <si>
    <t>Sum of Outcome2</t>
  </si>
  <si>
    <t>Highest</t>
  </si>
  <si>
    <t>Lowest</t>
  </si>
  <si>
    <t>Differences</t>
  </si>
  <si>
    <t>Variable</t>
  </si>
  <si>
    <t>preg</t>
  </si>
  <si>
    <t>glu</t>
  </si>
  <si>
    <t>bp</t>
  </si>
  <si>
    <t>st</t>
  </si>
  <si>
    <t>ins</t>
  </si>
  <si>
    <t>bmi</t>
  </si>
  <si>
    <t>dpf</t>
  </si>
  <si>
    <t>age</t>
  </si>
  <si>
    <t>Correlation</t>
  </si>
  <si>
    <t>44-53</t>
  </si>
  <si>
    <t>54-63</t>
  </si>
  <si>
    <t>64-73</t>
  </si>
  <si>
    <t>74-83</t>
  </si>
  <si>
    <t>84-93</t>
  </si>
  <si>
    <t>94-103</t>
  </si>
  <si>
    <t>104-113</t>
  </si>
  <si>
    <t>114-123</t>
  </si>
  <si>
    <t>124-133</t>
  </si>
  <si>
    <t>134-143</t>
  </si>
  <si>
    <t>144-153</t>
  </si>
  <si>
    <t>154-163</t>
  </si>
  <si>
    <t>164-173</t>
  </si>
  <si>
    <t>174-183</t>
  </si>
  <si>
    <t>184-193</t>
  </si>
  <si>
    <t>21-30</t>
  </si>
  <si>
    <t>31-40</t>
  </si>
  <si>
    <t>41-50</t>
  </si>
  <si>
    <t>51-60</t>
  </si>
  <si>
    <t>61-70</t>
  </si>
  <si>
    <t>71-81</t>
  </si>
  <si>
    <t>18-27</t>
  </si>
  <si>
    <t>28-37</t>
  </si>
  <si>
    <t>38-47</t>
  </si>
  <si>
    <t>48-57</t>
  </si>
  <si>
    <t>14-113</t>
  </si>
  <si>
    <t>114-213</t>
  </si>
  <si>
    <t>214-313</t>
  </si>
  <si>
    <t>314-413</t>
  </si>
  <si>
    <t>414-513</t>
  </si>
  <si>
    <t>614-713</t>
  </si>
  <si>
    <t>7-16</t>
  </si>
  <si>
    <t>17-26</t>
  </si>
  <si>
    <t>27-36</t>
  </si>
  <si>
    <t>37-46</t>
  </si>
  <si>
    <t>47-56</t>
  </si>
  <si>
    <t>24-33</t>
  </si>
  <si>
    <t>34-43</t>
  </si>
  <si>
    <t>BMI+Outcome</t>
  </si>
  <si>
    <t>(BMI+Outcome) + Glucose</t>
  </si>
  <si>
    <t>0.651-0.751</t>
  </si>
  <si>
    <t>Sum of BMI+Outcome</t>
  </si>
  <si>
    <t>Sum of (BMI+Outcome) + Glucose</t>
  </si>
  <si>
    <t>Glucose+Outcome</t>
  </si>
  <si>
    <t>Sum of Glucose+Outcome</t>
  </si>
  <si>
    <t>Sum of Glucose</t>
  </si>
  <si>
    <t>Sum of DiabetesPedigreeFunction</t>
  </si>
  <si>
    <t>Sum of DiabetesPedigreeFunction2</t>
  </si>
  <si>
    <t>Sum of Age</t>
  </si>
  <si>
    <t>Sum of Insulin</t>
  </si>
  <si>
    <t>Sum of SkinThickness</t>
  </si>
  <si>
    <t>Sum of BloodPressure</t>
  </si>
  <si>
    <t>Sum of BMI</t>
  </si>
  <si>
    <t>Description</t>
  </si>
  <si>
    <t>Value</t>
  </si>
  <si>
    <t>Pregrancy</t>
  </si>
  <si>
    <t>Glucose Spike</t>
  </si>
  <si>
    <t>Pressure in the Blood</t>
  </si>
  <si>
    <t>To estimate Body fat</t>
  </si>
  <si>
    <t>Glucose Tolerance Test</t>
  </si>
  <si>
    <t>07 to 99</t>
  </si>
  <si>
    <t>14 to 846</t>
  </si>
  <si>
    <t>24 to 122</t>
  </si>
  <si>
    <t>44 to 199</t>
  </si>
  <si>
    <t>Body Mass Index</t>
  </si>
  <si>
    <t>18 to 67</t>
  </si>
  <si>
    <t>Hereditary risk of Diabetes</t>
  </si>
  <si>
    <t>0.351 to 0.672</t>
  </si>
  <si>
    <t>Age of a Patients</t>
  </si>
  <si>
    <t>21 to 81</t>
  </si>
  <si>
    <t>Result of Diabetes</t>
  </si>
  <si>
    <t>0 or 1</t>
  </si>
  <si>
    <t>194-203</t>
  </si>
  <si>
    <t>0.351-0.451</t>
  </si>
  <si>
    <t>514-613</t>
  </si>
  <si>
    <t>714-813</t>
  </si>
  <si>
    <t>57-66</t>
  </si>
  <si>
    <t>58-67</t>
  </si>
  <si>
    <t>0.551-0.651</t>
  </si>
  <si>
    <t>814-913</t>
  </si>
  <si>
    <t>97-106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</si>
</sst>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rgb="FFFF0000"/>
        <bgColor indexed="64"/>
      </patternFill>
    </fill>
    <fill>
      <patternFill patternType="solid">
        <fgColor rgb="FF004D8B"/>
        <bgColor indexed="64"/>
      </patternFill>
    </fill>
    <fill>
      <patternFill patternType="solid">
        <fgColor rgb="FF005CA4"/>
        <bgColor indexed="64"/>
      </patternFill>
    </fill>
    <fill>
      <patternFill patternType="solid">
        <fgColor rgb="FF006ABE"/>
        <bgColor indexed="64"/>
      </patternFill>
    </fill>
    <fill>
      <patternFill patternType="solid">
        <fgColor rgb="FF0078D7"/>
        <bgColor indexed="64"/>
      </patternFill>
    </fill>
    <fill>
      <patternFill patternType="solid">
        <fgColor rgb="FF0086F1"/>
        <bgColor indexed="64"/>
      </patternFill>
    </fill>
    <fill>
      <patternFill patternType="solid">
        <fgColor rgb="FF0B93FF"/>
        <bgColor indexed="64"/>
      </patternFill>
    </fill>
    <fill>
      <patternFill patternType="solid">
        <fgColor rgb="FF259E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2">
    <xf numFmtId="0" fontId="0" fillId="0" borderId="0" xfId="0"/>
    <xf numFmtId="1" fontId="0" fillId="0" borderId="0" xfId="0" applyNumberFormat="1"/>
    <xf numFmtId="0" fontId="0" fillId="0" borderId="0" xfId="0" pivotButton="1"/>
    <xf numFmtId="0" fontId="0" fillId="0" borderId="0" xfId="0" applyAlignment="1">
      <alignment horizontal="left"/>
    </xf>
    <xf numFmtId="10" fontId="0" fillId="0" borderId="0" xfId="0" applyNumberFormat="1"/>
    <xf numFmtId="9" fontId="0" fillId="0" borderId="0" xfId="0" applyNumberFormat="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0" borderId="0" xfId="0" applyAlignment="1">
      <alignment wrapText="1"/>
    </xf>
    <xf numFmtId="0" fontId="17" fillId="41" borderId="0" xfId="0" applyFont="1" applyFill="1"/>
    <xf numFmtId="0" fontId="0" fillId="41" borderId="0" xfId="0" applyFill="1" applyAlignment="1">
      <alignment horizontal="left"/>
    </xf>
    <xf numFmtId="0" fontId="18" fillId="38" borderId="0" xfId="0" applyFont="1" applyFill="1"/>
    <xf numFmtId="0" fontId="0" fillId="38" borderId="0" xfId="0" applyFill="1" applyAlignment="1">
      <alignment horizontal="right"/>
    </xf>
    <xf numFmtId="17" fontId="0" fillId="38" borderId="0" xfId="0" applyNumberFormat="1" applyFill="1" applyAlignment="1">
      <alignment horizontal="righ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fill>
        <patternFill patternType="solid">
          <fgColor indexed="64"/>
          <bgColor rgb="FF0078D7"/>
        </patternFill>
      </fill>
      <alignment horizontal="right" vertical="bottom" textRotation="0" wrapText="0" indent="0" justifyLastLine="0" shrinkToFit="0" readingOrder="0"/>
    </dxf>
    <dxf>
      <fill>
        <patternFill patternType="solid">
          <fgColor indexed="64"/>
          <bgColor rgb="FF0078D7"/>
        </patternFill>
      </fill>
    </dxf>
    <dxf>
      <fill>
        <patternFill patternType="solid">
          <fgColor indexed="64"/>
          <bgColor rgb="FF0078D7"/>
        </patternFill>
      </fill>
    </dxf>
    <dxf>
      <fill>
        <patternFill patternType="solid">
          <fgColor indexed="64"/>
          <bgColor rgb="FF0078D7"/>
        </patternFill>
      </fill>
    </dxf>
    <dxf>
      <font>
        <b/>
        <i val="0"/>
        <strike val="0"/>
        <condense val="0"/>
        <extend val="0"/>
        <outline val="0"/>
        <shadow val="0"/>
        <u val="none"/>
        <vertAlign val="baseline"/>
        <sz val="12"/>
        <color theme="1"/>
        <name val="Calibri"/>
        <family val="2"/>
        <scheme val="minor"/>
      </font>
      <fill>
        <patternFill patternType="solid">
          <fgColor indexed="64"/>
          <bgColor rgb="FF0078D7"/>
        </patternFill>
      </fill>
    </dxf>
    <dxf>
      <numFmt numFmtId="13" formatCode="0%"/>
    </dxf>
    <dxf>
      <numFmt numFmtId="0" formatCode="General"/>
    </dxf>
    <dxf>
      <numFmt numFmtId="0" formatCode="General"/>
    </dxf>
    <dxf>
      <numFmt numFmtId="0" formatCode="General"/>
    </dxf>
  </dxfs>
  <tableStyles count="0" defaultTableStyle="TableStyleMedium2" defaultPivotStyle="PivotStyleLight16"/>
  <colors>
    <mruColors>
      <color rgb="FF259EFF"/>
      <color rgb="FF0078D7"/>
      <color rgb="FF0B93FF"/>
      <color rgb="FF0086F1"/>
      <color rgb="FF006ABE"/>
      <color rgb="FF00FFFF"/>
      <color rgb="FF004D8B"/>
      <color rgb="FF005C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7/relationships/slicerCache" Target="slicerCaches/slicerCache1.xml"/><Relationship Id="rId50" Type="http://schemas.openxmlformats.org/officeDocument/2006/relationships/connections" Target="connections.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07/relationships/slicerCache" Target="slicerCaches/slicerCache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2.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3.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4.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5.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6.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7.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38.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39.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0.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1.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2.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Ex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Ex2.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[diabetes.xlsm]glu!PivotTable2</c:name>
    <c:fmtId val="2"/>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Outcome</a:t>
            </a:r>
            <a:r>
              <a:rPr lang="en-US" b="1" baseline="0">
                <a:solidFill>
                  <a:schemeClr val="tx1"/>
                </a:solidFill>
              </a:rPr>
              <a:t> By Glucose</a:t>
            </a:r>
            <a:endParaRPr lang="en-US" b="1">
              <a:solidFill>
                <a:schemeClr val="tx1"/>
              </a:solidFill>
            </a:endParaRPr>
          </a:p>
        </c:rich>
      </c:tx>
      <c:layout>
        <c:manualLayout>
          <c:xMode val="edge"/>
          <c:yMode val="edge"/>
          <c:x val="0.31679155730533681"/>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50000"/>
            </a:schemeClr>
          </a:solidFill>
          <a:ln>
            <a:noFill/>
          </a:ln>
          <a:effectLst/>
        </c:spPr>
      </c:pivotFmt>
      <c:pivotFmt>
        <c:idx val="2"/>
        <c:spPr>
          <a:solidFill>
            <a:schemeClr val="accent6">
              <a:lumMod val="50000"/>
            </a:schemeClr>
          </a:solidFill>
          <a:ln>
            <a:noFill/>
          </a:ln>
          <a:effectLst/>
        </c:spPr>
      </c:pivotFmt>
      <c:pivotFmt>
        <c:idx val="3"/>
        <c:spPr>
          <a:solidFill>
            <a:srgbClr val="FF0000"/>
          </a:solidFill>
          <a:ln>
            <a:noFill/>
          </a:ln>
          <a:effectLst/>
        </c:spPr>
      </c:pivotFmt>
    </c:pivotFmts>
    <c:plotArea>
      <c:layout/>
      <c:barChart>
        <c:barDir val="col"/>
        <c:grouping val="stacked"/>
        <c:varyColors val="0"/>
        <c:ser>
          <c:idx val="0"/>
          <c:order val="0"/>
          <c:tx>
            <c:strRef>
              <c:f>glu!$B$3</c:f>
              <c:strCache>
                <c:ptCount val="1"/>
                <c:pt idx="0">
                  <c:v>Total</c:v>
                </c:pt>
              </c:strCache>
            </c:strRef>
          </c:tx>
          <c:spPr>
            <a:solidFill>
              <a:schemeClr val="accent6">
                <a:lumMod val="50000"/>
              </a:schemeClr>
            </a:solidFill>
            <a:ln>
              <a:noFill/>
            </a:ln>
            <a:effectLst/>
          </c:spPr>
          <c:invertIfNegative val="0"/>
          <c:dPt>
            <c:idx val="7"/>
            <c:invertIfNegative val="0"/>
            <c:bubble3D val="0"/>
            <c:extLst>
              <c:ext xmlns:c16="http://schemas.microsoft.com/office/drawing/2014/chart" uri="{C3380CC4-5D6E-409C-BE32-E72D297353CC}">
                <c16:uniqueId val="{00000001-EF5B-41AD-B5A2-6F48F5E667F9}"/>
              </c:ext>
            </c:extLst>
          </c:dPt>
          <c:dPt>
            <c:idx val="8"/>
            <c:invertIfNegative val="0"/>
            <c:bubble3D val="0"/>
            <c:extLst>
              <c:ext xmlns:c16="http://schemas.microsoft.com/office/drawing/2014/chart" uri="{C3380CC4-5D6E-409C-BE32-E72D297353CC}">
                <c16:uniqueId val="{00000002-F16C-4FB4-ABE6-A1A5B2B28262}"/>
              </c:ext>
            </c:extLst>
          </c:dPt>
          <c:dPt>
            <c:idx val="9"/>
            <c:invertIfNegative val="0"/>
            <c:bubble3D val="0"/>
            <c:extLst>
              <c:ext xmlns:c16="http://schemas.microsoft.com/office/drawing/2014/chart" uri="{C3380CC4-5D6E-409C-BE32-E72D297353CC}">
                <c16:uniqueId val="{00000003-1B65-446F-B891-A0395BECE588}"/>
              </c:ext>
            </c:extLst>
          </c:dPt>
          <c:dPt>
            <c:idx val="10"/>
            <c:invertIfNegative val="0"/>
            <c:bubble3D val="0"/>
            <c:spPr>
              <a:solidFill>
                <a:srgbClr val="FF0000"/>
              </a:solidFill>
              <a:ln>
                <a:noFill/>
              </a:ln>
              <a:effectLst/>
            </c:spPr>
          </c:dPt>
          <c:cat>
            <c:strRef>
              <c:f>glu!$A$4:$A$20</c:f>
              <c:strCache>
                <c:ptCount val="16"/>
                <c:pt idx="0">
                  <c:v>44-53</c:v>
                </c:pt>
                <c:pt idx="1">
                  <c:v>54-63</c:v>
                </c:pt>
                <c:pt idx="2">
                  <c:v>64-73</c:v>
                </c:pt>
                <c:pt idx="3">
                  <c:v>74-83</c:v>
                </c:pt>
                <c:pt idx="4">
                  <c:v>84-93</c:v>
                </c:pt>
                <c:pt idx="5">
                  <c:v>94-103</c:v>
                </c:pt>
                <c:pt idx="6">
                  <c:v>104-113</c:v>
                </c:pt>
                <c:pt idx="7">
                  <c:v>114-123</c:v>
                </c:pt>
                <c:pt idx="8">
                  <c:v>124-133</c:v>
                </c:pt>
                <c:pt idx="9">
                  <c:v>134-143</c:v>
                </c:pt>
                <c:pt idx="10">
                  <c:v>144-153</c:v>
                </c:pt>
                <c:pt idx="11">
                  <c:v>154-163</c:v>
                </c:pt>
                <c:pt idx="12">
                  <c:v>164-173</c:v>
                </c:pt>
                <c:pt idx="13">
                  <c:v>174-183</c:v>
                </c:pt>
                <c:pt idx="14">
                  <c:v>184-193</c:v>
                </c:pt>
                <c:pt idx="15">
                  <c:v>194-203</c:v>
                </c:pt>
              </c:strCache>
            </c:strRef>
          </c:cat>
          <c:val>
            <c:numRef>
              <c:f>glu!$B$4:$B$20</c:f>
              <c:numCache>
                <c:formatCode>General</c:formatCode>
                <c:ptCount val="16"/>
                <c:pt idx="0">
                  <c:v>0</c:v>
                </c:pt>
                <c:pt idx="1">
                  <c:v>0</c:v>
                </c:pt>
                <c:pt idx="2">
                  <c:v>0</c:v>
                </c:pt>
                <c:pt idx="3">
                  <c:v>2</c:v>
                </c:pt>
                <c:pt idx="4">
                  <c:v>7</c:v>
                </c:pt>
                <c:pt idx="5">
                  <c:v>15</c:v>
                </c:pt>
                <c:pt idx="6">
                  <c:v>27</c:v>
                </c:pt>
                <c:pt idx="7">
                  <c:v>29</c:v>
                </c:pt>
                <c:pt idx="8">
                  <c:v>36</c:v>
                </c:pt>
                <c:pt idx="9">
                  <c:v>26</c:v>
                </c:pt>
                <c:pt idx="10">
                  <c:v>27</c:v>
                </c:pt>
                <c:pt idx="11">
                  <c:v>26</c:v>
                </c:pt>
                <c:pt idx="12">
                  <c:v>24</c:v>
                </c:pt>
                <c:pt idx="13">
                  <c:v>22</c:v>
                </c:pt>
                <c:pt idx="14">
                  <c:v>15</c:v>
                </c:pt>
                <c:pt idx="15">
                  <c:v>12</c:v>
                </c:pt>
              </c:numCache>
            </c:numRef>
          </c:val>
          <c:extLst>
            <c:ext xmlns:c16="http://schemas.microsoft.com/office/drawing/2014/chart" uri="{C3380CC4-5D6E-409C-BE32-E72D297353CC}">
              <c16:uniqueId val="{00000000-F16C-4FB4-ABE6-A1A5B2B28262}"/>
            </c:ext>
          </c:extLst>
        </c:ser>
        <c:dLbls>
          <c:showLegendKey val="0"/>
          <c:showVal val="0"/>
          <c:showCatName val="0"/>
          <c:showSerName val="0"/>
          <c:showPercent val="0"/>
          <c:showBubbleSize val="0"/>
        </c:dLbls>
        <c:gapWidth val="150"/>
        <c:overlap val="100"/>
        <c:axId val="818812991"/>
        <c:axId val="818813471"/>
      </c:barChart>
      <c:catAx>
        <c:axId val="818812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818813471"/>
        <c:crosses val="autoZero"/>
        <c:auto val="1"/>
        <c:lblAlgn val="ctr"/>
        <c:lblOffset val="100"/>
        <c:noMultiLvlLbl val="0"/>
      </c:catAx>
      <c:valAx>
        <c:axId val="8188134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8188129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[diabetes.xlsm]bp!PivotTable3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Outcome</a:t>
            </a:r>
            <a:r>
              <a:rPr lang="en-US" b="1" baseline="0">
                <a:solidFill>
                  <a:schemeClr val="tx1"/>
                </a:solidFill>
              </a:rPr>
              <a:t> By Blood Pressure</a:t>
            </a:r>
            <a:endParaRPr lang="en-US" b="1">
              <a:solidFill>
                <a:schemeClr val="tx1"/>
              </a:solidFill>
            </a:endParaRPr>
          </a:p>
        </c:rich>
      </c:tx>
      <c:layout>
        <c:manualLayout>
          <c:xMode val="edge"/>
          <c:yMode val="edge"/>
          <c:x val="0.24777077865266842"/>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50000"/>
            </a:schemeClr>
          </a:solidFill>
          <a:ln>
            <a:noFill/>
          </a:ln>
          <a:effectLst/>
        </c:spPr>
        <c:dLbl>
          <c:idx val="0"/>
          <c:layout>
            <c:manualLayout>
              <c:x val="0"/>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50000"/>
            </a:schemeClr>
          </a:solidFill>
          <a:ln>
            <a:noFill/>
          </a:ln>
          <a:effectLst/>
        </c:spPr>
        <c:dLbl>
          <c:idx val="0"/>
          <c:layout>
            <c:manualLayout>
              <c:x val="-5.5555555555555558E-3"/>
              <c:y val="-9.259259259259250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bp!$B$3</c:f>
              <c:strCache>
                <c:ptCount val="1"/>
                <c:pt idx="0">
                  <c:v>Total</c:v>
                </c:pt>
              </c:strCache>
            </c:strRef>
          </c:tx>
          <c:spPr>
            <a:solidFill>
              <a:schemeClr val="accent6">
                <a:lumMod val="50000"/>
              </a:schemeClr>
            </a:solidFill>
            <a:ln>
              <a:noFill/>
            </a:ln>
            <a:effectLst/>
          </c:spPr>
          <c:invertIfNegative val="0"/>
          <c:dPt>
            <c:idx val="0"/>
            <c:invertIfNegative val="0"/>
            <c:bubble3D val="0"/>
            <c:extLst>
              <c:ext xmlns:c16="http://schemas.microsoft.com/office/drawing/2014/chart" uri="{C3380CC4-5D6E-409C-BE32-E72D297353CC}">
                <c16:uniqueId val="{00000003-EF3A-4236-855E-CC141D9AFD38}"/>
              </c:ext>
            </c:extLst>
          </c:dPt>
          <c:dPt>
            <c:idx val="1"/>
            <c:invertIfNegative val="0"/>
            <c:bubble3D val="0"/>
            <c:extLst>
              <c:ext xmlns:c16="http://schemas.microsoft.com/office/drawing/2014/chart" uri="{C3380CC4-5D6E-409C-BE32-E72D297353CC}">
                <c16:uniqueId val="{00000002-EF3A-4236-855E-CC141D9AFD38}"/>
              </c:ext>
            </c:extLst>
          </c:dPt>
          <c:dLbls>
            <c:dLbl>
              <c:idx val="0"/>
              <c:layout>
                <c:manualLayout>
                  <c:x val="-5.5555555555555558E-3"/>
                  <c:y val="-9.259259259259250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F3A-4236-855E-CC141D9AFD38}"/>
                </c:ext>
              </c:extLst>
            </c:dLbl>
            <c:dLbl>
              <c:idx val="1"/>
              <c:layout>
                <c:manualLayout>
                  <c:x val="0"/>
                  <c:y val="-6.4814814814814811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F3A-4236-855E-CC141D9AFD3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bp!$A$4:$A$14</c:f>
              <c:strCache>
                <c:ptCount val="10"/>
                <c:pt idx="0">
                  <c:v>24-33</c:v>
                </c:pt>
                <c:pt idx="1">
                  <c:v>34-43</c:v>
                </c:pt>
                <c:pt idx="2">
                  <c:v>44-53</c:v>
                </c:pt>
                <c:pt idx="3">
                  <c:v>54-63</c:v>
                </c:pt>
                <c:pt idx="4">
                  <c:v>64-73</c:v>
                </c:pt>
                <c:pt idx="5">
                  <c:v>74-83</c:v>
                </c:pt>
                <c:pt idx="6">
                  <c:v>84-93</c:v>
                </c:pt>
                <c:pt idx="7">
                  <c:v>94-103</c:v>
                </c:pt>
                <c:pt idx="8">
                  <c:v>104-113</c:v>
                </c:pt>
                <c:pt idx="9">
                  <c:v>114-123</c:v>
                </c:pt>
              </c:strCache>
            </c:strRef>
          </c:cat>
          <c:val>
            <c:numRef>
              <c:f>bp!$B$4:$B$14</c:f>
              <c:numCache>
                <c:formatCode>General</c:formatCode>
                <c:ptCount val="10"/>
                <c:pt idx="0">
                  <c:v>1</c:v>
                </c:pt>
                <c:pt idx="1">
                  <c:v>1</c:v>
                </c:pt>
                <c:pt idx="2">
                  <c:v>9</c:v>
                </c:pt>
                <c:pt idx="3">
                  <c:v>22</c:v>
                </c:pt>
                <c:pt idx="4">
                  <c:v>92</c:v>
                </c:pt>
                <c:pt idx="5">
                  <c:v>79</c:v>
                </c:pt>
                <c:pt idx="6">
                  <c:v>49</c:v>
                </c:pt>
                <c:pt idx="7">
                  <c:v>8</c:v>
                </c:pt>
                <c:pt idx="8">
                  <c:v>6</c:v>
                </c:pt>
                <c:pt idx="9">
                  <c:v>1</c:v>
                </c:pt>
              </c:numCache>
            </c:numRef>
          </c:val>
          <c:extLst>
            <c:ext xmlns:c16="http://schemas.microsoft.com/office/drawing/2014/chart" uri="{C3380CC4-5D6E-409C-BE32-E72D297353CC}">
              <c16:uniqueId val="{00000000-EF3A-4236-855E-CC141D9AFD38}"/>
            </c:ext>
          </c:extLst>
        </c:ser>
        <c:dLbls>
          <c:dLblPos val="ctr"/>
          <c:showLegendKey val="0"/>
          <c:showVal val="1"/>
          <c:showCatName val="0"/>
          <c:showSerName val="0"/>
          <c:showPercent val="0"/>
          <c:showBubbleSize val="0"/>
        </c:dLbls>
        <c:gapWidth val="150"/>
        <c:overlap val="100"/>
        <c:axId val="1989810191"/>
        <c:axId val="1989811151"/>
      </c:barChart>
      <c:catAx>
        <c:axId val="1989810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89811151"/>
        <c:crosses val="autoZero"/>
        <c:auto val="1"/>
        <c:lblAlgn val="ctr"/>
        <c:lblOffset val="100"/>
        <c:noMultiLvlLbl val="0"/>
      </c:catAx>
      <c:valAx>
        <c:axId val="1989811151"/>
        <c:scaling>
          <c:orientation val="minMax"/>
        </c:scaling>
        <c:delete val="1"/>
        <c:axPos val="l"/>
        <c:numFmt formatCode="General" sourceLinked="1"/>
        <c:majorTickMark val="none"/>
        <c:minorTickMark val="none"/>
        <c:tickLblPos val="nextTo"/>
        <c:crossAx val="1989810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[diabetes.xlsm]st!PivotTable4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Outcome</a:t>
            </a:r>
            <a:r>
              <a:rPr lang="en-US" b="1" baseline="0">
                <a:solidFill>
                  <a:schemeClr val="tx1"/>
                </a:solidFill>
              </a:rPr>
              <a:t> By Skin Thickness</a:t>
            </a:r>
            <a:endParaRPr lang="en-US" b="1">
              <a:solidFill>
                <a:schemeClr val="tx1"/>
              </a:solidFill>
            </a:endParaRPr>
          </a:p>
        </c:rich>
      </c:tx>
      <c:layout>
        <c:manualLayout>
          <c:xMode val="edge"/>
          <c:yMode val="edge"/>
          <c:x val="0.27762489063867019"/>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st!$B$3</c:f>
              <c:strCache>
                <c:ptCount val="1"/>
                <c:pt idx="0">
                  <c:v>Total</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st!$A$4:$A$11</c:f>
              <c:strCache>
                <c:ptCount val="7"/>
                <c:pt idx="0">
                  <c:v>57-66</c:v>
                </c:pt>
                <c:pt idx="1">
                  <c:v>97-106</c:v>
                </c:pt>
                <c:pt idx="2">
                  <c:v>7-16</c:v>
                </c:pt>
                <c:pt idx="3">
                  <c:v>47-56</c:v>
                </c:pt>
                <c:pt idx="4">
                  <c:v>37-46</c:v>
                </c:pt>
                <c:pt idx="5">
                  <c:v>27-36</c:v>
                </c:pt>
                <c:pt idx="6">
                  <c:v>17-26</c:v>
                </c:pt>
              </c:strCache>
            </c:strRef>
          </c:cat>
          <c:val>
            <c:numRef>
              <c:f>st!$B$4:$B$11</c:f>
              <c:numCache>
                <c:formatCode>General</c:formatCode>
                <c:ptCount val="7"/>
                <c:pt idx="0">
                  <c:v>1</c:v>
                </c:pt>
                <c:pt idx="1">
                  <c:v>1</c:v>
                </c:pt>
                <c:pt idx="2">
                  <c:v>6</c:v>
                </c:pt>
                <c:pt idx="3">
                  <c:v>9</c:v>
                </c:pt>
                <c:pt idx="4">
                  <c:v>49</c:v>
                </c:pt>
                <c:pt idx="5">
                  <c:v>76</c:v>
                </c:pt>
                <c:pt idx="6">
                  <c:v>126</c:v>
                </c:pt>
              </c:numCache>
            </c:numRef>
          </c:val>
          <c:extLst>
            <c:ext xmlns:c16="http://schemas.microsoft.com/office/drawing/2014/chart" uri="{C3380CC4-5D6E-409C-BE32-E72D297353CC}">
              <c16:uniqueId val="{00000000-8649-4AB3-87F3-2A05671D9D56}"/>
            </c:ext>
          </c:extLst>
        </c:ser>
        <c:dLbls>
          <c:showLegendKey val="0"/>
          <c:showVal val="0"/>
          <c:showCatName val="0"/>
          <c:showSerName val="0"/>
          <c:showPercent val="0"/>
          <c:showBubbleSize val="0"/>
        </c:dLbls>
        <c:gapWidth val="150"/>
        <c:overlap val="100"/>
        <c:axId val="1989780431"/>
        <c:axId val="1989803471"/>
      </c:barChart>
      <c:catAx>
        <c:axId val="19897804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89803471"/>
        <c:crosses val="autoZero"/>
        <c:auto val="1"/>
        <c:lblAlgn val="ctr"/>
        <c:lblOffset val="100"/>
        <c:noMultiLvlLbl val="0"/>
      </c:catAx>
      <c:valAx>
        <c:axId val="1989803471"/>
        <c:scaling>
          <c:orientation val="minMax"/>
        </c:scaling>
        <c:delete val="1"/>
        <c:axPos val="b"/>
        <c:numFmt formatCode="General" sourceLinked="1"/>
        <c:majorTickMark val="none"/>
        <c:minorTickMark val="none"/>
        <c:tickLblPos val="nextTo"/>
        <c:crossAx val="19897804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[diabetes.xlsm]ins!PivotTable5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Outcome</a:t>
            </a:r>
            <a:r>
              <a:rPr lang="en-US" b="1" baseline="0">
                <a:solidFill>
                  <a:schemeClr val="tx1"/>
                </a:solidFill>
              </a:rPr>
              <a:t> By Insulin</a:t>
            </a:r>
            <a:endParaRPr lang="en-US" b="1">
              <a:solidFill>
                <a:schemeClr val="tx1"/>
              </a:solidFill>
            </a:endParaRPr>
          </a:p>
        </c:rich>
      </c:tx>
      <c:layout>
        <c:manualLayout>
          <c:xMode val="edge"/>
          <c:yMode val="edge"/>
          <c:x val="0.33871522309711288"/>
          <c:y val="4.629629629629629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ins!$B$3</c:f>
              <c:strCache>
                <c:ptCount val="1"/>
                <c:pt idx="0">
                  <c:v>Total</c:v>
                </c:pt>
              </c:strCache>
            </c:strRef>
          </c:tx>
          <c:spPr>
            <a:solidFill>
              <a:srgbClr val="006ABE"/>
            </a:solidFill>
            <a:ln>
              <a:noFill/>
            </a:ln>
            <a:effectLst/>
            <a:sp3d/>
          </c:spPr>
          <c:invertIfNegative val="0"/>
          <c:cat>
            <c:strRef>
              <c:f>ins!$A$4:$A$13</c:f>
              <c:strCache>
                <c:ptCount val="9"/>
                <c:pt idx="0">
                  <c:v>14-113</c:v>
                </c:pt>
                <c:pt idx="1">
                  <c:v>114-213</c:v>
                </c:pt>
                <c:pt idx="2">
                  <c:v>214-313</c:v>
                </c:pt>
                <c:pt idx="3">
                  <c:v>314-413</c:v>
                </c:pt>
                <c:pt idx="4">
                  <c:v>414-513</c:v>
                </c:pt>
                <c:pt idx="5">
                  <c:v>514-613</c:v>
                </c:pt>
                <c:pt idx="6">
                  <c:v>614-713</c:v>
                </c:pt>
                <c:pt idx="7">
                  <c:v>714-813</c:v>
                </c:pt>
                <c:pt idx="8">
                  <c:v>814-913</c:v>
                </c:pt>
              </c:strCache>
            </c:strRef>
          </c:cat>
          <c:val>
            <c:numRef>
              <c:f>ins!$B$4:$B$13</c:f>
              <c:numCache>
                <c:formatCode>General</c:formatCode>
                <c:ptCount val="9"/>
                <c:pt idx="0">
                  <c:v>160</c:v>
                </c:pt>
                <c:pt idx="1">
                  <c:v>67</c:v>
                </c:pt>
                <c:pt idx="2">
                  <c:v>21</c:v>
                </c:pt>
                <c:pt idx="3">
                  <c:v>8</c:v>
                </c:pt>
                <c:pt idx="4">
                  <c:v>7</c:v>
                </c:pt>
                <c:pt idx="5">
                  <c:v>4</c:v>
                </c:pt>
                <c:pt idx="6">
                  <c:v>0</c:v>
                </c:pt>
                <c:pt idx="7">
                  <c:v>0</c:v>
                </c:pt>
                <c:pt idx="8">
                  <c:v>1</c:v>
                </c:pt>
              </c:numCache>
            </c:numRef>
          </c:val>
          <c:extLst>
            <c:ext xmlns:c16="http://schemas.microsoft.com/office/drawing/2014/chart" uri="{C3380CC4-5D6E-409C-BE32-E72D297353CC}">
              <c16:uniqueId val="{00000000-3B06-417F-9D1D-692372931770}"/>
            </c:ext>
          </c:extLst>
        </c:ser>
        <c:dLbls>
          <c:showLegendKey val="0"/>
          <c:showVal val="0"/>
          <c:showCatName val="0"/>
          <c:showSerName val="0"/>
          <c:showPercent val="0"/>
          <c:showBubbleSize val="0"/>
        </c:dLbls>
        <c:gapWidth val="150"/>
        <c:shape val="cone"/>
        <c:axId val="818812031"/>
        <c:axId val="818811551"/>
        <c:axId val="0"/>
      </c:bar3DChart>
      <c:catAx>
        <c:axId val="8188120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818811551"/>
        <c:crosses val="autoZero"/>
        <c:auto val="1"/>
        <c:lblAlgn val="ctr"/>
        <c:lblOffset val="100"/>
        <c:noMultiLvlLbl val="0"/>
      </c:catAx>
      <c:valAx>
        <c:axId val="8188115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8188120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[diabetes.xlsm]bmi!PivotTable6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Outcome</a:t>
            </a:r>
            <a:r>
              <a:rPr lang="en-US" b="1" baseline="0">
                <a:solidFill>
                  <a:schemeClr val="tx1"/>
                </a:solidFill>
              </a:rPr>
              <a:t> By Glucose</a:t>
            </a:r>
            <a:endParaRPr lang="en-US" b="1">
              <a:solidFill>
                <a:schemeClr val="tx1"/>
              </a:solidFill>
            </a:endParaRPr>
          </a:p>
        </c:rich>
      </c:tx>
      <c:layout>
        <c:manualLayout>
          <c:xMode val="edge"/>
          <c:yMode val="edge"/>
          <c:x val="0.33102777777777775"/>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bmi!$B$3</c:f>
              <c:strCache>
                <c:ptCount val="1"/>
                <c:pt idx="0">
                  <c:v>Total</c:v>
                </c:pt>
              </c:strCache>
            </c:strRef>
          </c:tx>
          <c:spPr>
            <a:noFill/>
            <a:ln>
              <a:noFill/>
            </a:ln>
            <a:effectLst/>
          </c:spPr>
          <c:invertIfNegative val="0"/>
          <c:errBars>
            <c:errBarType val="minus"/>
            <c:errValType val="percentage"/>
            <c:noEndCap val="1"/>
            <c:val val="100"/>
            <c:spPr>
              <a:noFill/>
              <a:ln w="63500" cap="flat" cmpd="sng" algn="ctr">
                <a:solidFill>
                  <a:srgbClr val="006ABE"/>
                </a:solidFill>
                <a:round/>
                <a:headEnd type="oval"/>
              </a:ln>
              <a:effectLst/>
            </c:spPr>
          </c:errBars>
          <c:cat>
            <c:strRef>
              <c:f>bmi!$A$4:$A$9</c:f>
              <c:strCache>
                <c:ptCount val="5"/>
                <c:pt idx="0">
                  <c:v>18-27</c:v>
                </c:pt>
                <c:pt idx="1">
                  <c:v>28-37</c:v>
                </c:pt>
                <c:pt idx="2">
                  <c:v>38-47</c:v>
                </c:pt>
                <c:pt idx="3">
                  <c:v>48-57</c:v>
                </c:pt>
                <c:pt idx="4">
                  <c:v>58-67</c:v>
                </c:pt>
              </c:strCache>
            </c:strRef>
          </c:cat>
          <c:val>
            <c:numRef>
              <c:f>bmi!$B$4:$B$9</c:f>
              <c:numCache>
                <c:formatCode>General</c:formatCode>
                <c:ptCount val="5"/>
                <c:pt idx="0">
                  <c:v>20</c:v>
                </c:pt>
                <c:pt idx="1">
                  <c:v>163</c:v>
                </c:pt>
                <c:pt idx="2">
                  <c:v>72</c:v>
                </c:pt>
                <c:pt idx="3">
                  <c:v>11</c:v>
                </c:pt>
                <c:pt idx="4">
                  <c:v>2</c:v>
                </c:pt>
              </c:numCache>
            </c:numRef>
          </c:val>
          <c:extLst>
            <c:ext xmlns:c16="http://schemas.microsoft.com/office/drawing/2014/chart" uri="{C3380CC4-5D6E-409C-BE32-E72D297353CC}">
              <c16:uniqueId val="{00000000-9FDD-48DB-B40A-74D9C5E9A1BE}"/>
            </c:ext>
          </c:extLst>
        </c:ser>
        <c:dLbls>
          <c:showLegendKey val="0"/>
          <c:showVal val="0"/>
          <c:showCatName val="0"/>
          <c:showSerName val="0"/>
          <c:showPercent val="0"/>
          <c:showBubbleSize val="0"/>
        </c:dLbls>
        <c:gapWidth val="150"/>
        <c:overlap val="100"/>
        <c:axId val="1888590959"/>
        <c:axId val="1888593359"/>
      </c:barChart>
      <c:catAx>
        <c:axId val="1888590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888593359"/>
        <c:crosses val="autoZero"/>
        <c:auto val="1"/>
        <c:lblAlgn val="ctr"/>
        <c:lblOffset val="100"/>
        <c:noMultiLvlLbl val="0"/>
      </c:catAx>
      <c:valAx>
        <c:axId val="1888593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8885909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[diabetes.xlsm]age!PivotTable8</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Outcome</a:t>
            </a:r>
            <a:r>
              <a:rPr lang="en-US" b="1" baseline="0">
                <a:solidFill>
                  <a:schemeClr val="bg1"/>
                </a:solidFill>
              </a:rPr>
              <a:t> By Age Distribution</a:t>
            </a:r>
            <a:endParaRPr lang="en-US" b="1">
              <a:solidFill>
                <a:schemeClr val="bg1"/>
              </a:solidFill>
            </a:endParaRPr>
          </a:p>
        </c:rich>
      </c:tx>
      <c:layout>
        <c:manualLayout>
          <c:xMode val="edge"/>
          <c:yMode val="edge"/>
          <c:x val="0.25361111111111112"/>
          <c:y val="8.993818343282007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dLbl>
          <c:idx val="0"/>
          <c:layout>
            <c:manualLayout>
              <c:x val="-3.5759623797025318E-2"/>
              <c:y val="-8.957701434974339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age!$B$3</c:f>
              <c:strCache>
                <c:ptCount val="1"/>
                <c:pt idx="0">
                  <c:v>Total</c:v>
                </c:pt>
              </c:strCache>
            </c:strRef>
          </c:tx>
          <c:explosion val="7"/>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BE9-484D-A8EA-5D1EA8BDBDD5}"/>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BE9-484D-A8EA-5D1EA8BDBDD5}"/>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BE9-484D-A8EA-5D1EA8BDBDD5}"/>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BE9-484D-A8EA-5D1EA8BDBDD5}"/>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2-0FF1-4ABB-BC6C-96D50241F0DD}"/>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BE9-484D-A8EA-5D1EA8BDBDD5}"/>
              </c:ext>
            </c:extLst>
          </c:dPt>
          <c:dLbls>
            <c:dLbl>
              <c:idx val="4"/>
              <c:layout>
                <c:manualLayout>
                  <c:x val="-3.5759623797025318E-2"/>
                  <c:y val="-8.9577014349743397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FF1-4ABB-BC6C-96D50241F0D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extLst>
          </c:dLbls>
          <c:cat>
            <c:strRef>
              <c:f>age!$A$4:$A$10</c:f>
              <c:strCache>
                <c:ptCount val="6"/>
                <c:pt idx="0">
                  <c:v>21-30</c:v>
                </c:pt>
                <c:pt idx="1">
                  <c:v>31-40</c:v>
                </c:pt>
                <c:pt idx="2">
                  <c:v>41-50</c:v>
                </c:pt>
                <c:pt idx="3">
                  <c:v>51-60</c:v>
                </c:pt>
                <c:pt idx="4">
                  <c:v>61-70</c:v>
                </c:pt>
                <c:pt idx="5">
                  <c:v>71-81</c:v>
                </c:pt>
              </c:strCache>
            </c:strRef>
          </c:cat>
          <c:val>
            <c:numRef>
              <c:f>age!$B$4:$B$10</c:f>
              <c:numCache>
                <c:formatCode>General</c:formatCode>
                <c:ptCount val="6"/>
                <c:pt idx="0">
                  <c:v>90</c:v>
                </c:pt>
                <c:pt idx="1">
                  <c:v>76</c:v>
                </c:pt>
                <c:pt idx="2">
                  <c:v>64</c:v>
                </c:pt>
                <c:pt idx="3">
                  <c:v>31</c:v>
                </c:pt>
                <c:pt idx="4">
                  <c:v>7</c:v>
                </c:pt>
                <c:pt idx="5">
                  <c:v>0</c:v>
                </c:pt>
              </c:numCache>
            </c:numRef>
          </c:val>
          <c:extLst>
            <c:ext xmlns:c16="http://schemas.microsoft.com/office/drawing/2014/chart" uri="{C3380CC4-5D6E-409C-BE32-E72D297353CC}">
              <c16:uniqueId val="{00000000-0FF1-4ABB-BC6C-96D50241F0DD}"/>
            </c:ext>
          </c:extLst>
        </c:ser>
        <c:dLbls>
          <c:dLblPos val="bestFit"/>
          <c:showLegendKey val="0"/>
          <c:showVal val="1"/>
          <c:showCatName val="0"/>
          <c:showSerName val="0"/>
          <c:showPercent val="0"/>
          <c:showBubbleSize val="0"/>
          <c:showLeaderLines val="0"/>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[diabetes.xlsm]Ach1!PivotTable2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Outcome</a:t>
            </a:r>
            <a:r>
              <a:rPr lang="en-IN" b="1" baseline="0"/>
              <a:t>=1 vs Outcome+BMI=1 </a:t>
            </a:r>
            <a:endParaRPr lang="en-IN" b="1"/>
          </a:p>
        </c:rich>
      </c:tx>
      <c:layout>
        <c:manualLayout>
          <c:xMode val="edge"/>
          <c:yMode val="edge"/>
          <c:x val="0.23157633420822396"/>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'Ach1'!$A$3</c:f>
              <c:strCache>
                <c:ptCount val="1"/>
                <c:pt idx="0">
                  <c:v>Sum of Outcome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'Ach1'!$A$4</c:f>
              <c:strCache>
                <c:ptCount val="1"/>
                <c:pt idx="0">
                  <c:v>Total</c:v>
                </c:pt>
              </c:strCache>
            </c:strRef>
          </c:cat>
          <c:val>
            <c:numRef>
              <c:f>'Ach1'!$A$4</c:f>
              <c:numCache>
                <c:formatCode>General</c:formatCode>
                <c:ptCount val="1"/>
                <c:pt idx="0">
                  <c:v>268</c:v>
                </c:pt>
              </c:numCache>
            </c:numRef>
          </c:val>
          <c:extLst>
            <c:ext xmlns:c16="http://schemas.microsoft.com/office/drawing/2014/chart" uri="{C3380CC4-5D6E-409C-BE32-E72D297353CC}">
              <c16:uniqueId val="{00000000-916E-4670-82FB-4977957D9B0C}"/>
            </c:ext>
          </c:extLst>
        </c:ser>
        <c:ser>
          <c:idx val="1"/>
          <c:order val="1"/>
          <c:tx>
            <c:strRef>
              <c:f>'Ach1'!$B$3</c:f>
              <c:strCache>
                <c:ptCount val="1"/>
                <c:pt idx="0">
                  <c:v>Sum of BMI+Outcome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'Ach1'!$A$4</c:f>
              <c:strCache>
                <c:ptCount val="1"/>
                <c:pt idx="0">
                  <c:v>Total</c:v>
                </c:pt>
              </c:strCache>
            </c:strRef>
          </c:cat>
          <c:val>
            <c:numRef>
              <c:f>'Ach1'!$B$4</c:f>
              <c:numCache>
                <c:formatCode>General</c:formatCode>
                <c:ptCount val="1"/>
                <c:pt idx="0">
                  <c:v>268</c:v>
                </c:pt>
              </c:numCache>
            </c:numRef>
          </c:val>
          <c:extLst>
            <c:ext xmlns:c16="http://schemas.microsoft.com/office/drawing/2014/chart" uri="{C3380CC4-5D6E-409C-BE32-E72D297353CC}">
              <c16:uniqueId val="{00000001-916E-4670-82FB-4977957D9B0C}"/>
            </c:ext>
          </c:extLst>
        </c:ser>
        <c:dLbls>
          <c:showLegendKey val="0"/>
          <c:showVal val="0"/>
          <c:showCatName val="0"/>
          <c:showSerName val="0"/>
          <c:showPercent val="0"/>
          <c:showBubbleSize val="0"/>
        </c:dLbls>
        <c:gapWidth val="219"/>
        <c:overlap val="-27"/>
        <c:axId val="1620632320"/>
        <c:axId val="1620632800"/>
      </c:barChart>
      <c:catAx>
        <c:axId val="1620632320"/>
        <c:scaling>
          <c:orientation val="minMax"/>
        </c:scaling>
        <c:delete val="1"/>
        <c:axPos val="b"/>
        <c:numFmt formatCode="General" sourceLinked="1"/>
        <c:majorTickMark val="none"/>
        <c:minorTickMark val="none"/>
        <c:tickLblPos val="nextTo"/>
        <c:crossAx val="1620632800"/>
        <c:crosses val="autoZero"/>
        <c:auto val="1"/>
        <c:lblAlgn val="ctr"/>
        <c:lblOffset val="100"/>
        <c:noMultiLvlLbl val="0"/>
      </c:catAx>
      <c:valAx>
        <c:axId val="1620632800"/>
        <c:scaling>
          <c:orientation val="minMax"/>
        </c:scaling>
        <c:delete val="1"/>
        <c:axPos val="l"/>
        <c:numFmt formatCode="General" sourceLinked="1"/>
        <c:majorTickMark val="none"/>
        <c:minorTickMark val="none"/>
        <c:tickLblPos val="nextTo"/>
        <c:crossAx val="1620632320"/>
        <c:crosses val="autoZero"/>
        <c:crossBetween val="between"/>
      </c:valAx>
      <c:spPr>
        <a:noFill/>
        <a:ln>
          <a:noFill/>
        </a:ln>
        <a:effectLst/>
      </c:spPr>
    </c:plotArea>
    <c:legend>
      <c:legendPos val="r"/>
      <c:layout>
        <c:manualLayout>
          <c:xMode val="edge"/>
          <c:yMode val="edge"/>
          <c:x val="0.79786964129483828"/>
          <c:y val="0.24152704870224556"/>
          <c:w val="0.18546369203849519"/>
          <c:h val="0.6840288713910762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[diabetes.xlsm]Ach2!PivotTable3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baseline="0">
                <a:solidFill>
                  <a:schemeClr val="tx1"/>
                </a:solidFill>
              </a:rPr>
              <a:t>Outcome=1 vs (Outcome+BMI+Glucose)=1</a:t>
            </a:r>
            <a:endParaRPr lang="en-IN" b="1">
              <a:solidFill>
                <a:schemeClr val="tx1"/>
              </a:solidFill>
            </a:endParaRPr>
          </a:p>
        </c:rich>
      </c:tx>
      <c:layout>
        <c:manualLayout>
          <c:xMode val="edge"/>
          <c:yMode val="edge"/>
          <c:x val="0.15588888888888888"/>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'Ach2'!$A$3</c:f>
              <c:strCache>
                <c:ptCount val="1"/>
                <c:pt idx="0">
                  <c:v>Sum of Outcome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'Ach2'!$A$4</c:f>
              <c:strCache>
                <c:ptCount val="1"/>
                <c:pt idx="0">
                  <c:v>Total</c:v>
                </c:pt>
              </c:strCache>
            </c:strRef>
          </c:cat>
          <c:val>
            <c:numRef>
              <c:f>'Ach2'!$A$4</c:f>
              <c:numCache>
                <c:formatCode>General</c:formatCode>
                <c:ptCount val="1"/>
                <c:pt idx="0">
                  <c:v>268</c:v>
                </c:pt>
              </c:numCache>
            </c:numRef>
          </c:val>
          <c:extLst>
            <c:ext xmlns:c16="http://schemas.microsoft.com/office/drawing/2014/chart" uri="{C3380CC4-5D6E-409C-BE32-E72D297353CC}">
              <c16:uniqueId val="{00000000-1DE5-4EAA-A23C-0F07D8A45715}"/>
            </c:ext>
          </c:extLst>
        </c:ser>
        <c:ser>
          <c:idx val="1"/>
          <c:order val="1"/>
          <c:tx>
            <c:strRef>
              <c:f>'Ach2'!$B$3</c:f>
              <c:strCache>
                <c:ptCount val="1"/>
                <c:pt idx="0">
                  <c:v>Sum of (BMI+Outcome) + Glucose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'Ach2'!$A$4</c:f>
              <c:strCache>
                <c:ptCount val="1"/>
                <c:pt idx="0">
                  <c:v>Total</c:v>
                </c:pt>
              </c:strCache>
            </c:strRef>
          </c:cat>
          <c:val>
            <c:numRef>
              <c:f>'Ach2'!$B$4</c:f>
              <c:numCache>
                <c:formatCode>General</c:formatCode>
                <c:ptCount val="1"/>
                <c:pt idx="0">
                  <c:v>254</c:v>
                </c:pt>
              </c:numCache>
            </c:numRef>
          </c:val>
          <c:extLst>
            <c:ext xmlns:c16="http://schemas.microsoft.com/office/drawing/2014/chart" uri="{C3380CC4-5D6E-409C-BE32-E72D297353CC}">
              <c16:uniqueId val="{00000001-1DE5-4EAA-A23C-0F07D8A45715}"/>
            </c:ext>
          </c:extLst>
        </c:ser>
        <c:dLbls>
          <c:showLegendKey val="0"/>
          <c:showVal val="0"/>
          <c:showCatName val="0"/>
          <c:showSerName val="0"/>
          <c:showPercent val="0"/>
          <c:showBubbleSize val="0"/>
        </c:dLbls>
        <c:gapWidth val="219"/>
        <c:overlap val="-27"/>
        <c:axId val="206462368"/>
        <c:axId val="206483488"/>
      </c:barChart>
      <c:catAx>
        <c:axId val="206462368"/>
        <c:scaling>
          <c:orientation val="minMax"/>
        </c:scaling>
        <c:delete val="1"/>
        <c:axPos val="b"/>
        <c:numFmt formatCode="General" sourceLinked="1"/>
        <c:majorTickMark val="none"/>
        <c:minorTickMark val="none"/>
        <c:tickLblPos val="nextTo"/>
        <c:crossAx val="206483488"/>
        <c:crosses val="autoZero"/>
        <c:auto val="1"/>
        <c:lblAlgn val="ctr"/>
        <c:lblOffset val="100"/>
        <c:noMultiLvlLbl val="0"/>
      </c:catAx>
      <c:valAx>
        <c:axId val="206483488"/>
        <c:scaling>
          <c:orientation val="minMax"/>
        </c:scaling>
        <c:delete val="1"/>
        <c:axPos val="l"/>
        <c:numFmt formatCode="General" sourceLinked="1"/>
        <c:majorTickMark val="none"/>
        <c:minorTickMark val="none"/>
        <c:tickLblPos val="nextTo"/>
        <c:crossAx val="206462368"/>
        <c:crosses val="autoZero"/>
        <c:crossBetween val="between"/>
      </c:valAx>
      <c:spPr>
        <a:noFill/>
        <a:ln>
          <a:noFill/>
        </a:ln>
        <a:effectLst/>
      </c:spPr>
    </c:plotArea>
    <c:legend>
      <c:legendPos val="r"/>
      <c:layout>
        <c:manualLayout>
          <c:xMode val="edge"/>
          <c:yMode val="edge"/>
          <c:x val="0.72293897637795268"/>
          <c:y val="0.20043853893263341"/>
          <c:w val="0.2603943569553806"/>
          <c:h val="0.710650335374744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[diabetes.xlsm]Ach3!PivotTable4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Outcome=1</a:t>
            </a:r>
            <a:r>
              <a:rPr lang="en-IN" b="1" baseline="0">
                <a:solidFill>
                  <a:schemeClr val="tx1"/>
                </a:solidFill>
              </a:rPr>
              <a:t> vs (Outcome+Glucose)=1</a:t>
            </a:r>
            <a:endParaRPr lang="en-IN" b="1">
              <a:solidFill>
                <a:schemeClr val="tx1"/>
              </a:solidFill>
            </a:endParaRPr>
          </a:p>
        </c:rich>
      </c:tx>
      <c:layout>
        <c:manualLayout>
          <c:xMode val="edge"/>
          <c:yMode val="edge"/>
          <c:x val="0.20045122484689415"/>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'Ach3'!$A$3</c:f>
              <c:strCache>
                <c:ptCount val="1"/>
                <c:pt idx="0">
                  <c:v>Sum of Outcome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'Ach3'!$A$4</c:f>
              <c:strCache>
                <c:ptCount val="1"/>
                <c:pt idx="0">
                  <c:v>Total</c:v>
                </c:pt>
              </c:strCache>
            </c:strRef>
          </c:cat>
          <c:val>
            <c:numRef>
              <c:f>'Ach3'!$A$4</c:f>
              <c:numCache>
                <c:formatCode>General</c:formatCode>
                <c:ptCount val="1"/>
                <c:pt idx="0">
                  <c:v>268</c:v>
                </c:pt>
              </c:numCache>
            </c:numRef>
          </c:val>
          <c:extLst>
            <c:ext xmlns:c16="http://schemas.microsoft.com/office/drawing/2014/chart" uri="{C3380CC4-5D6E-409C-BE32-E72D297353CC}">
              <c16:uniqueId val="{00000000-DFF8-4F14-B48A-55B1F60CFED8}"/>
            </c:ext>
          </c:extLst>
        </c:ser>
        <c:ser>
          <c:idx val="1"/>
          <c:order val="1"/>
          <c:tx>
            <c:strRef>
              <c:f>'Ach3'!$B$3</c:f>
              <c:strCache>
                <c:ptCount val="1"/>
                <c:pt idx="0">
                  <c:v>Sum of Glucose+Outcome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'Ach3'!$A$4</c:f>
              <c:strCache>
                <c:ptCount val="1"/>
                <c:pt idx="0">
                  <c:v>Total</c:v>
                </c:pt>
              </c:strCache>
            </c:strRef>
          </c:cat>
          <c:val>
            <c:numRef>
              <c:f>'Ach3'!$B$4</c:f>
              <c:numCache>
                <c:formatCode>General</c:formatCode>
                <c:ptCount val="1"/>
                <c:pt idx="0">
                  <c:v>254</c:v>
                </c:pt>
              </c:numCache>
            </c:numRef>
          </c:val>
          <c:extLst>
            <c:ext xmlns:c16="http://schemas.microsoft.com/office/drawing/2014/chart" uri="{C3380CC4-5D6E-409C-BE32-E72D297353CC}">
              <c16:uniqueId val="{00000001-DFF8-4F14-B48A-55B1F60CFED8}"/>
            </c:ext>
          </c:extLst>
        </c:ser>
        <c:dLbls>
          <c:showLegendKey val="0"/>
          <c:showVal val="0"/>
          <c:showCatName val="0"/>
          <c:showSerName val="0"/>
          <c:showPercent val="0"/>
          <c:showBubbleSize val="0"/>
        </c:dLbls>
        <c:gapWidth val="219"/>
        <c:overlap val="-27"/>
        <c:axId val="206464768"/>
        <c:axId val="206460928"/>
      </c:barChart>
      <c:catAx>
        <c:axId val="206464768"/>
        <c:scaling>
          <c:orientation val="minMax"/>
        </c:scaling>
        <c:delete val="1"/>
        <c:axPos val="b"/>
        <c:numFmt formatCode="General" sourceLinked="1"/>
        <c:majorTickMark val="none"/>
        <c:minorTickMark val="none"/>
        <c:tickLblPos val="nextTo"/>
        <c:crossAx val="206460928"/>
        <c:crosses val="autoZero"/>
        <c:auto val="1"/>
        <c:lblAlgn val="ctr"/>
        <c:lblOffset val="100"/>
        <c:noMultiLvlLbl val="0"/>
      </c:catAx>
      <c:valAx>
        <c:axId val="206460928"/>
        <c:scaling>
          <c:orientation val="minMax"/>
        </c:scaling>
        <c:delete val="1"/>
        <c:axPos val="l"/>
        <c:numFmt formatCode="General" sourceLinked="1"/>
        <c:majorTickMark val="none"/>
        <c:minorTickMark val="none"/>
        <c:tickLblPos val="nextTo"/>
        <c:crossAx val="206464768"/>
        <c:crosses val="autoZero"/>
        <c:crossBetween val="between"/>
      </c:valAx>
      <c:spPr>
        <a:noFill/>
        <a:ln>
          <a:noFill/>
        </a:ln>
        <a:effectLst/>
      </c:spPr>
    </c:plotArea>
    <c:legend>
      <c:legendPos val="r"/>
      <c:layout>
        <c:manualLayout>
          <c:xMode val="edge"/>
          <c:yMode val="edge"/>
          <c:x val="0.76407786526684163"/>
          <c:y val="0.12557815689705457"/>
          <c:w val="0.21925546806649171"/>
          <c:h val="0.79513998250218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[diabetes.xlsm]age!PivotTable8</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Outcome</a:t>
            </a:r>
            <a:r>
              <a:rPr lang="en-US" b="1" baseline="0">
                <a:solidFill>
                  <a:schemeClr val="tx1"/>
                </a:solidFill>
              </a:rPr>
              <a:t> By Age Distribution</a:t>
            </a:r>
            <a:endParaRPr lang="en-US" b="1">
              <a:solidFill>
                <a:schemeClr val="tx1"/>
              </a:solidFill>
            </a:endParaRPr>
          </a:p>
        </c:rich>
      </c:tx>
      <c:layout>
        <c:manualLayout>
          <c:xMode val="edge"/>
          <c:yMode val="edge"/>
          <c:x val="0.25361111111111112"/>
          <c:y val="8.993818343282007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5"/>
          </a:solidFill>
          <a:ln w="25400">
            <a:solidFill>
              <a:schemeClr val="lt1"/>
            </a:solidFill>
          </a:ln>
          <a:effectLst/>
          <a:sp3d contourW="25400">
            <a:contourClr>
              <a:schemeClr val="lt1"/>
            </a:contourClr>
          </a:sp3d>
        </c:spPr>
        <c:dLbl>
          <c:idx val="0"/>
          <c:layout>
            <c:manualLayout>
              <c:x val="-3.5759623797025318E-2"/>
              <c:y val="-8.957701434974339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dLbl>
          <c:idx val="0"/>
          <c:layout>
            <c:manualLayout>
              <c:x val="-3.5759623797025318E-2"/>
              <c:y val="-8.957701434974339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dLbl>
          <c:idx val="0"/>
          <c:layout>
            <c:manualLayout>
              <c:x val="-3.5759623797025318E-2"/>
              <c:y val="-8.957701434974339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age!$B$3</c:f>
              <c:strCache>
                <c:ptCount val="1"/>
                <c:pt idx="0">
                  <c:v>Total</c:v>
                </c:pt>
              </c:strCache>
            </c:strRef>
          </c:tx>
          <c:explosion val="7"/>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D684-4802-BD9B-0C47A4EAFB0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D684-4802-BD9B-0C47A4EAFB0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D684-4802-BD9B-0C47A4EAFB0C}"/>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D684-4802-BD9B-0C47A4EAFB0C}"/>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D684-4802-BD9B-0C47A4EAFB0C}"/>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D684-4802-BD9B-0C47A4EAFB0C}"/>
              </c:ext>
            </c:extLst>
          </c:dPt>
          <c:dLbls>
            <c:dLbl>
              <c:idx val="4"/>
              <c:layout>
                <c:manualLayout>
                  <c:x val="-3.5759623797025318E-2"/>
                  <c:y val="-8.9577014349743397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D684-4802-BD9B-0C47A4EAFB0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extLst>
          </c:dLbls>
          <c:cat>
            <c:strRef>
              <c:f>age!$A$4:$A$10</c:f>
              <c:strCache>
                <c:ptCount val="6"/>
                <c:pt idx="0">
                  <c:v>21-30</c:v>
                </c:pt>
                <c:pt idx="1">
                  <c:v>31-40</c:v>
                </c:pt>
                <c:pt idx="2">
                  <c:v>41-50</c:v>
                </c:pt>
                <c:pt idx="3">
                  <c:v>51-60</c:v>
                </c:pt>
                <c:pt idx="4">
                  <c:v>61-70</c:v>
                </c:pt>
                <c:pt idx="5">
                  <c:v>71-81</c:v>
                </c:pt>
              </c:strCache>
            </c:strRef>
          </c:cat>
          <c:val>
            <c:numRef>
              <c:f>age!$B$4:$B$10</c:f>
              <c:numCache>
                <c:formatCode>General</c:formatCode>
                <c:ptCount val="6"/>
                <c:pt idx="0">
                  <c:v>90</c:v>
                </c:pt>
                <c:pt idx="1">
                  <c:v>76</c:v>
                </c:pt>
                <c:pt idx="2">
                  <c:v>64</c:v>
                </c:pt>
                <c:pt idx="3">
                  <c:v>31</c:v>
                </c:pt>
                <c:pt idx="4">
                  <c:v>7</c:v>
                </c:pt>
                <c:pt idx="5">
                  <c:v>0</c:v>
                </c:pt>
              </c:numCache>
            </c:numRef>
          </c:val>
          <c:extLst>
            <c:ext xmlns:c16="http://schemas.microsoft.com/office/drawing/2014/chart" uri="{C3380CC4-5D6E-409C-BE32-E72D297353CC}">
              <c16:uniqueId val="{0000000C-D684-4802-BD9B-0C47A4EAFB0C}"/>
            </c:ext>
          </c:extLst>
        </c:ser>
        <c:dLbls>
          <c:dLblPos val="bestFit"/>
          <c:showLegendKey val="0"/>
          <c:showVal val="1"/>
          <c:showCatName val="0"/>
          <c:showSerName val="0"/>
          <c:showPercent val="0"/>
          <c:showBubbleSize val="0"/>
          <c:showLeaderLines val="0"/>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[diabetes.xlsm]glu!PivotTable2</c:name>
    <c:fmtId val="5"/>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Outcome</a:t>
            </a:r>
            <a:r>
              <a:rPr lang="en-US" b="1" baseline="0">
                <a:solidFill>
                  <a:schemeClr val="tx1"/>
                </a:solidFill>
              </a:rPr>
              <a:t> By Glucose</a:t>
            </a:r>
            <a:endParaRPr lang="en-US" b="1">
              <a:solidFill>
                <a:schemeClr val="tx1"/>
              </a:solidFill>
            </a:endParaRPr>
          </a:p>
        </c:rich>
      </c:tx>
      <c:layout>
        <c:manualLayout>
          <c:xMode val="edge"/>
          <c:yMode val="edge"/>
          <c:x val="0.31679155730533681"/>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pivotFmt>
      <c:pivotFmt>
        <c:idx val="2"/>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pivotFmt>
      <c:pivotFmt>
        <c:idx val="4"/>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lumMod val="50000"/>
            </a:schemeClr>
          </a:solidFill>
          <a:ln>
            <a:noFill/>
          </a:ln>
          <a:effectLst/>
        </c:spPr>
      </c:pivotFmt>
      <c:pivotFmt>
        <c:idx val="6"/>
        <c:spPr>
          <a:solidFill>
            <a:srgbClr val="FF0000"/>
          </a:solidFill>
          <a:ln>
            <a:noFill/>
          </a:ln>
          <a:effectLst/>
        </c:spPr>
      </c:pivotFmt>
    </c:pivotFmts>
    <c:plotArea>
      <c:layout/>
      <c:barChart>
        <c:barDir val="col"/>
        <c:grouping val="stacked"/>
        <c:varyColors val="0"/>
        <c:ser>
          <c:idx val="0"/>
          <c:order val="0"/>
          <c:tx>
            <c:strRef>
              <c:f>glu!$B$3</c:f>
              <c:strCache>
                <c:ptCount val="1"/>
                <c:pt idx="0">
                  <c:v>Total</c:v>
                </c:pt>
              </c:strCache>
            </c:strRef>
          </c:tx>
          <c:spPr>
            <a:solidFill>
              <a:schemeClr val="accent6">
                <a:lumMod val="50000"/>
              </a:schemeClr>
            </a:solidFill>
            <a:ln>
              <a:noFill/>
            </a:ln>
            <a:effectLst/>
          </c:spPr>
          <c:invertIfNegative val="0"/>
          <c:dPt>
            <c:idx val="7"/>
            <c:invertIfNegative val="0"/>
            <c:bubble3D val="0"/>
            <c:extLst>
              <c:ext xmlns:c16="http://schemas.microsoft.com/office/drawing/2014/chart" uri="{C3380CC4-5D6E-409C-BE32-E72D297353CC}">
                <c16:uniqueId val="{00000001-3949-4BA6-9041-6322228E677F}"/>
              </c:ext>
            </c:extLst>
          </c:dPt>
          <c:dPt>
            <c:idx val="8"/>
            <c:invertIfNegative val="0"/>
            <c:bubble3D val="0"/>
            <c:extLst>
              <c:ext xmlns:c16="http://schemas.microsoft.com/office/drawing/2014/chart" uri="{C3380CC4-5D6E-409C-BE32-E72D297353CC}">
                <c16:uniqueId val="{00000001-6EAA-40AE-942C-775F94561A17}"/>
              </c:ext>
            </c:extLst>
          </c:dPt>
          <c:dPt>
            <c:idx val="9"/>
            <c:invertIfNegative val="0"/>
            <c:bubble3D val="0"/>
            <c:spPr>
              <a:solidFill>
                <a:srgbClr val="FF0000"/>
              </a:solidFill>
              <a:ln>
                <a:noFill/>
              </a:ln>
              <a:effectLst/>
            </c:spPr>
          </c:dPt>
          <c:cat>
            <c:strRef>
              <c:f>glu!$A$4:$A$20</c:f>
              <c:strCache>
                <c:ptCount val="16"/>
                <c:pt idx="0">
                  <c:v>44-53</c:v>
                </c:pt>
                <c:pt idx="1">
                  <c:v>54-63</c:v>
                </c:pt>
                <c:pt idx="2">
                  <c:v>64-73</c:v>
                </c:pt>
                <c:pt idx="3">
                  <c:v>74-83</c:v>
                </c:pt>
                <c:pt idx="4">
                  <c:v>84-93</c:v>
                </c:pt>
                <c:pt idx="5">
                  <c:v>94-103</c:v>
                </c:pt>
                <c:pt idx="6">
                  <c:v>104-113</c:v>
                </c:pt>
                <c:pt idx="7">
                  <c:v>114-123</c:v>
                </c:pt>
                <c:pt idx="8">
                  <c:v>124-133</c:v>
                </c:pt>
                <c:pt idx="9">
                  <c:v>134-143</c:v>
                </c:pt>
                <c:pt idx="10">
                  <c:v>144-153</c:v>
                </c:pt>
                <c:pt idx="11">
                  <c:v>154-163</c:v>
                </c:pt>
                <c:pt idx="12">
                  <c:v>164-173</c:v>
                </c:pt>
                <c:pt idx="13">
                  <c:v>174-183</c:v>
                </c:pt>
                <c:pt idx="14">
                  <c:v>184-193</c:v>
                </c:pt>
                <c:pt idx="15">
                  <c:v>194-203</c:v>
                </c:pt>
              </c:strCache>
            </c:strRef>
          </c:cat>
          <c:val>
            <c:numRef>
              <c:f>glu!$B$4:$B$20</c:f>
              <c:numCache>
                <c:formatCode>General</c:formatCode>
                <c:ptCount val="16"/>
                <c:pt idx="0">
                  <c:v>0</c:v>
                </c:pt>
                <c:pt idx="1">
                  <c:v>0</c:v>
                </c:pt>
                <c:pt idx="2">
                  <c:v>0</c:v>
                </c:pt>
                <c:pt idx="3">
                  <c:v>2</c:v>
                </c:pt>
                <c:pt idx="4">
                  <c:v>7</c:v>
                </c:pt>
                <c:pt idx="5">
                  <c:v>15</c:v>
                </c:pt>
                <c:pt idx="6">
                  <c:v>27</c:v>
                </c:pt>
                <c:pt idx="7">
                  <c:v>29</c:v>
                </c:pt>
                <c:pt idx="8">
                  <c:v>36</c:v>
                </c:pt>
                <c:pt idx="9">
                  <c:v>26</c:v>
                </c:pt>
                <c:pt idx="10">
                  <c:v>27</c:v>
                </c:pt>
                <c:pt idx="11">
                  <c:v>26</c:v>
                </c:pt>
                <c:pt idx="12">
                  <c:v>24</c:v>
                </c:pt>
                <c:pt idx="13">
                  <c:v>22</c:v>
                </c:pt>
                <c:pt idx="14">
                  <c:v>15</c:v>
                </c:pt>
                <c:pt idx="15">
                  <c:v>12</c:v>
                </c:pt>
              </c:numCache>
            </c:numRef>
          </c:val>
          <c:extLst>
            <c:ext xmlns:c16="http://schemas.microsoft.com/office/drawing/2014/chart" uri="{C3380CC4-5D6E-409C-BE32-E72D297353CC}">
              <c16:uniqueId val="{00000002-6EAA-40AE-942C-775F94561A17}"/>
            </c:ext>
          </c:extLst>
        </c:ser>
        <c:dLbls>
          <c:showLegendKey val="0"/>
          <c:showVal val="0"/>
          <c:showCatName val="0"/>
          <c:showSerName val="0"/>
          <c:showPercent val="0"/>
          <c:showBubbleSize val="0"/>
        </c:dLbls>
        <c:gapWidth val="150"/>
        <c:overlap val="100"/>
        <c:axId val="818812991"/>
        <c:axId val="818813471"/>
      </c:barChart>
      <c:catAx>
        <c:axId val="818812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818813471"/>
        <c:crosses val="autoZero"/>
        <c:auto val="1"/>
        <c:lblAlgn val="ctr"/>
        <c:lblOffset val="100"/>
        <c:noMultiLvlLbl val="0"/>
      </c:catAx>
      <c:valAx>
        <c:axId val="8188134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8188129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[diabetes.xlsm]bmi!PivotTable6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Outcome</a:t>
            </a:r>
            <a:r>
              <a:rPr lang="en-US" b="1" baseline="0">
                <a:solidFill>
                  <a:schemeClr val="tx1"/>
                </a:solidFill>
              </a:rPr>
              <a:t> By BMI</a:t>
            </a:r>
            <a:endParaRPr lang="en-US" b="1">
              <a:solidFill>
                <a:schemeClr val="tx1"/>
              </a:solidFill>
            </a:endParaRPr>
          </a:p>
        </c:rich>
      </c:tx>
      <c:layout>
        <c:manualLayout>
          <c:xMode val="edge"/>
          <c:yMode val="edge"/>
          <c:x val="0.29126000000000002"/>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bmi!$B$3</c:f>
              <c:strCache>
                <c:ptCount val="1"/>
                <c:pt idx="0">
                  <c:v>Total</c:v>
                </c:pt>
              </c:strCache>
            </c:strRef>
          </c:tx>
          <c:spPr>
            <a:noFill/>
            <a:ln>
              <a:noFill/>
            </a:ln>
            <a:effectLst/>
          </c:spPr>
          <c:invertIfNegative val="0"/>
          <c:errBars>
            <c:errBarType val="minus"/>
            <c:errValType val="percentage"/>
            <c:noEndCap val="1"/>
            <c:val val="100"/>
            <c:spPr>
              <a:noFill/>
              <a:ln w="63500" cap="flat" cmpd="sng" algn="ctr">
                <a:solidFill>
                  <a:schemeClr val="accent6">
                    <a:lumMod val="50000"/>
                  </a:schemeClr>
                </a:solidFill>
                <a:round/>
                <a:headEnd type="oval"/>
              </a:ln>
              <a:effectLst/>
            </c:spPr>
          </c:errBars>
          <c:cat>
            <c:strRef>
              <c:f>bmi!$A$4:$A$9</c:f>
              <c:strCache>
                <c:ptCount val="5"/>
                <c:pt idx="0">
                  <c:v>18-27</c:v>
                </c:pt>
                <c:pt idx="1">
                  <c:v>28-37</c:v>
                </c:pt>
                <c:pt idx="2">
                  <c:v>38-47</c:v>
                </c:pt>
                <c:pt idx="3">
                  <c:v>48-57</c:v>
                </c:pt>
                <c:pt idx="4">
                  <c:v>58-67</c:v>
                </c:pt>
              </c:strCache>
            </c:strRef>
          </c:cat>
          <c:val>
            <c:numRef>
              <c:f>bmi!$B$4:$B$9</c:f>
              <c:numCache>
                <c:formatCode>General</c:formatCode>
                <c:ptCount val="5"/>
                <c:pt idx="0">
                  <c:v>20</c:v>
                </c:pt>
                <c:pt idx="1">
                  <c:v>163</c:v>
                </c:pt>
                <c:pt idx="2">
                  <c:v>72</c:v>
                </c:pt>
                <c:pt idx="3">
                  <c:v>11</c:v>
                </c:pt>
                <c:pt idx="4">
                  <c:v>2</c:v>
                </c:pt>
              </c:numCache>
            </c:numRef>
          </c:val>
          <c:extLst>
            <c:ext xmlns:c16="http://schemas.microsoft.com/office/drawing/2014/chart" uri="{C3380CC4-5D6E-409C-BE32-E72D297353CC}">
              <c16:uniqueId val="{00000000-B49A-4B9B-A27B-3081AB5D0095}"/>
            </c:ext>
          </c:extLst>
        </c:ser>
        <c:dLbls>
          <c:showLegendKey val="0"/>
          <c:showVal val="0"/>
          <c:showCatName val="0"/>
          <c:showSerName val="0"/>
          <c:showPercent val="0"/>
          <c:showBubbleSize val="0"/>
        </c:dLbls>
        <c:gapWidth val="150"/>
        <c:overlap val="100"/>
        <c:axId val="1888590959"/>
        <c:axId val="1888593359"/>
      </c:barChart>
      <c:catAx>
        <c:axId val="1888590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888593359"/>
        <c:crosses val="autoZero"/>
        <c:auto val="1"/>
        <c:lblAlgn val="ctr"/>
        <c:lblOffset val="100"/>
        <c:noMultiLvlLbl val="0"/>
      </c:catAx>
      <c:valAx>
        <c:axId val="1888593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8885909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[diabetes.xlsm]ins!PivotTable5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Outcome</a:t>
            </a:r>
            <a:r>
              <a:rPr lang="en-US" b="1" baseline="0">
                <a:solidFill>
                  <a:schemeClr val="tx1"/>
                </a:solidFill>
              </a:rPr>
              <a:t> By Insulin</a:t>
            </a:r>
            <a:endParaRPr lang="en-US" b="1">
              <a:solidFill>
                <a:schemeClr val="tx1"/>
              </a:solidFill>
            </a:endParaRPr>
          </a:p>
        </c:rich>
      </c:tx>
      <c:layout>
        <c:manualLayout>
          <c:xMode val="edge"/>
          <c:yMode val="edge"/>
          <c:x val="0.30782182182182183"/>
          <c:y val="4.6296296296296302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6ABE"/>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5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ins!$B$3</c:f>
              <c:strCache>
                <c:ptCount val="1"/>
                <c:pt idx="0">
                  <c:v>Total</c:v>
                </c:pt>
              </c:strCache>
            </c:strRef>
          </c:tx>
          <c:spPr>
            <a:solidFill>
              <a:schemeClr val="accent6">
                <a:lumMod val="50000"/>
              </a:schemeClr>
            </a:solidFill>
            <a:ln>
              <a:noFill/>
            </a:ln>
            <a:effectLst/>
            <a:sp3d/>
          </c:spPr>
          <c:invertIfNegative val="0"/>
          <c:cat>
            <c:strRef>
              <c:f>ins!$A$4:$A$13</c:f>
              <c:strCache>
                <c:ptCount val="9"/>
                <c:pt idx="0">
                  <c:v>14-113</c:v>
                </c:pt>
                <c:pt idx="1">
                  <c:v>114-213</c:v>
                </c:pt>
                <c:pt idx="2">
                  <c:v>214-313</c:v>
                </c:pt>
                <c:pt idx="3">
                  <c:v>314-413</c:v>
                </c:pt>
                <c:pt idx="4">
                  <c:v>414-513</c:v>
                </c:pt>
                <c:pt idx="5">
                  <c:v>514-613</c:v>
                </c:pt>
                <c:pt idx="6">
                  <c:v>614-713</c:v>
                </c:pt>
                <c:pt idx="7">
                  <c:v>714-813</c:v>
                </c:pt>
                <c:pt idx="8">
                  <c:v>814-913</c:v>
                </c:pt>
              </c:strCache>
            </c:strRef>
          </c:cat>
          <c:val>
            <c:numRef>
              <c:f>ins!$B$4:$B$13</c:f>
              <c:numCache>
                <c:formatCode>General</c:formatCode>
                <c:ptCount val="9"/>
                <c:pt idx="0">
                  <c:v>160</c:v>
                </c:pt>
                <c:pt idx="1">
                  <c:v>67</c:v>
                </c:pt>
                <c:pt idx="2">
                  <c:v>21</c:v>
                </c:pt>
                <c:pt idx="3">
                  <c:v>8</c:v>
                </c:pt>
                <c:pt idx="4">
                  <c:v>7</c:v>
                </c:pt>
                <c:pt idx="5">
                  <c:v>4</c:v>
                </c:pt>
                <c:pt idx="6">
                  <c:v>0</c:v>
                </c:pt>
                <c:pt idx="7">
                  <c:v>0</c:v>
                </c:pt>
                <c:pt idx="8">
                  <c:v>1</c:v>
                </c:pt>
              </c:numCache>
            </c:numRef>
          </c:val>
          <c:extLst>
            <c:ext xmlns:c16="http://schemas.microsoft.com/office/drawing/2014/chart" uri="{C3380CC4-5D6E-409C-BE32-E72D297353CC}">
              <c16:uniqueId val="{00000000-6330-4D33-A567-3BBA49672D9A}"/>
            </c:ext>
          </c:extLst>
        </c:ser>
        <c:dLbls>
          <c:showLegendKey val="0"/>
          <c:showVal val="0"/>
          <c:showCatName val="0"/>
          <c:showSerName val="0"/>
          <c:showPercent val="0"/>
          <c:showBubbleSize val="0"/>
        </c:dLbls>
        <c:gapWidth val="150"/>
        <c:shape val="cone"/>
        <c:axId val="818812031"/>
        <c:axId val="818811551"/>
        <c:axId val="0"/>
      </c:bar3DChart>
      <c:catAx>
        <c:axId val="8188120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818811551"/>
        <c:crosses val="autoZero"/>
        <c:auto val="1"/>
        <c:lblAlgn val="ctr"/>
        <c:lblOffset val="100"/>
        <c:noMultiLvlLbl val="0"/>
      </c:catAx>
      <c:valAx>
        <c:axId val="8188115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8188120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[diabetes.xlsm]st!PivotTable4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Outcome</a:t>
            </a:r>
            <a:r>
              <a:rPr lang="en-US" b="1" baseline="0">
                <a:solidFill>
                  <a:schemeClr val="tx1"/>
                </a:solidFill>
              </a:rPr>
              <a:t> By Skin Thickness</a:t>
            </a:r>
            <a:endParaRPr lang="en-US" b="1">
              <a:solidFill>
                <a:schemeClr val="tx1"/>
              </a:solidFill>
            </a:endParaRPr>
          </a:p>
        </c:rich>
      </c:tx>
      <c:layout>
        <c:manualLayout>
          <c:xMode val="edge"/>
          <c:yMode val="edge"/>
          <c:x val="0.21059722222222221"/>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st!$B$3</c:f>
              <c:strCache>
                <c:ptCount val="1"/>
                <c:pt idx="0">
                  <c:v>Total</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st!$A$4:$A$11</c:f>
              <c:strCache>
                <c:ptCount val="7"/>
                <c:pt idx="0">
                  <c:v>57-66</c:v>
                </c:pt>
                <c:pt idx="1">
                  <c:v>97-106</c:v>
                </c:pt>
                <c:pt idx="2">
                  <c:v>7-16</c:v>
                </c:pt>
                <c:pt idx="3">
                  <c:v>47-56</c:v>
                </c:pt>
                <c:pt idx="4">
                  <c:v>37-46</c:v>
                </c:pt>
                <c:pt idx="5">
                  <c:v>27-36</c:v>
                </c:pt>
                <c:pt idx="6">
                  <c:v>17-26</c:v>
                </c:pt>
              </c:strCache>
            </c:strRef>
          </c:cat>
          <c:val>
            <c:numRef>
              <c:f>st!$B$4:$B$11</c:f>
              <c:numCache>
                <c:formatCode>General</c:formatCode>
                <c:ptCount val="7"/>
                <c:pt idx="0">
                  <c:v>1</c:v>
                </c:pt>
                <c:pt idx="1">
                  <c:v>1</c:v>
                </c:pt>
                <c:pt idx="2">
                  <c:v>6</c:v>
                </c:pt>
                <c:pt idx="3">
                  <c:v>9</c:v>
                </c:pt>
                <c:pt idx="4">
                  <c:v>49</c:v>
                </c:pt>
                <c:pt idx="5">
                  <c:v>76</c:v>
                </c:pt>
                <c:pt idx="6">
                  <c:v>126</c:v>
                </c:pt>
              </c:numCache>
            </c:numRef>
          </c:val>
          <c:extLst>
            <c:ext xmlns:c16="http://schemas.microsoft.com/office/drawing/2014/chart" uri="{C3380CC4-5D6E-409C-BE32-E72D297353CC}">
              <c16:uniqueId val="{00000000-D2D3-4B1E-BAC5-33C943EF0184}"/>
            </c:ext>
          </c:extLst>
        </c:ser>
        <c:dLbls>
          <c:showLegendKey val="0"/>
          <c:showVal val="0"/>
          <c:showCatName val="0"/>
          <c:showSerName val="0"/>
          <c:showPercent val="0"/>
          <c:showBubbleSize val="0"/>
        </c:dLbls>
        <c:gapWidth val="150"/>
        <c:overlap val="100"/>
        <c:axId val="1989780431"/>
        <c:axId val="1989803471"/>
      </c:barChart>
      <c:catAx>
        <c:axId val="19897804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89803471"/>
        <c:crosses val="autoZero"/>
        <c:auto val="1"/>
        <c:lblAlgn val="ctr"/>
        <c:lblOffset val="100"/>
        <c:noMultiLvlLbl val="0"/>
      </c:catAx>
      <c:valAx>
        <c:axId val="1989803471"/>
        <c:scaling>
          <c:orientation val="minMax"/>
        </c:scaling>
        <c:delete val="1"/>
        <c:axPos val="b"/>
        <c:numFmt formatCode="General" sourceLinked="1"/>
        <c:majorTickMark val="none"/>
        <c:minorTickMark val="none"/>
        <c:tickLblPos val="nextTo"/>
        <c:crossAx val="19897804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[diabetes.xlsm]bp!PivotTable3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Outcome</a:t>
            </a:r>
            <a:r>
              <a:rPr lang="en-US" b="1" baseline="0">
                <a:solidFill>
                  <a:schemeClr val="tx1"/>
                </a:solidFill>
              </a:rPr>
              <a:t> By Blood Pressure</a:t>
            </a:r>
            <a:endParaRPr lang="en-US" b="1">
              <a:solidFill>
                <a:schemeClr val="tx1"/>
              </a:solidFill>
            </a:endParaRPr>
          </a:p>
        </c:rich>
      </c:tx>
      <c:layout>
        <c:manualLayout>
          <c:xMode val="edge"/>
          <c:yMode val="edge"/>
          <c:x val="0.24777077865266842"/>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50000"/>
            </a:schemeClr>
          </a:solidFill>
          <a:ln>
            <a:noFill/>
          </a:ln>
          <a:effectLst/>
        </c:spPr>
        <c:dLbl>
          <c:idx val="0"/>
          <c:layout>
            <c:manualLayout>
              <c:x val="0"/>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50000"/>
            </a:schemeClr>
          </a:solidFill>
          <a:ln>
            <a:noFill/>
          </a:ln>
          <a:effectLst/>
        </c:spPr>
        <c:dLbl>
          <c:idx val="0"/>
          <c:layout>
            <c:manualLayout>
              <c:x val="-5.5555555555555558E-3"/>
              <c:y val="-9.259259259259250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50000"/>
            </a:schemeClr>
          </a:solidFill>
          <a:ln>
            <a:noFill/>
          </a:ln>
          <a:effectLst/>
        </c:spPr>
        <c:dLbl>
          <c:idx val="0"/>
          <c:layout>
            <c:manualLayout>
              <c:x val="-5.5555555555555558E-3"/>
              <c:y val="-9.259259259259250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50000"/>
            </a:schemeClr>
          </a:solidFill>
          <a:ln>
            <a:noFill/>
          </a:ln>
          <a:effectLst/>
        </c:spPr>
        <c:dLbl>
          <c:idx val="0"/>
          <c:layout>
            <c:manualLayout>
              <c:x val="0"/>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50000"/>
            </a:schemeClr>
          </a:solidFill>
          <a:ln>
            <a:noFill/>
          </a:ln>
          <a:effectLst/>
        </c:spPr>
        <c:dLbl>
          <c:idx val="0"/>
          <c:layout>
            <c:manualLayout>
              <c:x val="-5.5555555555555558E-3"/>
              <c:y val="-9.259259259259250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lumMod val="50000"/>
            </a:schemeClr>
          </a:solidFill>
          <a:ln>
            <a:noFill/>
          </a:ln>
          <a:effectLst/>
        </c:spPr>
        <c:dLbl>
          <c:idx val="0"/>
          <c:layout>
            <c:manualLayout>
              <c:x val="0"/>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bp!$B$3</c:f>
              <c:strCache>
                <c:ptCount val="1"/>
                <c:pt idx="0">
                  <c:v>Total</c:v>
                </c:pt>
              </c:strCache>
            </c:strRef>
          </c:tx>
          <c:spPr>
            <a:solidFill>
              <a:schemeClr val="accent6">
                <a:lumMod val="50000"/>
              </a:schemeClr>
            </a:solidFill>
            <a:ln>
              <a:noFill/>
            </a:ln>
            <a:effectLst/>
          </c:spPr>
          <c:invertIfNegative val="0"/>
          <c:dPt>
            <c:idx val="0"/>
            <c:invertIfNegative val="0"/>
            <c:bubble3D val="0"/>
            <c:spPr>
              <a:solidFill>
                <a:schemeClr val="accent6">
                  <a:lumMod val="50000"/>
                </a:schemeClr>
              </a:solidFill>
              <a:ln>
                <a:noFill/>
              </a:ln>
              <a:effectLst/>
            </c:spPr>
            <c:extLst>
              <c:ext xmlns:c16="http://schemas.microsoft.com/office/drawing/2014/chart" uri="{C3380CC4-5D6E-409C-BE32-E72D297353CC}">
                <c16:uniqueId val="{00000000-1E8B-494D-A26F-9CB4C6CB84E6}"/>
              </c:ext>
            </c:extLst>
          </c:dPt>
          <c:dPt>
            <c:idx val="1"/>
            <c:invertIfNegative val="0"/>
            <c:bubble3D val="0"/>
            <c:spPr>
              <a:solidFill>
                <a:schemeClr val="accent6">
                  <a:lumMod val="50000"/>
                </a:schemeClr>
              </a:solidFill>
              <a:ln>
                <a:noFill/>
              </a:ln>
              <a:effectLst/>
            </c:spPr>
            <c:extLst>
              <c:ext xmlns:c16="http://schemas.microsoft.com/office/drawing/2014/chart" uri="{C3380CC4-5D6E-409C-BE32-E72D297353CC}">
                <c16:uniqueId val="{00000001-1E8B-494D-A26F-9CB4C6CB84E6}"/>
              </c:ext>
            </c:extLst>
          </c:dPt>
          <c:dLbls>
            <c:dLbl>
              <c:idx val="0"/>
              <c:layout>
                <c:manualLayout>
                  <c:x val="-5.5555555555555558E-3"/>
                  <c:y val="-9.259259259259250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E8B-494D-A26F-9CB4C6CB84E6}"/>
                </c:ext>
              </c:extLst>
            </c:dLbl>
            <c:dLbl>
              <c:idx val="1"/>
              <c:layout>
                <c:manualLayout>
                  <c:x val="0"/>
                  <c:y val="-6.4814814814814811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E8B-494D-A26F-9CB4C6CB84E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bp!$A$4:$A$14</c:f>
              <c:strCache>
                <c:ptCount val="10"/>
                <c:pt idx="0">
                  <c:v>24-33</c:v>
                </c:pt>
                <c:pt idx="1">
                  <c:v>34-43</c:v>
                </c:pt>
                <c:pt idx="2">
                  <c:v>44-53</c:v>
                </c:pt>
                <c:pt idx="3">
                  <c:v>54-63</c:v>
                </c:pt>
                <c:pt idx="4">
                  <c:v>64-73</c:v>
                </c:pt>
                <c:pt idx="5">
                  <c:v>74-83</c:v>
                </c:pt>
                <c:pt idx="6">
                  <c:v>84-93</c:v>
                </c:pt>
                <c:pt idx="7">
                  <c:v>94-103</c:v>
                </c:pt>
                <c:pt idx="8">
                  <c:v>104-113</c:v>
                </c:pt>
                <c:pt idx="9">
                  <c:v>114-123</c:v>
                </c:pt>
              </c:strCache>
            </c:strRef>
          </c:cat>
          <c:val>
            <c:numRef>
              <c:f>bp!$B$4:$B$14</c:f>
              <c:numCache>
                <c:formatCode>General</c:formatCode>
                <c:ptCount val="10"/>
                <c:pt idx="0">
                  <c:v>1</c:v>
                </c:pt>
                <c:pt idx="1">
                  <c:v>1</c:v>
                </c:pt>
                <c:pt idx="2">
                  <c:v>9</c:v>
                </c:pt>
                <c:pt idx="3">
                  <c:v>22</c:v>
                </c:pt>
                <c:pt idx="4">
                  <c:v>92</c:v>
                </c:pt>
                <c:pt idx="5">
                  <c:v>79</c:v>
                </c:pt>
                <c:pt idx="6">
                  <c:v>49</c:v>
                </c:pt>
                <c:pt idx="7">
                  <c:v>8</c:v>
                </c:pt>
                <c:pt idx="8">
                  <c:v>6</c:v>
                </c:pt>
                <c:pt idx="9">
                  <c:v>1</c:v>
                </c:pt>
              </c:numCache>
            </c:numRef>
          </c:val>
          <c:extLst>
            <c:ext xmlns:c16="http://schemas.microsoft.com/office/drawing/2014/chart" uri="{C3380CC4-5D6E-409C-BE32-E72D297353CC}">
              <c16:uniqueId val="{00000002-1E8B-494D-A26F-9CB4C6CB84E6}"/>
            </c:ext>
          </c:extLst>
        </c:ser>
        <c:dLbls>
          <c:dLblPos val="ctr"/>
          <c:showLegendKey val="0"/>
          <c:showVal val="1"/>
          <c:showCatName val="0"/>
          <c:showSerName val="0"/>
          <c:showPercent val="0"/>
          <c:showBubbleSize val="0"/>
        </c:dLbls>
        <c:gapWidth val="150"/>
        <c:overlap val="100"/>
        <c:axId val="1989810191"/>
        <c:axId val="1989811151"/>
      </c:barChart>
      <c:catAx>
        <c:axId val="1989810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89811151"/>
        <c:crosses val="autoZero"/>
        <c:auto val="1"/>
        <c:lblAlgn val="ctr"/>
        <c:lblOffset val="100"/>
        <c:noMultiLvlLbl val="0"/>
      </c:catAx>
      <c:valAx>
        <c:axId val="1989811151"/>
        <c:scaling>
          <c:orientation val="minMax"/>
        </c:scaling>
        <c:delete val="1"/>
        <c:axPos val="l"/>
        <c:numFmt formatCode="General" sourceLinked="1"/>
        <c:majorTickMark val="none"/>
        <c:minorTickMark val="none"/>
        <c:tickLblPos val="nextTo"/>
        <c:crossAx val="1989810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[diabetes.xlsm]Ach1!PivotTable2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baseline="0">
                <a:solidFill>
                  <a:schemeClr val="tx1"/>
                </a:solidFill>
              </a:rPr>
              <a:t>Diabetic Patients vs Diabetic Patients with High BMI </a:t>
            </a:r>
            <a:endParaRPr lang="en-IN" sz="1200" b="1">
              <a:solidFill>
                <a:schemeClr val="tx1"/>
              </a:solidFill>
            </a:endParaRPr>
          </a:p>
        </c:rich>
      </c:tx>
      <c:layout>
        <c:manualLayout>
          <c:xMode val="edge"/>
          <c:yMode val="edge"/>
          <c:x val="0.11314606481481482"/>
          <c:y val="8.009259259259259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'Ach1'!$A$3</c:f>
              <c:strCache>
                <c:ptCount val="1"/>
                <c:pt idx="0">
                  <c:v>Sum of Outcome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'Ach1'!$A$4</c:f>
              <c:strCache>
                <c:ptCount val="1"/>
                <c:pt idx="0">
                  <c:v>Total</c:v>
                </c:pt>
              </c:strCache>
            </c:strRef>
          </c:cat>
          <c:val>
            <c:numRef>
              <c:f>'Ach1'!$A$4</c:f>
              <c:numCache>
                <c:formatCode>General</c:formatCode>
                <c:ptCount val="1"/>
                <c:pt idx="0">
                  <c:v>268</c:v>
                </c:pt>
              </c:numCache>
            </c:numRef>
          </c:val>
          <c:extLst>
            <c:ext xmlns:c16="http://schemas.microsoft.com/office/drawing/2014/chart" uri="{C3380CC4-5D6E-409C-BE32-E72D297353CC}">
              <c16:uniqueId val="{00000000-6D06-4DD0-8DB8-A8527BA53484}"/>
            </c:ext>
          </c:extLst>
        </c:ser>
        <c:ser>
          <c:idx val="1"/>
          <c:order val="1"/>
          <c:tx>
            <c:strRef>
              <c:f>'Ach1'!$B$3</c:f>
              <c:strCache>
                <c:ptCount val="1"/>
                <c:pt idx="0">
                  <c:v>Sum of BMI+Outcome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'Ach1'!$A$4</c:f>
              <c:strCache>
                <c:ptCount val="1"/>
                <c:pt idx="0">
                  <c:v>Total</c:v>
                </c:pt>
              </c:strCache>
            </c:strRef>
          </c:cat>
          <c:val>
            <c:numRef>
              <c:f>'Ach1'!$B$4</c:f>
              <c:numCache>
                <c:formatCode>General</c:formatCode>
                <c:ptCount val="1"/>
                <c:pt idx="0">
                  <c:v>268</c:v>
                </c:pt>
              </c:numCache>
            </c:numRef>
          </c:val>
          <c:extLst>
            <c:ext xmlns:c16="http://schemas.microsoft.com/office/drawing/2014/chart" uri="{C3380CC4-5D6E-409C-BE32-E72D297353CC}">
              <c16:uniqueId val="{00000001-6D06-4DD0-8DB8-A8527BA53484}"/>
            </c:ext>
          </c:extLst>
        </c:ser>
        <c:dLbls>
          <c:showLegendKey val="0"/>
          <c:showVal val="0"/>
          <c:showCatName val="0"/>
          <c:showSerName val="0"/>
          <c:showPercent val="0"/>
          <c:showBubbleSize val="0"/>
        </c:dLbls>
        <c:gapWidth val="219"/>
        <c:overlap val="-27"/>
        <c:axId val="1620632320"/>
        <c:axId val="1620632800"/>
      </c:barChart>
      <c:catAx>
        <c:axId val="1620632320"/>
        <c:scaling>
          <c:orientation val="minMax"/>
        </c:scaling>
        <c:delete val="1"/>
        <c:axPos val="b"/>
        <c:numFmt formatCode="General" sourceLinked="1"/>
        <c:majorTickMark val="none"/>
        <c:minorTickMark val="none"/>
        <c:tickLblPos val="nextTo"/>
        <c:crossAx val="1620632800"/>
        <c:crosses val="autoZero"/>
        <c:auto val="1"/>
        <c:lblAlgn val="ctr"/>
        <c:lblOffset val="100"/>
        <c:noMultiLvlLbl val="0"/>
      </c:catAx>
      <c:valAx>
        <c:axId val="1620632800"/>
        <c:scaling>
          <c:orientation val="minMax"/>
        </c:scaling>
        <c:delete val="1"/>
        <c:axPos val="l"/>
        <c:numFmt formatCode="General" sourceLinked="1"/>
        <c:majorTickMark val="none"/>
        <c:minorTickMark val="none"/>
        <c:tickLblPos val="nextTo"/>
        <c:crossAx val="1620632320"/>
        <c:crosses val="autoZero"/>
        <c:crossBetween val="between"/>
      </c:valAx>
      <c:spPr>
        <a:noFill/>
        <a:ln>
          <a:noFill/>
        </a:ln>
        <a:effectLst/>
      </c:spPr>
    </c:plotArea>
    <c:legend>
      <c:legendPos val="r"/>
      <c:layout>
        <c:manualLayout>
          <c:xMode val="edge"/>
          <c:yMode val="edge"/>
          <c:x val="0.79786964129483828"/>
          <c:y val="0.24152704870224556"/>
          <c:w val="0.18546369203849519"/>
          <c:h val="0.6840288713910762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[diabetes.xlsm]Ach2!PivotTable3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baseline="0">
                <a:solidFill>
                  <a:schemeClr val="tx1"/>
                </a:solidFill>
              </a:rPr>
              <a:t>Diabetic Patients vs Diabetic Patients with High BMI and High Glucose</a:t>
            </a:r>
            <a:endParaRPr lang="en-IN" sz="1200" b="1">
              <a:solidFill>
                <a:schemeClr val="tx1"/>
              </a:solidFill>
            </a:endParaRPr>
          </a:p>
        </c:rich>
      </c:tx>
      <c:layout>
        <c:manualLayout>
          <c:xMode val="edge"/>
          <c:yMode val="edge"/>
          <c:x val="9.732986111111111E-2"/>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'Ach2'!$A$3</c:f>
              <c:strCache>
                <c:ptCount val="1"/>
                <c:pt idx="0">
                  <c:v>Sum of Outcome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'Ach2'!$A$4</c:f>
              <c:strCache>
                <c:ptCount val="1"/>
                <c:pt idx="0">
                  <c:v>Total</c:v>
                </c:pt>
              </c:strCache>
            </c:strRef>
          </c:cat>
          <c:val>
            <c:numRef>
              <c:f>'Ach2'!$A$4</c:f>
              <c:numCache>
                <c:formatCode>General</c:formatCode>
                <c:ptCount val="1"/>
                <c:pt idx="0">
                  <c:v>268</c:v>
                </c:pt>
              </c:numCache>
            </c:numRef>
          </c:val>
          <c:extLst>
            <c:ext xmlns:c16="http://schemas.microsoft.com/office/drawing/2014/chart" uri="{C3380CC4-5D6E-409C-BE32-E72D297353CC}">
              <c16:uniqueId val="{00000000-B783-4842-B919-6C4F1F505BF2}"/>
            </c:ext>
          </c:extLst>
        </c:ser>
        <c:ser>
          <c:idx val="1"/>
          <c:order val="1"/>
          <c:tx>
            <c:strRef>
              <c:f>'Ach2'!$B$3</c:f>
              <c:strCache>
                <c:ptCount val="1"/>
                <c:pt idx="0">
                  <c:v>Sum of (BMI+Outcome) + Glucose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'Ach2'!$A$4</c:f>
              <c:strCache>
                <c:ptCount val="1"/>
                <c:pt idx="0">
                  <c:v>Total</c:v>
                </c:pt>
              </c:strCache>
            </c:strRef>
          </c:cat>
          <c:val>
            <c:numRef>
              <c:f>'Ach2'!$B$4</c:f>
              <c:numCache>
                <c:formatCode>General</c:formatCode>
                <c:ptCount val="1"/>
                <c:pt idx="0">
                  <c:v>254</c:v>
                </c:pt>
              </c:numCache>
            </c:numRef>
          </c:val>
          <c:extLst>
            <c:ext xmlns:c16="http://schemas.microsoft.com/office/drawing/2014/chart" uri="{C3380CC4-5D6E-409C-BE32-E72D297353CC}">
              <c16:uniqueId val="{00000001-B783-4842-B919-6C4F1F505BF2}"/>
            </c:ext>
          </c:extLst>
        </c:ser>
        <c:dLbls>
          <c:showLegendKey val="0"/>
          <c:showVal val="0"/>
          <c:showCatName val="0"/>
          <c:showSerName val="0"/>
          <c:showPercent val="0"/>
          <c:showBubbleSize val="0"/>
        </c:dLbls>
        <c:gapWidth val="219"/>
        <c:overlap val="-27"/>
        <c:axId val="206462368"/>
        <c:axId val="206483488"/>
      </c:barChart>
      <c:catAx>
        <c:axId val="206462368"/>
        <c:scaling>
          <c:orientation val="minMax"/>
        </c:scaling>
        <c:delete val="1"/>
        <c:axPos val="b"/>
        <c:numFmt formatCode="General" sourceLinked="1"/>
        <c:majorTickMark val="none"/>
        <c:minorTickMark val="none"/>
        <c:tickLblPos val="nextTo"/>
        <c:crossAx val="206483488"/>
        <c:crosses val="autoZero"/>
        <c:auto val="1"/>
        <c:lblAlgn val="ctr"/>
        <c:lblOffset val="100"/>
        <c:noMultiLvlLbl val="0"/>
      </c:catAx>
      <c:valAx>
        <c:axId val="206483488"/>
        <c:scaling>
          <c:orientation val="minMax"/>
        </c:scaling>
        <c:delete val="1"/>
        <c:axPos val="l"/>
        <c:numFmt formatCode="General" sourceLinked="1"/>
        <c:majorTickMark val="none"/>
        <c:minorTickMark val="none"/>
        <c:tickLblPos val="nextTo"/>
        <c:crossAx val="206462368"/>
        <c:crosses val="autoZero"/>
        <c:crossBetween val="between"/>
      </c:valAx>
      <c:spPr>
        <a:noFill/>
        <a:ln>
          <a:noFill/>
        </a:ln>
        <a:effectLst/>
      </c:spPr>
    </c:plotArea>
    <c:legend>
      <c:legendPos val="r"/>
      <c:layout>
        <c:manualLayout>
          <c:xMode val="edge"/>
          <c:yMode val="edge"/>
          <c:x val="0.72293897637795268"/>
          <c:y val="0.20043853893263341"/>
          <c:w val="0.2603943569553806"/>
          <c:h val="0.710650335374744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[diabetes.xlsm]Ach3!PivotTable4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100" b="1">
                <a:solidFill>
                  <a:schemeClr val="tx1"/>
                </a:solidFill>
              </a:rPr>
              <a:t>Diabetic</a:t>
            </a:r>
            <a:r>
              <a:rPr lang="en-IN" sz="1100" b="1" baseline="0">
                <a:solidFill>
                  <a:schemeClr val="tx1"/>
                </a:solidFill>
              </a:rPr>
              <a:t> Patients vs Diabetic Patients with High Glucose</a:t>
            </a:r>
            <a:endParaRPr lang="en-IN" sz="1100" b="1">
              <a:solidFill>
                <a:schemeClr val="tx1"/>
              </a:solidFill>
            </a:endParaRPr>
          </a:p>
        </c:rich>
      </c:tx>
      <c:layout>
        <c:manualLayout>
          <c:xMode val="edge"/>
          <c:yMode val="edge"/>
          <c:x val="0.11225671296296295"/>
          <c:y val="3.3796296296296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'Ach3'!$A$3</c:f>
              <c:strCache>
                <c:ptCount val="1"/>
                <c:pt idx="0">
                  <c:v>Sum of Outcome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'Ach3'!$A$4</c:f>
              <c:strCache>
                <c:ptCount val="1"/>
                <c:pt idx="0">
                  <c:v>Total</c:v>
                </c:pt>
              </c:strCache>
            </c:strRef>
          </c:cat>
          <c:val>
            <c:numRef>
              <c:f>'Ach3'!$A$4</c:f>
              <c:numCache>
                <c:formatCode>General</c:formatCode>
                <c:ptCount val="1"/>
                <c:pt idx="0">
                  <c:v>268</c:v>
                </c:pt>
              </c:numCache>
            </c:numRef>
          </c:val>
          <c:extLst>
            <c:ext xmlns:c16="http://schemas.microsoft.com/office/drawing/2014/chart" uri="{C3380CC4-5D6E-409C-BE32-E72D297353CC}">
              <c16:uniqueId val="{00000000-2326-4B1D-BE27-0D47F4C24610}"/>
            </c:ext>
          </c:extLst>
        </c:ser>
        <c:ser>
          <c:idx val="1"/>
          <c:order val="1"/>
          <c:tx>
            <c:strRef>
              <c:f>'Ach3'!$B$3</c:f>
              <c:strCache>
                <c:ptCount val="1"/>
                <c:pt idx="0">
                  <c:v>Sum of Glucose+Outcome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'Ach3'!$A$4</c:f>
              <c:strCache>
                <c:ptCount val="1"/>
                <c:pt idx="0">
                  <c:v>Total</c:v>
                </c:pt>
              </c:strCache>
            </c:strRef>
          </c:cat>
          <c:val>
            <c:numRef>
              <c:f>'Ach3'!$B$4</c:f>
              <c:numCache>
                <c:formatCode>General</c:formatCode>
                <c:ptCount val="1"/>
                <c:pt idx="0">
                  <c:v>254</c:v>
                </c:pt>
              </c:numCache>
            </c:numRef>
          </c:val>
          <c:extLst>
            <c:ext xmlns:c16="http://schemas.microsoft.com/office/drawing/2014/chart" uri="{C3380CC4-5D6E-409C-BE32-E72D297353CC}">
              <c16:uniqueId val="{00000001-2326-4B1D-BE27-0D47F4C24610}"/>
            </c:ext>
          </c:extLst>
        </c:ser>
        <c:dLbls>
          <c:showLegendKey val="0"/>
          <c:showVal val="0"/>
          <c:showCatName val="0"/>
          <c:showSerName val="0"/>
          <c:showPercent val="0"/>
          <c:showBubbleSize val="0"/>
        </c:dLbls>
        <c:gapWidth val="219"/>
        <c:overlap val="-27"/>
        <c:axId val="206464768"/>
        <c:axId val="206460928"/>
      </c:barChart>
      <c:catAx>
        <c:axId val="206464768"/>
        <c:scaling>
          <c:orientation val="minMax"/>
        </c:scaling>
        <c:delete val="1"/>
        <c:axPos val="b"/>
        <c:numFmt formatCode="General" sourceLinked="1"/>
        <c:majorTickMark val="none"/>
        <c:minorTickMark val="none"/>
        <c:tickLblPos val="nextTo"/>
        <c:crossAx val="206460928"/>
        <c:crosses val="autoZero"/>
        <c:auto val="1"/>
        <c:lblAlgn val="ctr"/>
        <c:lblOffset val="100"/>
        <c:noMultiLvlLbl val="0"/>
      </c:catAx>
      <c:valAx>
        <c:axId val="206460928"/>
        <c:scaling>
          <c:orientation val="minMax"/>
        </c:scaling>
        <c:delete val="1"/>
        <c:axPos val="l"/>
        <c:numFmt formatCode="General" sourceLinked="1"/>
        <c:majorTickMark val="none"/>
        <c:minorTickMark val="none"/>
        <c:tickLblPos val="nextTo"/>
        <c:crossAx val="206464768"/>
        <c:crosses val="autoZero"/>
        <c:crossBetween val="between"/>
      </c:valAx>
      <c:spPr>
        <a:noFill/>
        <a:ln>
          <a:noFill/>
        </a:ln>
        <a:effectLst/>
      </c:spPr>
    </c:plotArea>
    <c:legend>
      <c:legendPos val="r"/>
      <c:layout>
        <c:manualLayout>
          <c:xMode val="edge"/>
          <c:yMode val="edge"/>
          <c:x val="0.76407786526684163"/>
          <c:y val="0.12557815689705457"/>
          <c:w val="0.21925546806649171"/>
          <c:h val="0.79513998250218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[diabetes.xlsm]A2ch1!PivotTable2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Glucose</a:t>
            </a:r>
            <a:r>
              <a:rPr lang="en-US" b="1" baseline="0">
                <a:solidFill>
                  <a:schemeClr val="tx1"/>
                </a:solidFill>
              </a:rPr>
              <a:t> By Age Group Range</a:t>
            </a:r>
            <a:endParaRPr lang="en-US" b="1">
              <a:solidFill>
                <a:schemeClr val="tx1"/>
              </a:solidFill>
            </a:endParaRPr>
          </a:p>
        </c:rich>
      </c:tx>
      <c:layout>
        <c:manualLayout>
          <c:xMode val="edge"/>
          <c:yMode val="edge"/>
          <c:x val="0.22928971962616823"/>
          <c:y val="9.2592592592592605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A2ch1!$B$3</c:f>
              <c:strCache>
                <c:ptCount val="1"/>
                <c:pt idx="0">
                  <c:v>Total</c:v>
                </c:pt>
              </c:strCache>
            </c:strRef>
          </c:tx>
          <c:spPr>
            <a:solidFill>
              <a:srgbClr val="006ABE"/>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A2ch1!$A$4:$A$9</c:f>
              <c:strCache>
                <c:ptCount val="6"/>
                <c:pt idx="0">
                  <c:v>21-30</c:v>
                </c:pt>
                <c:pt idx="1">
                  <c:v>31-40</c:v>
                </c:pt>
                <c:pt idx="2">
                  <c:v>41-50</c:v>
                </c:pt>
                <c:pt idx="3">
                  <c:v>51-60</c:v>
                </c:pt>
                <c:pt idx="4">
                  <c:v>61-70</c:v>
                </c:pt>
                <c:pt idx="5">
                  <c:v>71-81</c:v>
                </c:pt>
              </c:strCache>
            </c:strRef>
          </c:cat>
          <c:val>
            <c:numRef>
              <c:f>A2ch1!$B$4:$B$9</c:f>
              <c:numCache>
                <c:formatCode>0.00%</c:formatCode>
                <c:ptCount val="6"/>
                <c:pt idx="0">
                  <c:v>0.51335444934297825</c:v>
                </c:pt>
                <c:pt idx="1">
                  <c:v>0.2132752643068099</c:v>
                </c:pt>
                <c:pt idx="2">
                  <c:v>0.15230278645721868</c:v>
                </c:pt>
                <c:pt idx="3">
                  <c:v>8.1560587253349318E-2</c:v>
                </c:pt>
                <c:pt idx="4">
                  <c:v>3.6799640457133076E-2</c:v>
                </c:pt>
                <c:pt idx="5">
                  <c:v>2.7072721825108078E-3</c:v>
                </c:pt>
              </c:numCache>
            </c:numRef>
          </c:val>
          <c:extLst>
            <c:ext xmlns:c16="http://schemas.microsoft.com/office/drawing/2014/chart" uri="{C3380CC4-5D6E-409C-BE32-E72D297353CC}">
              <c16:uniqueId val="{00000000-4E08-46A7-A1FD-E4F9A328A2AA}"/>
            </c:ext>
          </c:extLst>
        </c:ser>
        <c:dLbls>
          <c:showLegendKey val="0"/>
          <c:showVal val="0"/>
          <c:showCatName val="0"/>
          <c:showSerName val="0"/>
          <c:showPercent val="0"/>
          <c:showBubbleSize val="0"/>
        </c:dLbls>
        <c:gapWidth val="219"/>
        <c:overlap val="-27"/>
        <c:axId val="825209439"/>
        <c:axId val="825209919"/>
      </c:barChart>
      <c:catAx>
        <c:axId val="825209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25209919"/>
        <c:crosses val="autoZero"/>
        <c:auto val="1"/>
        <c:lblAlgn val="ctr"/>
        <c:lblOffset val="100"/>
        <c:noMultiLvlLbl val="0"/>
      </c:catAx>
      <c:valAx>
        <c:axId val="825209919"/>
        <c:scaling>
          <c:orientation val="minMax"/>
        </c:scaling>
        <c:delete val="1"/>
        <c:axPos val="l"/>
        <c:numFmt formatCode="0.00%" sourceLinked="1"/>
        <c:majorTickMark val="none"/>
        <c:minorTickMark val="none"/>
        <c:tickLblPos val="nextTo"/>
        <c:crossAx val="8252094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[diabetes.xlsm]A2ch2!PivotTable1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BMI</a:t>
            </a:r>
            <a:r>
              <a:rPr lang="en-US" b="1" baseline="0">
                <a:solidFill>
                  <a:schemeClr val="tx1"/>
                </a:solidFill>
              </a:rPr>
              <a:t> By Age Group Range</a:t>
            </a:r>
            <a:endParaRPr lang="en-US" b="1">
              <a:solidFill>
                <a:schemeClr val="tx1"/>
              </a:solidFill>
            </a:endParaRPr>
          </a:p>
        </c:rich>
      </c:tx>
      <c:layout>
        <c:manualLayout>
          <c:xMode val="edge"/>
          <c:yMode val="edge"/>
          <c:x val="0.25968613707165111"/>
          <c:y val="5.879629629629629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6AB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6AB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A2ch2!$B$3</c:f>
              <c:strCache>
                <c:ptCount val="1"/>
                <c:pt idx="0">
                  <c:v>Total</c:v>
                </c:pt>
              </c:strCache>
            </c:strRef>
          </c:tx>
          <c:spPr>
            <a:solidFill>
              <a:srgbClr val="006AB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A2ch2!$A$4:$A$9</c:f>
              <c:strCache>
                <c:ptCount val="6"/>
                <c:pt idx="0">
                  <c:v>21-30</c:v>
                </c:pt>
                <c:pt idx="1">
                  <c:v>31-40</c:v>
                </c:pt>
                <c:pt idx="2">
                  <c:v>41-50</c:v>
                </c:pt>
                <c:pt idx="3">
                  <c:v>51-60</c:v>
                </c:pt>
                <c:pt idx="4">
                  <c:v>61-70</c:v>
                </c:pt>
                <c:pt idx="5">
                  <c:v>71-81</c:v>
                </c:pt>
              </c:strCache>
            </c:strRef>
          </c:cat>
          <c:val>
            <c:numRef>
              <c:f>A2ch2!$B$4:$B$9</c:f>
              <c:numCache>
                <c:formatCode>0.00%</c:formatCode>
                <c:ptCount val="6"/>
                <c:pt idx="0">
                  <c:v>0.40181754083591209</c:v>
                </c:pt>
                <c:pt idx="1">
                  <c:v>0.21614634337420188</c:v>
                </c:pt>
                <c:pt idx="2">
                  <c:v>0.19620823377335578</c:v>
                </c:pt>
                <c:pt idx="3">
                  <c:v>0.1162991108151514</c:v>
                </c:pt>
                <c:pt idx="4">
                  <c:v>6.3535586979513489E-2</c:v>
                </c:pt>
                <c:pt idx="5">
                  <c:v>5.9931842218653294E-3</c:v>
                </c:pt>
              </c:numCache>
            </c:numRef>
          </c:val>
          <c:extLst>
            <c:ext xmlns:c16="http://schemas.microsoft.com/office/drawing/2014/chart" uri="{C3380CC4-5D6E-409C-BE32-E72D297353CC}">
              <c16:uniqueId val="{00000000-0B20-46E4-90FB-CEC4757A9CD3}"/>
            </c:ext>
          </c:extLst>
        </c:ser>
        <c:dLbls>
          <c:showLegendKey val="0"/>
          <c:showVal val="0"/>
          <c:showCatName val="0"/>
          <c:showSerName val="0"/>
          <c:showPercent val="0"/>
          <c:showBubbleSize val="0"/>
        </c:dLbls>
        <c:gapWidth val="219"/>
        <c:overlap val="-27"/>
        <c:axId val="825238719"/>
        <c:axId val="825228639"/>
      </c:barChart>
      <c:catAx>
        <c:axId val="8252387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25228639"/>
        <c:crosses val="autoZero"/>
        <c:auto val="1"/>
        <c:lblAlgn val="ctr"/>
        <c:lblOffset val="100"/>
        <c:noMultiLvlLbl val="0"/>
      </c:catAx>
      <c:valAx>
        <c:axId val="825228639"/>
        <c:scaling>
          <c:orientation val="minMax"/>
        </c:scaling>
        <c:delete val="1"/>
        <c:axPos val="l"/>
        <c:numFmt formatCode="0.00%" sourceLinked="1"/>
        <c:majorTickMark val="none"/>
        <c:minorTickMark val="none"/>
        <c:tickLblPos val="nextTo"/>
        <c:crossAx val="825238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[diabetes.xlsm]A2ch3!PivotTable2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tx1"/>
                </a:solidFill>
              </a:rPr>
              <a:t>DiabetesPedigreeFunction</a:t>
            </a:r>
            <a:r>
              <a:rPr lang="en-US" sz="1200" b="1" baseline="0">
                <a:solidFill>
                  <a:schemeClr val="tx1"/>
                </a:solidFill>
              </a:rPr>
              <a:t> By Age Group Range</a:t>
            </a:r>
            <a:endParaRPr lang="en-US" sz="1200" b="1">
              <a:solidFill>
                <a:schemeClr val="tx1"/>
              </a:solidFill>
            </a:endParaRPr>
          </a:p>
        </c:rich>
      </c:tx>
      <c:layout>
        <c:manualLayout>
          <c:xMode val="edge"/>
          <c:yMode val="edge"/>
          <c:x val="9.3074247144340622E-2"/>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A2ch3!$B$3</c:f>
              <c:strCache>
                <c:ptCount val="1"/>
                <c:pt idx="0">
                  <c:v>Total</c:v>
                </c:pt>
              </c:strCache>
            </c:strRef>
          </c:tx>
          <c:spPr>
            <a:solidFill>
              <a:srgbClr val="006ABE"/>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A2ch3!$A$4:$A$10</c:f>
              <c:strCache>
                <c:ptCount val="6"/>
                <c:pt idx="0">
                  <c:v>21-30</c:v>
                </c:pt>
                <c:pt idx="1">
                  <c:v>31-40</c:v>
                </c:pt>
                <c:pt idx="2">
                  <c:v>41-50</c:v>
                </c:pt>
                <c:pt idx="3">
                  <c:v>51-60</c:v>
                </c:pt>
                <c:pt idx="4">
                  <c:v>61-70</c:v>
                </c:pt>
                <c:pt idx="5">
                  <c:v>71-81</c:v>
                </c:pt>
              </c:strCache>
            </c:strRef>
          </c:cat>
          <c:val>
            <c:numRef>
              <c:f>A2ch3!$B$4:$B$10</c:f>
              <c:numCache>
                <c:formatCode>0.00%</c:formatCode>
                <c:ptCount val="6"/>
                <c:pt idx="0">
                  <c:v>0.54335408062358259</c:v>
                </c:pt>
                <c:pt idx="1">
                  <c:v>0.20394974114362127</c:v>
                </c:pt>
                <c:pt idx="2">
                  <c:v>0.14715257983828728</c:v>
                </c:pt>
                <c:pt idx="3">
                  <c:v>7.0362398929672554E-2</c:v>
                </c:pt>
                <c:pt idx="4">
                  <c:v>3.2575184689663229E-2</c:v>
                </c:pt>
                <c:pt idx="5">
                  <c:v>2.6060147751730579E-3</c:v>
                </c:pt>
              </c:numCache>
            </c:numRef>
          </c:val>
          <c:extLst>
            <c:ext xmlns:c16="http://schemas.microsoft.com/office/drawing/2014/chart" uri="{C3380CC4-5D6E-409C-BE32-E72D297353CC}">
              <c16:uniqueId val="{00000000-8A1D-45B3-BDD8-3CD51F0F1C16}"/>
            </c:ext>
          </c:extLst>
        </c:ser>
        <c:dLbls>
          <c:showLegendKey val="0"/>
          <c:showVal val="0"/>
          <c:showCatName val="0"/>
          <c:showSerName val="0"/>
          <c:showPercent val="0"/>
          <c:showBubbleSize val="0"/>
        </c:dLbls>
        <c:gapWidth val="150"/>
        <c:overlap val="100"/>
        <c:axId val="825212319"/>
        <c:axId val="825229599"/>
      </c:barChart>
      <c:catAx>
        <c:axId val="825212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25229599"/>
        <c:crosses val="autoZero"/>
        <c:auto val="1"/>
        <c:lblAlgn val="ctr"/>
        <c:lblOffset val="100"/>
        <c:noMultiLvlLbl val="0"/>
      </c:catAx>
      <c:valAx>
        <c:axId val="825229599"/>
        <c:scaling>
          <c:orientation val="minMax"/>
        </c:scaling>
        <c:delete val="1"/>
        <c:axPos val="l"/>
        <c:numFmt formatCode="0.00%" sourceLinked="1"/>
        <c:majorTickMark val="none"/>
        <c:minorTickMark val="none"/>
        <c:tickLblPos val="nextTo"/>
        <c:crossAx val="8252123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[diabetes.xlsm]A2ch4!PivotTable3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Insulin</a:t>
            </a:r>
            <a:r>
              <a:rPr lang="en-US" b="1" baseline="0">
                <a:solidFill>
                  <a:schemeClr val="tx1"/>
                </a:solidFill>
              </a:rPr>
              <a:t> By Age Group Range</a:t>
            </a:r>
            <a:endParaRPr lang="en-US" b="1">
              <a:solidFill>
                <a:schemeClr val="tx1"/>
              </a:solidFill>
            </a:endParaRPr>
          </a:p>
        </c:rich>
      </c:tx>
      <c:layout>
        <c:manualLayout>
          <c:xMode val="edge"/>
          <c:yMode val="edge"/>
          <c:x val="0.23898831775700935"/>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A2ch4!$B$3</c:f>
              <c:strCache>
                <c:ptCount val="1"/>
                <c:pt idx="0">
                  <c:v>Total</c:v>
                </c:pt>
              </c:strCache>
            </c:strRef>
          </c:tx>
          <c:spPr>
            <a:solidFill>
              <a:srgbClr val="006ABE"/>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A2ch4!$A$4:$A$9</c:f>
              <c:strCache>
                <c:ptCount val="6"/>
                <c:pt idx="0">
                  <c:v>21-30</c:v>
                </c:pt>
                <c:pt idx="1">
                  <c:v>31-40</c:v>
                </c:pt>
                <c:pt idx="2">
                  <c:v>41-50</c:v>
                </c:pt>
                <c:pt idx="3">
                  <c:v>51-60</c:v>
                </c:pt>
                <c:pt idx="4">
                  <c:v>61-70</c:v>
                </c:pt>
                <c:pt idx="5">
                  <c:v>71-81</c:v>
                </c:pt>
              </c:strCache>
            </c:strRef>
          </c:cat>
          <c:val>
            <c:numRef>
              <c:f>A2ch4!$B$4:$B$9</c:f>
              <c:numCache>
                <c:formatCode>0.00%</c:formatCode>
                <c:ptCount val="6"/>
                <c:pt idx="0">
                  <c:v>0.53193868824419444</c:v>
                </c:pt>
                <c:pt idx="1">
                  <c:v>0.20484397956274805</c:v>
                </c:pt>
                <c:pt idx="2">
                  <c:v>0.13695370918579919</c:v>
                </c:pt>
                <c:pt idx="3">
                  <c:v>0.10049777426923667</c:v>
                </c:pt>
                <c:pt idx="4">
                  <c:v>2.4230862004692672E-2</c:v>
                </c:pt>
                <c:pt idx="5">
                  <c:v>1.5349867333289476E-3</c:v>
                </c:pt>
              </c:numCache>
            </c:numRef>
          </c:val>
          <c:extLst>
            <c:ext xmlns:c16="http://schemas.microsoft.com/office/drawing/2014/chart" uri="{C3380CC4-5D6E-409C-BE32-E72D297353CC}">
              <c16:uniqueId val="{00000000-A1FE-4395-83B6-3BF207240D05}"/>
            </c:ext>
          </c:extLst>
        </c:ser>
        <c:dLbls>
          <c:showLegendKey val="0"/>
          <c:showVal val="0"/>
          <c:showCatName val="0"/>
          <c:showSerName val="0"/>
          <c:showPercent val="0"/>
          <c:showBubbleSize val="0"/>
        </c:dLbls>
        <c:gapWidth val="150"/>
        <c:overlap val="100"/>
        <c:axId val="1004851119"/>
        <c:axId val="1004859279"/>
      </c:barChart>
      <c:catAx>
        <c:axId val="1004851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004859279"/>
        <c:crosses val="autoZero"/>
        <c:auto val="1"/>
        <c:lblAlgn val="ctr"/>
        <c:lblOffset val="100"/>
        <c:noMultiLvlLbl val="0"/>
      </c:catAx>
      <c:valAx>
        <c:axId val="1004859279"/>
        <c:scaling>
          <c:orientation val="minMax"/>
        </c:scaling>
        <c:delete val="1"/>
        <c:axPos val="l"/>
        <c:numFmt formatCode="0.00%" sourceLinked="1"/>
        <c:majorTickMark val="none"/>
        <c:minorTickMark val="none"/>
        <c:tickLblPos val="nextTo"/>
        <c:crossAx val="10048511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[diabetes.xlsm]A2ch5!PivotTable4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Skin</a:t>
            </a:r>
            <a:r>
              <a:rPr lang="en-US" b="1" baseline="0">
                <a:solidFill>
                  <a:schemeClr val="tx1"/>
                </a:solidFill>
              </a:rPr>
              <a:t> Thickness By Age Group Range</a:t>
            </a:r>
            <a:endParaRPr lang="en-US" b="1">
              <a:solidFill>
                <a:schemeClr val="tx1"/>
              </a:solidFill>
            </a:endParaRPr>
          </a:p>
        </c:rich>
      </c:tx>
      <c:layout>
        <c:manualLayout>
          <c:xMode val="edge"/>
          <c:yMode val="edge"/>
          <c:x val="0.14996443406022844"/>
          <c:y val="8.009259259259257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A2ch5!$B$3</c:f>
              <c:strCache>
                <c:ptCount val="1"/>
                <c:pt idx="0">
                  <c:v>Total</c:v>
                </c:pt>
              </c:strCache>
            </c:strRef>
          </c:tx>
          <c:spPr>
            <a:solidFill>
              <a:srgbClr val="006ABE"/>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A2ch5!$A$4:$A$9</c:f>
              <c:strCache>
                <c:ptCount val="6"/>
                <c:pt idx="0">
                  <c:v>21-30</c:v>
                </c:pt>
                <c:pt idx="1">
                  <c:v>31-40</c:v>
                </c:pt>
                <c:pt idx="2">
                  <c:v>41-50</c:v>
                </c:pt>
                <c:pt idx="3">
                  <c:v>51-60</c:v>
                </c:pt>
                <c:pt idx="4">
                  <c:v>61-70</c:v>
                </c:pt>
                <c:pt idx="5">
                  <c:v>71-81</c:v>
                </c:pt>
              </c:strCache>
            </c:strRef>
          </c:cat>
          <c:val>
            <c:numRef>
              <c:f>A2ch5!$B$4:$B$9</c:f>
              <c:numCache>
                <c:formatCode>0.00%</c:formatCode>
                <c:ptCount val="6"/>
                <c:pt idx="0">
                  <c:v>0.53454403817128393</c:v>
                </c:pt>
                <c:pt idx="1">
                  <c:v>0.2122303909635328</c:v>
                </c:pt>
                <c:pt idx="2">
                  <c:v>0.15064024538682508</c:v>
                </c:pt>
                <c:pt idx="3">
                  <c:v>6.8065631238132335E-2</c:v>
                </c:pt>
                <c:pt idx="4">
                  <c:v>3.189054968596329E-2</c:v>
                </c:pt>
                <c:pt idx="5">
                  <c:v>2.6291445542626223E-3</c:v>
                </c:pt>
              </c:numCache>
            </c:numRef>
          </c:val>
          <c:extLst>
            <c:ext xmlns:c16="http://schemas.microsoft.com/office/drawing/2014/chart" uri="{C3380CC4-5D6E-409C-BE32-E72D297353CC}">
              <c16:uniqueId val="{00000000-DF2C-4E7E-994D-6C8CF155687C}"/>
            </c:ext>
          </c:extLst>
        </c:ser>
        <c:dLbls>
          <c:showLegendKey val="0"/>
          <c:showVal val="0"/>
          <c:showCatName val="0"/>
          <c:showSerName val="0"/>
          <c:showPercent val="0"/>
          <c:showBubbleSize val="0"/>
        </c:dLbls>
        <c:gapWidth val="150"/>
        <c:overlap val="100"/>
        <c:axId val="1004854959"/>
        <c:axId val="1004838639"/>
      </c:barChart>
      <c:catAx>
        <c:axId val="1004854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004838639"/>
        <c:crosses val="autoZero"/>
        <c:auto val="1"/>
        <c:lblAlgn val="ctr"/>
        <c:lblOffset val="100"/>
        <c:noMultiLvlLbl val="0"/>
      </c:catAx>
      <c:valAx>
        <c:axId val="1004838639"/>
        <c:scaling>
          <c:orientation val="minMax"/>
        </c:scaling>
        <c:delete val="1"/>
        <c:axPos val="l"/>
        <c:numFmt formatCode="0.00%" sourceLinked="1"/>
        <c:majorTickMark val="none"/>
        <c:minorTickMark val="none"/>
        <c:tickLblPos val="nextTo"/>
        <c:crossAx val="100485495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[diabetes.xlsm]A2ch6!PivotTable5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BloodPressure</a:t>
            </a:r>
            <a:r>
              <a:rPr lang="en-US" b="1" baseline="0">
                <a:solidFill>
                  <a:schemeClr val="tx1"/>
                </a:solidFill>
              </a:rPr>
              <a:t> By Age Group Range</a:t>
            </a:r>
            <a:endParaRPr lang="en-US" b="1">
              <a:solidFill>
                <a:schemeClr val="tx1"/>
              </a:solidFill>
            </a:endParaRPr>
          </a:p>
        </c:rich>
      </c:tx>
      <c:layout>
        <c:manualLayout>
          <c:xMode val="edge"/>
          <c:yMode val="edge"/>
          <c:x val="0.15384164070612669"/>
          <c:y val="1.17592592592592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A2ch6!$B$3</c:f>
              <c:strCache>
                <c:ptCount val="1"/>
                <c:pt idx="0">
                  <c:v>Total</c:v>
                </c:pt>
              </c:strCache>
            </c:strRef>
          </c:tx>
          <c:spPr>
            <a:solidFill>
              <a:srgbClr val="006ABE"/>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A2ch6!$A$4:$A$10</c:f>
              <c:strCache>
                <c:ptCount val="6"/>
                <c:pt idx="0">
                  <c:v>21-30</c:v>
                </c:pt>
                <c:pt idx="1">
                  <c:v>31-40</c:v>
                </c:pt>
                <c:pt idx="2">
                  <c:v>41-50</c:v>
                </c:pt>
                <c:pt idx="3">
                  <c:v>51-60</c:v>
                </c:pt>
                <c:pt idx="4">
                  <c:v>61-70</c:v>
                </c:pt>
                <c:pt idx="5">
                  <c:v>71-81</c:v>
                </c:pt>
              </c:strCache>
            </c:strRef>
          </c:cat>
          <c:val>
            <c:numRef>
              <c:f>A2ch6!$B$4:$B$10</c:f>
              <c:numCache>
                <c:formatCode>0.00%</c:formatCode>
                <c:ptCount val="6"/>
                <c:pt idx="0">
                  <c:v>0.51827422145328716</c:v>
                </c:pt>
                <c:pt idx="1">
                  <c:v>0.20878388119953864</c:v>
                </c:pt>
                <c:pt idx="2">
                  <c:v>0.15727724913494809</c:v>
                </c:pt>
                <c:pt idx="3">
                  <c:v>7.790873702422145E-2</c:v>
                </c:pt>
                <c:pt idx="4">
                  <c:v>3.5178777393310268E-2</c:v>
                </c:pt>
                <c:pt idx="5">
                  <c:v>2.5771337946943482E-3</c:v>
                </c:pt>
              </c:numCache>
            </c:numRef>
          </c:val>
          <c:extLst>
            <c:ext xmlns:c16="http://schemas.microsoft.com/office/drawing/2014/chart" uri="{C3380CC4-5D6E-409C-BE32-E72D297353CC}">
              <c16:uniqueId val="{00000000-AA68-4BF5-8061-E93691B26C69}"/>
            </c:ext>
          </c:extLst>
        </c:ser>
        <c:dLbls>
          <c:showLegendKey val="0"/>
          <c:showVal val="0"/>
          <c:showCatName val="0"/>
          <c:showSerName val="0"/>
          <c:showPercent val="0"/>
          <c:showBubbleSize val="0"/>
        </c:dLbls>
        <c:gapWidth val="150"/>
        <c:overlap val="100"/>
        <c:axId val="1004865999"/>
        <c:axId val="1004813679"/>
      </c:barChart>
      <c:catAx>
        <c:axId val="100486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004813679"/>
        <c:crosses val="autoZero"/>
        <c:auto val="1"/>
        <c:lblAlgn val="ctr"/>
        <c:lblOffset val="100"/>
        <c:noMultiLvlLbl val="0"/>
      </c:catAx>
      <c:valAx>
        <c:axId val="1004813679"/>
        <c:scaling>
          <c:orientation val="minMax"/>
        </c:scaling>
        <c:delete val="1"/>
        <c:axPos val="l"/>
        <c:numFmt formatCode="0.00%" sourceLinked="1"/>
        <c:majorTickMark val="none"/>
        <c:minorTickMark val="none"/>
        <c:tickLblPos val="nextTo"/>
        <c:crossAx val="10048659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[diabetes.xlsm]Ach7!PivotTable6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Outcome</a:t>
            </a:r>
            <a:r>
              <a:rPr lang="en-US" b="1" baseline="0">
                <a:solidFill>
                  <a:schemeClr val="tx1"/>
                </a:solidFill>
              </a:rPr>
              <a:t> By Age Group Range</a:t>
            </a:r>
            <a:endParaRPr lang="en-US" b="1">
              <a:solidFill>
                <a:schemeClr val="tx1"/>
              </a:solidFill>
            </a:endParaRPr>
          </a:p>
        </c:rich>
      </c:tx>
      <c:layout>
        <c:manualLayout>
          <c:xMode val="edge"/>
          <c:yMode val="edge"/>
          <c:x val="0.25669444444444445"/>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6ABE"/>
          </a:solidFill>
          <a:ln>
            <a:noFill/>
          </a:ln>
          <a:effectLst/>
        </c:spPr>
        <c:dLbl>
          <c:idx val="0"/>
          <c:layout>
            <c:manualLayout>
              <c:x val="-3.1219272369714846E-3"/>
              <c:y val="-8.4927983539094656E-2"/>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6ABE"/>
          </a:solidFill>
          <a:ln>
            <a:noFill/>
          </a:ln>
          <a:effectLst/>
        </c:spPr>
        <c:dLbl>
          <c:idx val="0"/>
          <c:layout>
            <c:manualLayout>
              <c:x val="-3.1219272369715991E-3"/>
              <c:y val="-9.7993827160493943E-2"/>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'Ach7'!$B$3</c:f>
              <c:strCache>
                <c:ptCount val="1"/>
                <c:pt idx="0">
                  <c:v>Total</c:v>
                </c:pt>
              </c:strCache>
            </c:strRef>
          </c:tx>
          <c:spPr>
            <a:solidFill>
              <a:srgbClr val="006ABE"/>
            </a:solidFill>
            <a:ln>
              <a:noFill/>
            </a:ln>
            <a:effectLst/>
          </c:spPr>
          <c:invertIfNegative val="0"/>
          <c:dPt>
            <c:idx val="4"/>
            <c:invertIfNegative val="0"/>
            <c:bubble3D val="0"/>
            <c:spPr>
              <a:solidFill>
                <a:srgbClr val="006ABE"/>
              </a:solidFill>
              <a:ln>
                <a:noFill/>
              </a:ln>
              <a:effectLst/>
            </c:spPr>
            <c:extLst>
              <c:ext xmlns:c16="http://schemas.microsoft.com/office/drawing/2014/chart" uri="{C3380CC4-5D6E-409C-BE32-E72D297353CC}">
                <c16:uniqueId val="{00000001-35CE-43C3-B077-5F86CF4CFB34}"/>
              </c:ext>
            </c:extLst>
          </c:dPt>
          <c:dPt>
            <c:idx val="5"/>
            <c:invertIfNegative val="0"/>
            <c:bubble3D val="0"/>
            <c:spPr>
              <a:solidFill>
                <a:srgbClr val="006ABE"/>
              </a:solidFill>
              <a:ln>
                <a:noFill/>
              </a:ln>
              <a:effectLst/>
            </c:spPr>
            <c:extLst>
              <c:ext xmlns:c16="http://schemas.microsoft.com/office/drawing/2014/chart" uri="{C3380CC4-5D6E-409C-BE32-E72D297353CC}">
                <c16:uniqueId val="{00000000-35CE-43C3-B077-5F86CF4CFB34}"/>
              </c:ext>
            </c:extLst>
          </c:dPt>
          <c:dLbls>
            <c:dLbl>
              <c:idx val="4"/>
              <c:layout>
                <c:manualLayout>
                  <c:x val="-3.1219272369715991E-3"/>
                  <c:y val="-9.799382716049394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5CE-43C3-B077-5F86CF4CFB34}"/>
                </c:ext>
              </c:extLst>
            </c:dLbl>
            <c:dLbl>
              <c:idx val="5"/>
              <c:layout>
                <c:manualLayout>
                  <c:x val="-3.1219272369714846E-3"/>
                  <c:y val="-8.4927983539094656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5CE-43C3-B077-5F86CF4CFB34}"/>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'Ach7'!$A$4:$A$10</c:f>
              <c:strCache>
                <c:ptCount val="6"/>
                <c:pt idx="0">
                  <c:v>21-30</c:v>
                </c:pt>
                <c:pt idx="1">
                  <c:v>31-40</c:v>
                </c:pt>
                <c:pt idx="2">
                  <c:v>41-50</c:v>
                </c:pt>
                <c:pt idx="3">
                  <c:v>51-60</c:v>
                </c:pt>
                <c:pt idx="4">
                  <c:v>61-70</c:v>
                </c:pt>
                <c:pt idx="5">
                  <c:v>71-81</c:v>
                </c:pt>
              </c:strCache>
            </c:strRef>
          </c:cat>
          <c:val>
            <c:numRef>
              <c:f>'Ach7'!$B$4:$B$10</c:f>
              <c:numCache>
                <c:formatCode>0.00%</c:formatCode>
                <c:ptCount val="6"/>
                <c:pt idx="0">
                  <c:v>0.33582089552238809</c:v>
                </c:pt>
                <c:pt idx="1">
                  <c:v>0.28358208955223879</c:v>
                </c:pt>
                <c:pt idx="2">
                  <c:v>0.23880597014925373</c:v>
                </c:pt>
                <c:pt idx="3">
                  <c:v>0.11567164179104478</c:v>
                </c:pt>
                <c:pt idx="4">
                  <c:v>2.6119402985074626E-2</c:v>
                </c:pt>
                <c:pt idx="5">
                  <c:v>0</c:v>
                </c:pt>
              </c:numCache>
            </c:numRef>
          </c:val>
          <c:extLst>
            <c:ext xmlns:c16="http://schemas.microsoft.com/office/drawing/2014/chart" uri="{C3380CC4-5D6E-409C-BE32-E72D297353CC}">
              <c16:uniqueId val="{00000000-0D90-4CA8-AD9E-C6262F24F243}"/>
            </c:ext>
          </c:extLst>
        </c:ser>
        <c:dLbls>
          <c:showLegendKey val="0"/>
          <c:showVal val="0"/>
          <c:showCatName val="0"/>
          <c:showSerName val="0"/>
          <c:showPercent val="0"/>
          <c:showBubbleSize val="0"/>
        </c:dLbls>
        <c:gapWidth val="150"/>
        <c:overlap val="100"/>
        <c:axId val="1004826159"/>
        <c:axId val="1004816079"/>
      </c:barChart>
      <c:catAx>
        <c:axId val="1004826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004816079"/>
        <c:crosses val="autoZero"/>
        <c:auto val="1"/>
        <c:lblAlgn val="ctr"/>
        <c:lblOffset val="100"/>
        <c:noMultiLvlLbl val="0"/>
      </c:catAx>
      <c:valAx>
        <c:axId val="1004816079"/>
        <c:scaling>
          <c:orientation val="minMax"/>
        </c:scaling>
        <c:delete val="1"/>
        <c:axPos val="l"/>
        <c:numFmt formatCode="0.00%" sourceLinked="1"/>
        <c:majorTickMark val="none"/>
        <c:minorTickMark val="none"/>
        <c:tickLblPos val="nextTo"/>
        <c:crossAx val="10048261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[diabetes.xlsm]Tch1!PivotTable1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Age</a:t>
            </a:r>
            <a:r>
              <a:rPr lang="en-US" b="1" baseline="0">
                <a:solidFill>
                  <a:schemeClr val="tx1"/>
                </a:solidFill>
              </a:rPr>
              <a:t> Group vs Glucose</a:t>
            </a:r>
            <a:endParaRPr lang="en-US" b="1">
              <a:solidFill>
                <a:schemeClr val="tx1"/>
              </a:solidFill>
            </a:endParaRPr>
          </a:p>
        </c:rich>
      </c:tx>
      <c:layout>
        <c:manualLayout>
          <c:xMode val="edge"/>
          <c:yMode val="edge"/>
          <c:x val="0.26602854230377165"/>
          <c:y val="2.474358974358974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6ABE"/>
          </a:solidFill>
          <a:ln>
            <a:noFill/>
          </a:ln>
          <a:effectLst/>
        </c:spPr>
        <c:dLbl>
          <c:idx val="0"/>
          <c:layout>
            <c:manualLayout>
              <c:x val="0"/>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6ABE"/>
          </a:solidFill>
          <a:ln>
            <a:noFill/>
          </a:ln>
          <a:effectLst/>
        </c:spPr>
        <c:dLbl>
          <c:idx val="0"/>
          <c:layout>
            <c:manualLayout>
              <c:x val="-2.7777777777777779E-3"/>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6AB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6ABE"/>
          </a:solidFill>
          <a:ln>
            <a:noFill/>
          </a:ln>
          <a:effectLst/>
        </c:spPr>
        <c:dLbl>
          <c:idx val="0"/>
          <c:layout>
            <c:manualLayout>
              <c:x val="0"/>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6ABE"/>
          </a:solidFill>
          <a:ln>
            <a:noFill/>
          </a:ln>
          <a:effectLst/>
        </c:spPr>
        <c:dLbl>
          <c:idx val="0"/>
          <c:layout>
            <c:manualLayout>
              <c:x val="-2.7777777777777779E-3"/>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50000"/>
            </a:schemeClr>
          </a:solidFill>
          <a:ln>
            <a:noFill/>
          </a:ln>
          <a:effectLst/>
        </c:spPr>
        <c:dLbl>
          <c:idx val="0"/>
          <c:layout>
            <c:manualLayout>
              <c:x val="0"/>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lumMod val="50000"/>
            </a:schemeClr>
          </a:solidFill>
          <a:ln>
            <a:noFill/>
          </a:ln>
          <a:effectLst/>
        </c:spPr>
        <c:dLbl>
          <c:idx val="0"/>
          <c:layout>
            <c:manualLayout>
              <c:x val="-2.7777777777777779E-3"/>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'Tch1'!$B$3</c:f>
              <c:strCache>
                <c:ptCount val="1"/>
                <c:pt idx="0">
                  <c:v>Total</c:v>
                </c:pt>
              </c:strCache>
            </c:strRef>
          </c:tx>
          <c:spPr>
            <a:solidFill>
              <a:schemeClr val="accent6">
                <a:lumMod val="50000"/>
              </a:schemeClr>
            </a:solidFill>
            <a:ln>
              <a:noFill/>
            </a:ln>
            <a:effectLst/>
          </c:spPr>
          <c:invertIfNegative val="0"/>
          <c:dPt>
            <c:idx val="4"/>
            <c:invertIfNegative val="0"/>
            <c:bubble3D val="0"/>
            <c:spPr>
              <a:solidFill>
                <a:schemeClr val="accent6">
                  <a:lumMod val="50000"/>
                </a:schemeClr>
              </a:solidFill>
              <a:ln>
                <a:noFill/>
              </a:ln>
              <a:effectLst/>
            </c:spPr>
            <c:extLst>
              <c:ext xmlns:c16="http://schemas.microsoft.com/office/drawing/2014/chart" uri="{C3380CC4-5D6E-409C-BE32-E72D297353CC}">
                <c16:uniqueId val="{00000000-7630-46ED-B5D3-1F855EB669D3}"/>
              </c:ext>
            </c:extLst>
          </c:dPt>
          <c:dPt>
            <c:idx val="5"/>
            <c:invertIfNegative val="0"/>
            <c:bubble3D val="0"/>
            <c:spPr>
              <a:solidFill>
                <a:schemeClr val="accent6">
                  <a:lumMod val="50000"/>
                </a:schemeClr>
              </a:solidFill>
              <a:ln>
                <a:noFill/>
              </a:ln>
              <a:effectLst/>
            </c:spPr>
            <c:extLst>
              <c:ext xmlns:c16="http://schemas.microsoft.com/office/drawing/2014/chart" uri="{C3380CC4-5D6E-409C-BE32-E72D297353CC}">
                <c16:uniqueId val="{00000001-7630-46ED-B5D3-1F855EB669D3}"/>
              </c:ext>
            </c:extLst>
          </c:dPt>
          <c:dLbls>
            <c:dLbl>
              <c:idx val="4"/>
              <c:layout>
                <c:manualLayout>
                  <c:x val="0"/>
                  <c:y val="-7.407407407407407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630-46ED-B5D3-1F855EB669D3}"/>
                </c:ext>
              </c:extLst>
            </c:dLbl>
            <c:dLbl>
              <c:idx val="5"/>
              <c:layout>
                <c:manualLayout>
                  <c:x val="-2.7777777777777779E-3"/>
                  <c:y val="-6.9444444444444448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630-46ED-B5D3-1F855EB669D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'Tch1'!$A$4:$A$10</c:f>
              <c:strCache>
                <c:ptCount val="6"/>
                <c:pt idx="0">
                  <c:v>21-30</c:v>
                </c:pt>
                <c:pt idx="1">
                  <c:v>31-40</c:v>
                </c:pt>
                <c:pt idx="2">
                  <c:v>41-50</c:v>
                </c:pt>
                <c:pt idx="3">
                  <c:v>51-60</c:v>
                </c:pt>
                <c:pt idx="4">
                  <c:v>61-70</c:v>
                </c:pt>
                <c:pt idx="5">
                  <c:v>71-81</c:v>
                </c:pt>
              </c:strCache>
            </c:strRef>
          </c:cat>
          <c:val>
            <c:numRef>
              <c:f>'Tch1'!$B$4:$B$10</c:f>
              <c:numCache>
                <c:formatCode>General</c:formatCode>
                <c:ptCount val="6"/>
                <c:pt idx="0">
                  <c:v>47974</c:v>
                </c:pt>
                <c:pt idx="1">
                  <c:v>19931</c:v>
                </c:pt>
                <c:pt idx="2">
                  <c:v>14233</c:v>
                </c:pt>
                <c:pt idx="3">
                  <c:v>7622</c:v>
                </c:pt>
                <c:pt idx="4">
                  <c:v>3439</c:v>
                </c:pt>
                <c:pt idx="5">
                  <c:v>253</c:v>
                </c:pt>
              </c:numCache>
            </c:numRef>
          </c:val>
          <c:extLst>
            <c:ext xmlns:c16="http://schemas.microsoft.com/office/drawing/2014/chart" uri="{C3380CC4-5D6E-409C-BE32-E72D297353CC}">
              <c16:uniqueId val="{00000002-7630-46ED-B5D3-1F855EB669D3}"/>
            </c:ext>
          </c:extLst>
        </c:ser>
        <c:dLbls>
          <c:showLegendKey val="0"/>
          <c:showVal val="0"/>
          <c:showCatName val="0"/>
          <c:showSerName val="0"/>
          <c:showPercent val="0"/>
          <c:showBubbleSize val="0"/>
        </c:dLbls>
        <c:gapWidth val="150"/>
        <c:overlap val="100"/>
        <c:axId val="1907566383"/>
        <c:axId val="1907563023"/>
      </c:barChart>
      <c:catAx>
        <c:axId val="1907566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907563023"/>
        <c:crosses val="autoZero"/>
        <c:auto val="1"/>
        <c:lblAlgn val="ctr"/>
        <c:lblOffset val="100"/>
        <c:noMultiLvlLbl val="0"/>
      </c:catAx>
      <c:valAx>
        <c:axId val="1907563023"/>
        <c:scaling>
          <c:orientation val="minMax"/>
        </c:scaling>
        <c:delete val="1"/>
        <c:axPos val="l"/>
        <c:numFmt formatCode="General" sourceLinked="1"/>
        <c:majorTickMark val="none"/>
        <c:minorTickMark val="none"/>
        <c:tickLblPos val="nextTo"/>
        <c:crossAx val="1907566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[diabetes.xlsm]Tch2!PivotTable2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Age vs BMI</a:t>
            </a:r>
            <a:r>
              <a:rPr lang="en-US" baseline="0"/>
              <a:t>  </a:t>
            </a:r>
            <a:endParaRPr lang="en-US"/>
          </a:p>
        </c:rich>
      </c:tx>
      <c:layout>
        <c:manualLayout>
          <c:xMode val="edge"/>
          <c:yMode val="edge"/>
          <c:x val="0.3939155982905983"/>
          <c:y val="1.638888888888888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6ABE"/>
          </a:solidFill>
          <a:ln>
            <a:noFill/>
          </a:ln>
          <a:effectLst/>
        </c:spPr>
        <c:dLbl>
          <c:idx val="0"/>
          <c:layout>
            <c:manualLayout>
              <c:x val="2.5000000000000012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6AB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6ABE"/>
          </a:solidFill>
          <a:ln>
            <a:noFill/>
          </a:ln>
          <a:effectLst/>
        </c:spPr>
        <c:dLbl>
          <c:idx val="0"/>
          <c:layout>
            <c:manualLayout>
              <c:x val="2.5000000000000012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50000"/>
            </a:schemeClr>
          </a:solidFill>
          <a:ln>
            <a:noFill/>
          </a:ln>
          <a:effectLst/>
        </c:spPr>
        <c:dLbl>
          <c:idx val="0"/>
          <c:layout>
            <c:manualLayout>
              <c:x val="2.5000000000000012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'Tch2'!$B$3</c:f>
              <c:strCache>
                <c:ptCount val="1"/>
                <c:pt idx="0">
                  <c:v>Total</c:v>
                </c:pt>
              </c:strCache>
            </c:strRef>
          </c:tx>
          <c:spPr>
            <a:solidFill>
              <a:schemeClr val="accent6">
                <a:lumMod val="50000"/>
              </a:schemeClr>
            </a:solidFill>
            <a:ln>
              <a:noFill/>
            </a:ln>
            <a:effectLst/>
          </c:spPr>
          <c:invertIfNegative val="0"/>
          <c:dPt>
            <c:idx val="0"/>
            <c:invertIfNegative val="0"/>
            <c:bubble3D val="0"/>
            <c:spPr>
              <a:solidFill>
                <a:schemeClr val="accent6">
                  <a:lumMod val="50000"/>
                </a:schemeClr>
              </a:solidFill>
              <a:ln>
                <a:noFill/>
              </a:ln>
              <a:effectLst/>
            </c:spPr>
            <c:extLst>
              <c:ext xmlns:c16="http://schemas.microsoft.com/office/drawing/2014/chart" uri="{C3380CC4-5D6E-409C-BE32-E72D297353CC}">
                <c16:uniqueId val="{00000000-06EC-4BED-A088-B59DFE4E8374}"/>
              </c:ext>
            </c:extLst>
          </c:dPt>
          <c:dLbls>
            <c:dLbl>
              <c:idx val="0"/>
              <c:layout>
                <c:manualLayout>
                  <c:x val="2.5000000000000012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6EC-4BED-A088-B59DFE4E837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'Tch2'!$A$4:$A$10</c:f>
              <c:strCache>
                <c:ptCount val="6"/>
                <c:pt idx="0">
                  <c:v>71-81</c:v>
                </c:pt>
                <c:pt idx="1">
                  <c:v>61-70</c:v>
                </c:pt>
                <c:pt idx="2">
                  <c:v>51-60</c:v>
                </c:pt>
                <c:pt idx="3">
                  <c:v>41-50</c:v>
                </c:pt>
                <c:pt idx="4">
                  <c:v>31-40</c:v>
                </c:pt>
                <c:pt idx="5">
                  <c:v>21-30</c:v>
                </c:pt>
              </c:strCache>
            </c:strRef>
          </c:cat>
          <c:val>
            <c:numRef>
              <c:f>'Tch2'!$B$4:$B$10</c:f>
              <c:numCache>
                <c:formatCode>General</c:formatCode>
                <c:ptCount val="6"/>
                <c:pt idx="0">
                  <c:v>46</c:v>
                </c:pt>
                <c:pt idx="1">
                  <c:v>755</c:v>
                </c:pt>
                <c:pt idx="2">
                  <c:v>1714</c:v>
                </c:pt>
                <c:pt idx="3">
                  <c:v>3900</c:v>
                </c:pt>
                <c:pt idx="4">
                  <c:v>5160</c:v>
                </c:pt>
                <c:pt idx="5">
                  <c:v>13345</c:v>
                </c:pt>
              </c:numCache>
            </c:numRef>
          </c:val>
          <c:extLst>
            <c:ext xmlns:c16="http://schemas.microsoft.com/office/drawing/2014/chart" uri="{C3380CC4-5D6E-409C-BE32-E72D297353CC}">
              <c16:uniqueId val="{00000001-06EC-4BED-A088-B59DFE4E8374}"/>
            </c:ext>
          </c:extLst>
        </c:ser>
        <c:dLbls>
          <c:showLegendKey val="0"/>
          <c:showVal val="0"/>
          <c:showCatName val="0"/>
          <c:showSerName val="0"/>
          <c:showPercent val="0"/>
          <c:showBubbleSize val="0"/>
        </c:dLbls>
        <c:gapWidth val="150"/>
        <c:overlap val="100"/>
        <c:axId val="84452879"/>
        <c:axId val="84439919"/>
      </c:barChart>
      <c:catAx>
        <c:axId val="844528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4439919"/>
        <c:crosses val="autoZero"/>
        <c:auto val="1"/>
        <c:lblAlgn val="ctr"/>
        <c:lblOffset val="100"/>
        <c:noMultiLvlLbl val="0"/>
      </c:catAx>
      <c:valAx>
        <c:axId val="84439919"/>
        <c:scaling>
          <c:orientation val="minMax"/>
        </c:scaling>
        <c:delete val="1"/>
        <c:axPos val="b"/>
        <c:numFmt formatCode="General" sourceLinked="1"/>
        <c:majorTickMark val="none"/>
        <c:minorTickMark val="none"/>
        <c:tickLblPos val="nextTo"/>
        <c:crossAx val="84452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[diabetes.xlsm]Tch3!PivotTable3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Age Group</a:t>
            </a:r>
            <a:r>
              <a:rPr lang="en-US" b="1" baseline="0">
                <a:solidFill>
                  <a:schemeClr val="tx1"/>
                </a:solidFill>
              </a:rPr>
              <a:t> vs DiabetesPedigreeFunction</a:t>
            </a:r>
            <a:endParaRPr lang="en-US" b="1">
              <a:solidFill>
                <a:schemeClr val="tx1"/>
              </a:solidFill>
            </a:endParaRPr>
          </a:p>
        </c:rich>
      </c:tx>
      <c:layout>
        <c:manualLayout>
          <c:xMode val="edge"/>
          <c:yMode val="edge"/>
          <c:x val="0.10926325178389398"/>
          <c:y val="8.8345588235294141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dLbl>
          <c:idx val="0"/>
          <c:layout>
            <c:manualLayout>
              <c:x val="-1.0185067526415994E-16"/>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noFill/>
          <a:ln>
            <a:noFill/>
          </a:ln>
          <a:effectLst/>
        </c:spPr>
        <c:dLbl>
          <c:idx val="0"/>
          <c:layout>
            <c:manualLayout>
              <c:x val="-5.5555555555555558E-3"/>
              <c:y val="-5.555555555555572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noFill/>
          <a:ln>
            <a:noFill/>
          </a:ln>
          <a:effectLst/>
        </c:spPr>
        <c:dLbl>
          <c:idx val="0"/>
          <c:layout>
            <c:manualLayout>
              <c:x val="-5.5555555555555558E-3"/>
              <c:y val="-5.555555555555572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dLbl>
          <c:idx val="0"/>
          <c:layout>
            <c:manualLayout>
              <c:x val="-1.0185067526415994E-16"/>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noFill/>
          <a:ln>
            <a:noFill/>
          </a:ln>
          <a:effectLst/>
        </c:spPr>
        <c:dLbl>
          <c:idx val="0"/>
          <c:layout>
            <c:manualLayout>
              <c:x val="-5.5555555555555558E-3"/>
              <c:y val="-5.555555555555572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noFill/>
          <a:ln>
            <a:noFill/>
          </a:ln>
          <a:effectLst/>
        </c:spPr>
        <c:dLbl>
          <c:idx val="0"/>
          <c:layout>
            <c:manualLayout>
              <c:x val="-1.0185067526415994E-16"/>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'Tch3'!$B$3</c:f>
              <c:strCache>
                <c:ptCount val="1"/>
                <c:pt idx="0">
                  <c:v>Total</c:v>
                </c:pt>
              </c:strCache>
            </c:strRef>
          </c:tx>
          <c:spPr>
            <a:noFill/>
            <a:ln>
              <a:noFill/>
            </a:ln>
            <a:effectLst/>
          </c:spPr>
          <c:invertIfNegative val="0"/>
          <c:dPt>
            <c:idx val="4"/>
            <c:invertIfNegative val="0"/>
            <c:bubble3D val="0"/>
            <c:spPr>
              <a:noFill/>
              <a:ln>
                <a:noFill/>
              </a:ln>
              <a:effectLst/>
            </c:spPr>
            <c:extLst>
              <c:ext xmlns:c16="http://schemas.microsoft.com/office/drawing/2014/chart" uri="{C3380CC4-5D6E-409C-BE32-E72D297353CC}">
                <c16:uniqueId val="{00000000-978B-4CAB-90EC-1BD237473DCC}"/>
              </c:ext>
            </c:extLst>
          </c:dPt>
          <c:dPt>
            <c:idx val="5"/>
            <c:invertIfNegative val="0"/>
            <c:bubble3D val="0"/>
            <c:spPr>
              <a:noFill/>
              <a:ln>
                <a:noFill/>
              </a:ln>
              <a:effectLst/>
            </c:spPr>
            <c:extLst>
              <c:ext xmlns:c16="http://schemas.microsoft.com/office/drawing/2014/chart" uri="{C3380CC4-5D6E-409C-BE32-E72D297353CC}">
                <c16:uniqueId val="{00000001-978B-4CAB-90EC-1BD237473DCC}"/>
              </c:ext>
            </c:extLst>
          </c:dPt>
          <c:dLbls>
            <c:dLbl>
              <c:idx val="4"/>
              <c:layout>
                <c:manualLayout>
                  <c:x val="-5.5555555555555558E-3"/>
                  <c:y val="-5.5555555555555726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78B-4CAB-90EC-1BD237473DCC}"/>
                </c:ext>
              </c:extLst>
            </c:dLbl>
            <c:dLbl>
              <c:idx val="5"/>
              <c:layout>
                <c:manualLayout>
                  <c:x val="-1.0185067526415994E-16"/>
                  <c:y val="-5.5555555555555552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78B-4CAB-90EC-1BD237473DC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minus"/>
            <c:errValType val="percentage"/>
            <c:noEndCap val="1"/>
            <c:val val="100"/>
            <c:spPr>
              <a:noFill/>
              <a:ln w="63500" cap="flat" cmpd="sng" algn="ctr">
                <a:solidFill>
                  <a:schemeClr val="accent6">
                    <a:lumMod val="50000"/>
                  </a:schemeClr>
                </a:solidFill>
                <a:round/>
                <a:headEnd type="oval"/>
              </a:ln>
              <a:effectLst/>
            </c:spPr>
          </c:errBars>
          <c:cat>
            <c:strRef>
              <c:f>'Tch3'!$A$4:$A$10</c:f>
              <c:strCache>
                <c:ptCount val="6"/>
                <c:pt idx="0">
                  <c:v>21-30</c:v>
                </c:pt>
                <c:pt idx="1">
                  <c:v>31-40</c:v>
                </c:pt>
                <c:pt idx="2">
                  <c:v>41-50</c:v>
                </c:pt>
                <c:pt idx="3">
                  <c:v>51-60</c:v>
                </c:pt>
                <c:pt idx="4">
                  <c:v>61-70</c:v>
                </c:pt>
                <c:pt idx="5">
                  <c:v>71-81</c:v>
                </c:pt>
              </c:strCache>
            </c:strRef>
          </c:cat>
          <c:val>
            <c:numRef>
              <c:f>'Tch3'!$B$4:$B$10</c:f>
              <c:numCache>
                <c:formatCode>General</c:formatCode>
                <c:ptCount val="6"/>
                <c:pt idx="0">
                  <c:v>280.22399999999999</c:v>
                </c:pt>
                <c:pt idx="1">
                  <c:v>105.18299999999971</c:v>
                </c:pt>
                <c:pt idx="2">
                  <c:v>75.890999999999835</c:v>
                </c:pt>
                <c:pt idx="3">
                  <c:v>36.287999999999997</c:v>
                </c:pt>
                <c:pt idx="4">
                  <c:v>16.800000000000004</c:v>
                </c:pt>
                <c:pt idx="5">
                  <c:v>1.3440000000000001</c:v>
                </c:pt>
              </c:numCache>
            </c:numRef>
          </c:val>
          <c:extLst>
            <c:ext xmlns:c16="http://schemas.microsoft.com/office/drawing/2014/chart" uri="{C3380CC4-5D6E-409C-BE32-E72D297353CC}">
              <c16:uniqueId val="{00000002-978B-4CAB-90EC-1BD237473DCC}"/>
            </c:ext>
          </c:extLst>
        </c:ser>
        <c:dLbls>
          <c:showLegendKey val="0"/>
          <c:showVal val="0"/>
          <c:showCatName val="0"/>
          <c:showSerName val="0"/>
          <c:showPercent val="0"/>
          <c:showBubbleSize val="0"/>
        </c:dLbls>
        <c:gapWidth val="150"/>
        <c:overlap val="100"/>
        <c:axId val="84467279"/>
        <c:axId val="84467759"/>
      </c:barChart>
      <c:catAx>
        <c:axId val="84467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4467759"/>
        <c:crosses val="autoZero"/>
        <c:auto val="1"/>
        <c:lblAlgn val="ctr"/>
        <c:lblOffset val="100"/>
        <c:noMultiLvlLbl val="0"/>
      </c:catAx>
      <c:valAx>
        <c:axId val="84467759"/>
        <c:scaling>
          <c:orientation val="minMax"/>
        </c:scaling>
        <c:delete val="1"/>
        <c:axPos val="l"/>
        <c:numFmt formatCode="General" sourceLinked="1"/>
        <c:majorTickMark val="none"/>
        <c:minorTickMark val="none"/>
        <c:tickLblPos val="nextTo"/>
        <c:crossAx val="844672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[diabetes.xlsm]Tch4!PivotTable4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Age</a:t>
            </a:r>
            <a:r>
              <a:rPr lang="en-US" b="1" baseline="0">
                <a:solidFill>
                  <a:schemeClr val="tx1"/>
                </a:solidFill>
              </a:rPr>
              <a:t> Group vs Insulin</a:t>
            </a:r>
            <a:endParaRPr lang="en-US" b="1">
              <a:solidFill>
                <a:schemeClr val="tx1"/>
              </a:solidFill>
            </a:endParaRPr>
          </a:p>
        </c:rich>
      </c:tx>
      <c:layout>
        <c:manualLayout>
          <c:xMode val="edge"/>
          <c:yMode val="edge"/>
          <c:x val="0.28523358585858588"/>
          <c:y val="9.259395424836601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'Tch4'!$B$3</c:f>
              <c:strCache>
                <c:ptCount val="1"/>
                <c:pt idx="0">
                  <c:v>Total</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minus"/>
            <c:errValType val="percentage"/>
            <c:noEndCap val="1"/>
            <c:val val="100"/>
            <c:spPr>
              <a:noFill/>
              <a:ln w="63500" cap="flat" cmpd="sng" algn="ctr">
                <a:solidFill>
                  <a:schemeClr val="accent6">
                    <a:lumMod val="50000"/>
                  </a:schemeClr>
                </a:solidFill>
                <a:round/>
                <a:headEnd type="oval"/>
              </a:ln>
              <a:effectLst/>
            </c:spPr>
          </c:errBars>
          <c:cat>
            <c:strRef>
              <c:f>'Tch4'!$A$4:$A$10</c:f>
              <c:strCache>
                <c:ptCount val="6"/>
                <c:pt idx="0">
                  <c:v>71-81</c:v>
                </c:pt>
                <c:pt idx="1">
                  <c:v>61-70</c:v>
                </c:pt>
                <c:pt idx="2">
                  <c:v>51-60</c:v>
                </c:pt>
                <c:pt idx="3">
                  <c:v>41-50</c:v>
                </c:pt>
                <c:pt idx="4">
                  <c:v>31-40</c:v>
                </c:pt>
                <c:pt idx="5">
                  <c:v>21-30</c:v>
                </c:pt>
              </c:strCache>
            </c:strRef>
          </c:cat>
          <c:val>
            <c:numRef>
              <c:f>'Tch4'!$B$4:$B$10</c:f>
              <c:numCache>
                <c:formatCode>General</c:formatCode>
                <c:ptCount val="6"/>
                <c:pt idx="0">
                  <c:v>140</c:v>
                </c:pt>
                <c:pt idx="1">
                  <c:v>2210</c:v>
                </c:pt>
                <c:pt idx="2">
                  <c:v>9166</c:v>
                </c:pt>
                <c:pt idx="3">
                  <c:v>12491</c:v>
                </c:pt>
                <c:pt idx="4">
                  <c:v>18683</c:v>
                </c:pt>
                <c:pt idx="5">
                  <c:v>48516</c:v>
                </c:pt>
              </c:numCache>
            </c:numRef>
          </c:val>
          <c:extLst>
            <c:ext xmlns:c16="http://schemas.microsoft.com/office/drawing/2014/chart" uri="{C3380CC4-5D6E-409C-BE32-E72D297353CC}">
              <c16:uniqueId val="{00000000-D9E7-4F15-8F2A-F54D5D32A784}"/>
            </c:ext>
          </c:extLst>
        </c:ser>
        <c:dLbls>
          <c:showLegendKey val="0"/>
          <c:showVal val="0"/>
          <c:showCatName val="0"/>
          <c:showSerName val="0"/>
          <c:showPercent val="0"/>
          <c:showBubbleSize val="0"/>
        </c:dLbls>
        <c:gapWidth val="150"/>
        <c:overlap val="100"/>
        <c:axId val="84465839"/>
        <c:axId val="84466319"/>
      </c:barChart>
      <c:catAx>
        <c:axId val="844658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4466319"/>
        <c:crosses val="autoZero"/>
        <c:auto val="1"/>
        <c:lblAlgn val="ctr"/>
        <c:lblOffset val="100"/>
        <c:noMultiLvlLbl val="0"/>
      </c:catAx>
      <c:valAx>
        <c:axId val="84466319"/>
        <c:scaling>
          <c:orientation val="minMax"/>
        </c:scaling>
        <c:delete val="1"/>
        <c:axPos val="b"/>
        <c:numFmt formatCode="General" sourceLinked="1"/>
        <c:majorTickMark val="none"/>
        <c:minorTickMark val="none"/>
        <c:tickLblPos val="nextTo"/>
        <c:crossAx val="844658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[diabetes.xlsm]Tch5!PivotTable5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Age</a:t>
            </a:r>
            <a:r>
              <a:rPr lang="en-US" b="1" baseline="0">
                <a:solidFill>
                  <a:schemeClr val="tx1"/>
                </a:solidFill>
              </a:rPr>
              <a:t> Group vs Skin Thickness</a:t>
            </a:r>
            <a:endParaRPr lang="en-US" b="1">
              <a:solidFill>
                <a:schemeClr val="tx1"/>
              </a:solidFill>
            </a:endParaRPr>
          </a:p>
        </c:rich>
      </c:tx>
      <c:layout>
        <c:manualLayout>
          <c:xMode val="edge"/>
          <c:yMode val="edge"/>
          <c:x val="0.20284145702306081"/>
          <c:y val="8.009259259259259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5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5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5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bar3DChart>
        <c:barDir val="col"/>
        <c:grouping val="stacked"/>
        <c:varyColors val="0"/>
        <c:ser>
          <c:idx val="0"/>
          <c:order val="0"/>
          <c:tx>
            <c:strRef>
              <c:f>'Tch5'!$B$3</c:f>
              <c:strCache>
                <c:ptCount val="1"/>
                <c:pt idx="0">
                  <c:v>Total</c:v>
                </c:pt>
              </c:strCache>
            </c:strRef>
          </c:tx>
          <c:spPr>
            <a:solidFill>
              <a:schemeClr val="accent6">
                <a:lumMod val="5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'Tch5'!$A$4:$A$10</c:f>
              <c:strCache>
                <c:ptCount val="6"/>
                <c:pt idx="0">
                  <c:v>21-30</c:v>
                </c:pt>
                <c:pt idx="1">
                  <c:v>31-40</c:v>
                </c:pt>
                <c:pt idx="2">
                  <c:v>41-50</c:v>
                </c:pt>
                <c:pt idx="3">
                  <c:v>51-60</c:v>
                </c:pt>
                <c:pt idx="4">
                  <c:v>61-70</c:v>
                </c:pt>
                <c:pt idx="5">
                  <c:v>71-81</c:v>
                </c:pt>
              </c:strCache>
            </c:strRef>
          </c:cat>
          <c:val>
            <c:numRef>
              <c:f>'Tch5'!$B$4:$B$10</c:f>
              <c:numCache>
                <c:formatCode>General</c:formatCode>
                <c:ptCount val="6"/>
                <c:pt idx="0">
                  <c:v>10979</c:v>
                </c:pt>
                <c:pt idx="1">
                  <c:v>4359</c:v>
                </c:pt>
                <c:pt idx="2">
                  <c:v>3094</c:v>
                </c:pt>
                <c:pt idx="3">
                  <c:v>1398</c:v>
                </c:pt>
                <c:pt idx="4">
                  <c:v>655</c:v>
                </c:pt>
                <c:pt idx="5">
                  <c:v>54</c:v>
                </c:pt>
              </c:numCache>
            </c:numRef>
          </c:val>
          <c:extLst>
            <c:ext xmlns:c16="http://schemas.microsoft.com/office/drawing/2014/chart" uri="{C3380CC4-5D6E-409C-BE32-E72D297353CC}">
              <c16:uniqueId val="{00000000-AAA7-4F07-B87D-68A1B2E45BFD}"/>
            </c:ext>
          </c:extLst>
        </c:ser>
        <c:dLbls>
          <c:showLegendKey val="0"/>
          <c:showVal val="0"/>
          <c:showCatName val="0"/>
          <c:showSerName val="0"/>
          <c:showPercent val="0"/>
          <c:showBubbleSize val="0"/>
        </c:dLbls>
        <c:gapWidth val="150"/>
        <c:shape val="cone"/>
        <c:axId val="84407759"/>
        <c:axId val="84432719"/>
        <c:axId val="0"/>
      </c:bar3DChart>
      <c:catAx>
        <c:axId val="844077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4432719"/>
        <c:crosses val="autoZero"/>
        <c:auto val="1"/>
        <c:lblAlgn val="ctr"/>
        <c:lblOffset val="100"/>
        <c:noMultiLvlLbl val="0"/>
      </c:catAx>
      <c:valAx>
        <c:axId val="8443271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8440775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[diabetes.xlsm]Tch1!PivotTable1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Age</a:t>
            </a:r>
            <a:r>
              <a:rPr lang="en-US" b="1" baseline="0">
                <a:solidFill>
                  <a:schemeClr val="tx1"/>
                </a:solidFill>
              </a:rPr>
              <a:t> Group vs Glucose</a:t>
            </a:r>
            <a:endParaRPr lang="en-US" b="1">
              <a:solidFill>
                <a:schemeClr val="tx1"/>
              </a:solidFill>
            </a:endParaRPr>
          </a:p>
        </c:rich>
      </c:tx>
      <c:layout>
        <c:manualLayout>
          <c:xMode val="edge"/>
          <c:yMode val="edge"/>
          <c:x val="0.32305555555555554"/>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6ABE"/>
          </a:solidFill>
          <a:ln>
            <a:noFill/>
          </a:ln>
          <a:effectLst/>
        </c:spPr>
        <c:dLbl>
          <c:idx val="0"/>
          <c:layout>
            <c:manualLayout>
              <c:x val="0"/>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6ABE"/>
          </a:solidFill>
          <a:ln>
            <a:noFill/>
          </a:ln>
          <a:effectLst/>
        </c:spPr>
        <c:dLbl>
          <c:idx val="0"/>
          <c:layout>
            <c:manualLayout>
              <c:x val="-2.7777777777777779E-3"/>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'Tch1'!$B$3</c:f>
              <c:strCache>
                <c:ptCount val="1"/>
                <c:pt idx="0">
                  <c:v>Total</c:v>
                </c:pt>
              </c:strCache>
            </c:strRef>
          </c:tx>
          <c:spPr>
            <a:solidFill>
              <a:srgbClr val="006ABE"/>
            </a:solidFill>
            <a:ln>
              <a:noFill/>
            </a:ln>
            <a:effectLst/>
          </c:spPr>
          <c:invertIfNegative val="0"/>
          <c:dPt>
            <c:idx val="4"/>
            <c:invertIfNegative val="0"/>
            <c:bubble3D val="0"/>
            <c:extLst>
              <c:ext xmlns:c16="http://schemas.microsoft.com/office/drawing/2014/chart" uri="{C3380CC4-5D6E-409C-BE32-E72D297353CC}">
                <c16:uniqueId val="{00000002-CF8D-45D6-8EEF-5579F545EE40}"/>
              </c:ext>
            </c:extLst>
          </c:dPt>
          <c:dPt>
            <c:idx val="5"/>
            <c:invertIfNegative val="0"/>
            <c:bubble3D val="0"/>
            <c:extLst>
              <c:ext xmlns:c16="http://schemas.microsoft.com/office/drawing/2014/chart" uri="{C3380CC4-5D6E-409C-BE32-E72D297353CC}">
                <c16:uniqueId val="{00000003-CF8D-45D6-8EEF-5579F545EE40}"/>
              </c:ext>
            </c:extLst>
          </c:dPt>
          <c:dLbls>
            <c:dLbl>
              <c:idx val="4"/>
              <c:layout>
                <c:manualLayout>
                  <c:x val="0"/>
                  <c:y val="-7.407407407407407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F8D-45D6-8EEF-5579F545EE40}"/>
                </c:ext>
              </c:extLst>
            </c:dLbl>
            <c:dLbl>
              <c:idx val="5"/>
              <c:layout>
                <c:manualLayout>
                  <c:x val="-2.7777777777777779E-3"/>
                  <c:y val="-6.9444444444444448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F8D-45D6-8EEF-5579F545EE4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'Tch1'!$A$4:$A$10</c:f>
              <c:strCache>
                <c:ptCount val="6"/>
                <c:pt idx="0">
                  <c:v>21-30</c:v>
                </c:pt>
                <c:pt idx="1">
                  <c:v>31-40</c:v>
                </c:pt>
                <c:pt idx="2">
                  <c:v>41-50</c:v>
                </c:pt>
                <c:pt idx="3">
                  <c:v>51-60</c:v>
                </c:pt>
                <c:pt idx="4">
                  <c:v>61-70</c:v>
                </c:pt>
                <c:pt idx="5">
                  <c:v>71-81</c:v>
                </c:pt>
              </c:strCache>
            </c:strRef>
          </c:cat>
          <c:val>
            <c:numRef>
              <c:f>'Tch1'!$B$4:$B$10</c:f>
              <c:numCache>
                <c:formatCode>General</c:formatCode>
                <c:ptCount val="6"/>
                <c:pt idx="0">
                  <c:v>47974</c:v>
                </c:pt>
                <c:pt idx="1">
                  <c:v>19931</c:v>
                </c:pt>
                <c:pt idx="2">
                  <c:v>14233</c:v>
                </c:pt>
                <c:pt idx="3">
                  <c:v>7622</c:v>
                </c:pt>
                <c:pt idx="4">
                  <c:v>3439</c:v>
                </c:pt>
                <c:pt idx="5">
                  <c:v>253</c:v>
                </c:pt>
              </c:numCache>
            </c:numRef>
          </c:val>
          <c:extLst>
            <c:ext xmlns:c16="http://schemas.microsoft.com/office/drawing/2014/chart" uri="{C3380CC4-5D6E-409C-BE32-E72D297353CC}">
              <c16:uniqueId val="{00000000-CF8D-45D6-8EEF-5579F545EE40}"/>
            </c:ext>
          </c:extLst>
        </c:ser>
        <c:dLbls>
          <c:showLegendKey val="0"/>
          <c:showVal val="0"/>
          <c:showCatName val="0"/>
          <c:showSerName val="0"/>
          <c:showPercent val="0"/>
          <c:showBubbleSize val="0"/>
        </c:dLbls>
        <c:gapWidth val="150"/>
        <c:overlap val="100"/>
        <c:axId val="1907566383"/>
        <c:axId val="1907563023"/>
      </c:barChart>
      <c:catAx>
        <c:axId val="1907566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907563023"/>
        <c:crosses val="autoZero"/>
        <c:auto val="1"/>
        <c:lblAlgn val="ctr"/>
        <c:lblOffset val="100"/>
        <c:noMultiLvlLbl val="0"/>
      </c:catAx>
      <c:valAx>
        <c:axId val="1907563023"/>
        <c:scaling>
          <c:orientation val="minMax"/>
        </c:scaling>
        <c:delete val="1"/>
        <c:axPos val="l"/>
        <c:numFmt formatCode="General" sourceLinked="1"/>
        <c:majorTickMark val="none"/>
        <c:minorTickMark val="none"/>
        <c:tickLblPos val="nextTo"/>
        <c:crossAx val="1907566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[diabetes.xlsm]Tch2!PivotTable2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Age vs BMI</a:t>
            </a:r>
            <a:r>
              <a:rPr lang="en-US" baseline="0"/>
              <a:t>  </a:t>
            </a:r>
            <a:endParaRPr lang="en-US"/>
          </a:p>
        </c:rich>
      </c:tx>
      <c:layout>
        <c:manualLayout>
          <c:xMode val="edge"/>
          <c:yMode val="edge"/>
          <c:x val="0.3962222222222222"/>
          <c:y val="4.629629629629629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6ABE"/>
          </a:solidFill>
          <a:ln>
            <a:noFill/>
          </a:ln>
          <a:effectLst/>
        </c:spPr>
        <c:dLbl>
          <c:idx val="0"/>
          <c:layout>
            <c:manualLayout>
              <c:x val="2.5000000000000012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'Tch2'!$B$3</c:f>
              <c:strCache>
                <c:ptCount val="1"/>
                <c:pt idx="0">
                  <c:v>Total</c:v>
                </c:pt>
              </c:strCache>
            </c:strRef>
          </c:tx>
          <c:spPr>
            <a:solidFill>
              <a:srgbClr val="006ABE"/>
            </a:solidFill>
            <a:ln>
              <a:noFill/>
            </a:ln>
            <a:effectLst/>
          </c:spPr>
          <c:invertIfNegative val="0"/>
          <c:dPt>
            <c:idx val="0"/>
            <c:invertIfNegative val="0"/>
            <c:bubble3D val="0"/>
            <c:extLst>
              <c:ext xmlns:c16="http://schemas.microsoft.com/office/drawing/2014/chart" uri="{C3380CC4-5D6E-409C-BE32-E72D297353CC}">
                <c16:uniqueId val="{00000002-26A8-48FA-89EC-BB1718AA5610}"/>
              </c:ext>
            </c:extLst>
          </c:dPt>
          <c:dLbls>
            <c:dLbl>
              <c:idx val="0"/>
              <c:layout>
                <c:manualLayout>
                  <c:x val="2.5000000000000012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6A8-48FA-89EC-BB1718AA561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'Tch2'!$A$4:$A$10</c:f>
              <c:strCache>
                <c:ptCount val="6"/>
                <c:pt idx="0">
                  <c:v>71-81</c:v>
                </c:pt>
                <c:pt idx="1">
                  <c:v>61-70</c:v>
                </c:pt>
                <c:pt idx="2">
                  <c:v>51-60</c:v>
                </c:pt>
                <c:pt idx="3">
                  <c:v>41-50</c:v>
                </c:pt>
                <c:pt idx="4">
                  <c:v>31-40</c:v>
                </c:pt>
                <c:pt idx="5">
                  <c:v>21-30</c:v>
                </c:pt>
              </c:strCache>
            </c:strRef>
          </c:cat>
          <c:val>
            <c:numRef>
              <c:f>'Tch2'!$B$4:$B$10</c:f>
              <c:numCache>
                <c:formatCode>General</c:formatCode>
                <c:ptCount val="6"/>
                <c:pt idx="0">
                  <c:v>46</c:v>
                </c:pt>
                <c:pt idx="1">
                  <c:v>755</c:v>
                </c:pt>
                <c:pt idx="2">
                  <c:v>1714</c:v>
                </c:pt>
                <c:pt idx="3">
                  <c:v>3900</c:v>
                </c:pt>
                <c:pt idx="4">
                  <c:v>5160</c:v>
                </c:pt>
                <c:pt idx="5">
                  <c:v>13345</c:v>
                </c:pt>
              </c:numCache>
            </c:numRef>
          </c:val>
          <c:extLst>
            <c:ext xmlns:c16="http://schemas.microsoft.com/office/drawing/2014/chart" uri="{C3380CC4-5D6E-409C-BE32-E72D297353CC}">
              <c16:uniqueId val="{00000000-26A8-48FA-89EC-BB1718AA5610}"/>
            </c:ext>
          </c:extLst>
        </c:ser>
        <c:dLbls>
          <c:showLegendKey val="0"/>
          <c:showVal val="0"/>
          <c:showCatName val="0"/>
          <c:showSerName val="0"/>
          <c:showPercent val="0"/>
          <c:showBubbleSize val="0"/>
        </c:dLbls>
        <c:gapWidth val="150"/>
        <c:overlap val="100"/>
        <c:axId val="84452879"/>
        <c:axId val="84439919"/>
      </c:barChart>
      <c:catAx>
        <c:axId val="844528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4439919"/>
        <c:crosses val="autoZero"/>
        <c:auto val="1"/>
        <c:lblAlgn val="ctr"/>
        <c:lblOffset val="100"/>
        <c:noMultiLvlLbl val="0"/>
      </c:catAx>
      <c:valAx>
        <c:axId val="84439919"/>
        <c:scaling>
          <c:orientation val="minMax"/>
        </c:scaling>
        <c:delete val="1"/>
        <c:axPos val="b"/>
        <c:numFmt formatCode="General" sourceLinked="1"/>
        <c:majorTickMark val="none"/>
        <c:minorTickMark val="none"/>
        <c:tickLblPos val="nextTo"/>
        <c:crossAx val="84452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[diabetes.xlsm]Tch3!PivotTable3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Age</a:t>
            </a:r>
            <a:r>
              <a:rPr lang="en-US" b="1" baseline="0">
                <a:solidFill>
                  <a:schemeClr val="tx1"/>
                </a:solidFill>
              </a:rPr>
              <a:t> vs DiabetesPedigreeFunction</a:t>
            </a:r>
            <a:endParaRPr lang="en-US" b="1">
              <a:solidFill>
                <a:schemeClr val="tx1"/>
              </a:solidFill>
            </a:endParaRPr>
          </a:p>
        </c:rich>
      </c:tx>
      <c:layout>
        <c:manualLayout>
          <c:xMode val="edge"/>
          <c:yMode val="edge"/>
          <c:x val="0.23225000000000001"/>
          <c:y val="1.851851851851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dLbl>
          <c:idx val="0"/>
          <c:layout>
            <c:manualLayout>
              <c:x val="-1.0185067526415994E-16"/>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noFill/>
          <a:ln>
            <a:noFill/>
          </a:ln>
          <a:effectLst/>
        </c:spPr>
        <c:dLbl>
          <c:idx val="0"/>
          <c:layout>
            <c:manualLayout>
              <c:x val="-5.5555555555555558E-3"/>
              <c:y val="-5.555555555555572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'Tch3'!$B$3</c:f>
              <c:strCache>
                <c:ptCount val="1"/>
                <c:pt idx="0">
                  <c:v>Total</c:v>
                </c:pt>
              </c:strCache>
            </c:strRef>
          </c:tx>
          <c:spPr>
            <a:noFill/>
            <a:ln>
              <a:noFill/>
            </a:ln>
            <a:effectLst/>
          </c:spPr>
          <c:invertIfNegative val="0"/>
          <c:dPt>
            <c:idx val="4"/>
            <c:invertIfNegative val="0"/>
            <c:bubble3D val="0"/>
            <c:extLst>
              <c:ext xmlns:c16="http://schemas.microsoft.com/office/drawing/2014/chart" uri="{C3380CC4-5D6E-409C-BE32-E72D297353CC}">
                <c16:uniqueId val="{00000003-C58A-4C87-AA1E-9C1B82523276}"/>
              </c:ext>
            </c:extLst>
          </c:dPt>
          <c:dPt>
            <c:idx val="5"/>
            <c:invertIfNegative val="0"/>
            <c:bubble3D val="0"/>
            <c:extLst>
              <c:ext xmlns:c16="http://schemas.microsoft.com/office/drawing/2014/chart" uri="{C3380CC4-5D6E-409C-BE32-E72D297353CC}">
                <c16:uniqueId val="{00000002-C58A-4C87-AA1E-9C1B82523276}"/>
              </c:ext>
            </c:extLst>
          </c:dPt>
          <c:dLbls>
            <c:dLbl>
              <c:idx val="4"/>
              <c:layout>
                <c:manualLayout>
                  <c:x val="-5.5555555555555558E-3"/>
                  <c:y val="-5.5555555555555726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58A-4C87-AA1E-9C1B82523276}"/>
                </c:ext>
              </c:extLst>
            </c:dLbl>
            <c:dLbl>
              <c:idx val="5"/>
              <c:layout>
                <c:manualLayout>
                  <c:x val="-1.0185067526415994E-16"/>
                  <c:y val="-5.5555555555555552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58A-4C87-AA1E-9C1B8252327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minus"/>
            <c:errValType val="percentage"/>
            <c:noEndCap val="1"/>
            <c:val val="100"/>
            <c:spPr>
              <a:noFill/>
              <a:ln w="63500" cap="flat" cmpd="sng" algn="ctr">
                <a:solidFill>
                  <a:schemeClr val="accent6">
                    <a:lumMod val="50000"/>
                  </a:schemeClr>
                </a:solidFill>
                <a:round/>
                <a:headEnd type="oval"/>
              </a:ln>
              <a:effectLst/>
            </c:spPr>
          </c:errBars>
          <c:cat>
            <c:strRef>
              <c:f>'Tch3'!$A$4:$A$10</c:f>
              <c:strCache>
                <c:ptCount val="6"/>
                <c:pt idx="0">
                  <c:v>21-30</c:v>
                </c:pt>
                <c:pt idx="1">
                  <c:v>31-40</c:v>
                </c:pt>
                <c:pt idx="2">
                  <c:v>41-50</c:v>
                </c:pt>
                <c:pt idx="3">
                  <c:v>51-60</c:v>
                </c:pt>
                <c:pt idx="4">
                  <c:v>61-70</c:v>
                </c:pt>
                <c:pt idx="5">
                  <c:v>71-81</c:v>
                </c:pt>
              </c:strCache>
            </c:strRef>
          </c:cat>
          <c:val>
            <c:numRef>
              <c:f>'Tch3'!$B$4:$B$10</c:f>
              <c:numCache>
                <c:formatCode>General</c:formatCode>
                <c:ptCount val="6"/>
                <c:pt idx="0">
                  <c:v>280.22399999999999</c:v>
                </c:pt>
                <c:pt idx="1">
                  <c:v>105.18299999999971</c:v>
                </c:pt>
                <c:pt idx="2">
                  <c:v>75.890999999999835</c:v>
                </c:pt>
                <c:pt idx="3">
                  <c:v>36.287999999999997</c:v>
                </c:pt>
                <c:pt idx="4">
                  <c:v>16.800000000000004</c:v>
                </c:pt>
                <c:pt idx="5">
                  <c:v>1.3440000000000001</c:v>
                </c:pt>
              </c:numCache>
            </c:numRef>
          </c:val>
          <c:extLst>
            <c:ext xmlns:c16="http://schemas.microsoft.com/office/drawing/2014/chart" uri="{C3380CC4-5D6E-409C-BE32-E72D297353CC}">
              <c16:uniqueId val="{00000000-C58A-4C87-AA1E-9C1B82523276}"/>
            </c:ext>
          </c:extLst>
        </c:ser>
        <c:dLbls>
          <c:showLegendKey val="0"/>
          <c:showVal val="0"/>
          <c:showCatName val="0"/>
          <c:showSerName val="0"/>
          <c:showPercent val="0"/>
          <c:showBubbleSize val="0"/>
        </c:dLbls>
        <c:gapWidth val="150"/>
        <c:overlap val="100"/>
        <c:axId val="84467279"/>
        <c:axId val="84467759"/>
      </c:barChart>
      <c:catAx>
        <c:axId val="84467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4467759"/>
        <c:crosses val="autoZero"/>
        <c:auto val="1"/>
        <c:lblAlgn val="ctr"/>
        <c:lblOffset val="100"/>
        <c:noMultiLvlLbl val="0"/>
      </c:catAx>
      <c:valAx>
        <c:axId val="84467759"/>
        <c:scaling>
          <c:orientation val="minMax"/>
        </c:scaling>
        <c:delete val="1"/>
        <c:axPos val="l"/>
        <c:numFmt formatCode="General" sourceLinked="1"/>
        <c:majorTickMark val="none"/>
        <c:minorTickMark val="none"/>
        <c:tickLblPos val="nextTo"/>
        <c:crossAx val="844672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[diabetes.xlsm]Tch4!PivotTable4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Age</a:t>
            </a:r>
            <a:r>
              <a:rPr lang="en-US" b="1" baseline="0">
                <a:solidFill>
                  <a:schemeClr val="tx1"/>
                </a:solidFill>
              </a:rPr>
              <a:t> Group vs Insulin</a:t>
            </a:r>
            <a:endParaRPr lang="en-US" b="1">
              <a:solidFill>
                <a:schemeClr val="tx1"/>
              </a:solidFill>
            </a:endParaRPr>
          </a:p>
        </c:rich>
      </c:tx>
      <c:layout>
        <c:manualLayout>
          <c:xMode val="edge"/>
          <c:yMode val="edge"/>
          <c:x val="0.31409711286089237"/>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'Tch4'!$B$3</c:f>
              <c:strCache>
                <c:ptCount val="1"/>
                <c:pt idx="0">
                  <c:v>Total</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minus"/>
            <c:errValType val="percentage"/>
            <c:noEndCap val="1"/>
            <c:val val="100"/>
            <c:spPr>
              <a:noFill/>
              <a:ln w="63500" cap="flat" cmpd="sng" algn="ctr">
                <a:solidFill>
                  <a:schemeClr val="tx1">
                    <a:lumMod val="65000"/>
                    <a:lumOff val="35000"/>
                  </a:schemeClr>
                </a:solidFill>
                <a:round/>
                <a:headEnd type="oval"/>
              </a:ln>
              <a:effectLst/>
            </c:spPr>
          </c:errBars>
          <c:cat>
            <c:strRef>
              <c:f>'Tch4'!$A$4:$A$10</c:f>
              <c:strCache>
                <c:ptCount val="6"/>
                <c:pt idx="0">
                  <c:v>71-81</c:v>
                </c:pt>
                <c:pt idx="1">
                  <c:v>61-70</c:v>
                </c:pt>
                <c:pt idx="2">
                  <c:v>51-60</c:v>
                </c:pt>
                <c:pt idx="3">
                  <c:v>41-50</c:v>
                </c:pt>
                <c:pt idx="4">
                  <c:v>31-40</c:v>
                </c:pt>
                <c:pt idx="5">
                  <c:v>21-30</c:v>
                </c:pt>
              </c:strCache>
            </c:strRef>
          </c:cat>
          <c:val>
            <c:numRef>
              <c:f>'Tch4'!$B$4:$B$10</c:f>
              <c:numCache>
                <c:formatCode>General</c:formatCode>
                <c:ptCount val="6"/>
                <c:pt idx="0">
                  <c:v>140</c:v>
                </c:pt>
                <c:pt idx="1">
                  <c:v>2210</c:v>
                </c:pt>
                <c:pt idx="2">
                  <c:v>9166</c:v>
                </c:pt>
                <c:pt idx="3">
                  <c:v>12491</c:v>
                </c:pt>
                <c:pt idx="4">
                  <c:v>18683</c:v>
                </c:pt>
                <c:pt idx="5">
                  <c:v>48516</c:v>
                </c:pt>
              </c:numCache>
            </c:numRef>
          </c:val>
          <c:extLst>
            <c:ext xmlns:c16="http://schemas.microsoft.com/office/drawing/2014/chart" uri="{C3380CC4-5D6E-409C-BE32-E72D297353CC}">
              <c16:uniqueId val="{00000000-7EE5-4609-821B-906349E8DEB3}"/>
            </c:ext>
          </c:extLst>
        </c:ser>
        <c:dLbls>
          <c:showLegendKey val="0"/>
          <c:showVal val="0"/>
          <c:showCatName val="0"/>
          <c:showSerName val="0"/>
          <c:showPercent val="0"/>
          <c:showBubbleSize val="0"/>
        </c:dLbls>
        <c:gapWidth val="150"/>
        <c:overlap val="100"/>
        <c:axId val="84465839"/>
        <c:axId val="84466319"/>
      </c:barChart>
      <c:catAx>
        <c:axId val="844658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4466319"/>
        <c:crosses val="autoZero"/>
        <c:auto val="1"/>
        <c:lblAlgn val="ctr"/>
        <c:lblOffset val="100"/>
        <c:noMultiLvlLbl val="0"/>
      </c:catAx>
      <c:valAx>
        <c:axId val="84466319"/>
        <c:scaling>
          <c:orientation val="minMax"/>
        </c:scaling>
        <c:delete val="1"/>
        <c:axPos val="b"/>
        <c:numFmt formatCode="General" sourceLinked="1"/>
        <c:majorTickMark val="none"/>
        <c:minorTickMark val="none"/>
        <c:tickLblPos val="nextTo"/>
        <c:crossAx val="844658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[diabetes.xlsm]Tch5!PivotTable5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Age</a:t>
            </a:r>
            <a:r>
              <a:rPr lang="en-US" b="1" baseline="0">
                <a:solidFill>
                  <a:schemeClr val="tx1"/>
                </a:solidFill>
              </a:rPr>
              <a:t> Group vs Skin Thickness</a:t>
            </a:r>
            <a:endParaRPr lang="en-US" b="1">
              <a:solidFill>
                <a:schemeClr val="tx1"/>
              </a:solidFill>
            </a:endParaRPr>
          </a:p>
        </c:rich>
      </c:tx>
      <c:layout>
        <c:manualLayout>
          <c:xMode val="edge"/>
          <c:yMode val="edge"/>
          <c:x val="0.2391178915135608"/>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5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bar3DChart>
        <c:barDir val="col"/>
        <c:grouping val="stacked"/>
        <c:varyColors val="0"/>
        <c:ser>
          <c:idx val="0"/>
          <c:order val="0"/>
          <c:tx>
            <c:strRef>
              <c:f>'Tch5'!$B$3</c:f>
              <c:strCache>
                <c:ptCount val="1"/>
                <c:pt idx="0">
                  <c:v>Total</c:v>
                </c:pt>
              </c:strCache>
            </c:strRef>
          </c:tx>
          <c:spPr>
            <a:solidFill>
              <a:schemeClr val="accent6">
                <a:lumMod val="5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'Tch5'!$A$4:$A$10</c:f>
              <c:strCache>
                <c:ptCount val="6"/>
                <c:pt idx="0">
                  <c:v>21-30</c:v>
                </c:pt>
                <c:pt idx="1">
                  <c:v>31-40</c:v>
                </c:pt>
                <c:pt idx="2">
                  <c:v>41-50</c:v>
                </c:pt>
                <c:pt idx="3">
                  <c:v>51-60</c:v>
                </c:pt>
                <c:pt idx="4">
                  <c:v>61-70</c:v>
                </c:pt>
                <c:pt idx="5">
                  <c:v>71-81</c:v>
                </c:pt>
              </c:strCache>
            </c:strRef>
          </c:cat>
          <c:val>
            <c:numRef>
              <c:f>'Tch5'!$B$4:$B$10</c:f>
              <c:numCache>
                <c:formatCode>General</c:formatCode>
                <c:ptCount val="6"/>
                <c:pt idx="0">
                  <c:v>10979</c:v>
                </c:pt>
                <c:pt idx="1">
                  <c:v>4359</c:v>
                </c:pt>
                <c:pt idx="2">
                  <c:v>3094</c:v>
                </c:pt>
                <c:pt idx="3">
                  <c:v>1398</c:v>
                </c:pt>
                <c:pt idx="4">
                  <c:v>655</c:v>
                </c:pt>
                <c:pt idx="5">
                  <c:v>54</c:v>
                </c:pt>
              </c:numCache>
            </c:numRef>
          </c:val>
          <c:extLst>
            <c:ext xmlns:c16="http://schemas.microsoft.com/office/drawing/2014/chart" uri="{C3380CC4-5D6E-409C-BE32-E72D297353CC}">
              <c16:uniqueId val="{00000000-D6BD-4AFB-A889-1E4C94B2A29A}"/>
            </c:ext>
          </c:extLst>
        </c:ser>
        <c:dLbls>
          <c:showLegendKey val="0"/>
          <c:showVal val="0"/>
          <c:showCatName val="0"/>
          <c:showSerName val="0"/>
          <c:showPercent val="0"/>
          <c:showBubbleSize val="0"/>
        </c:dLbls>
        <c:gapWidth val="150"/>
        <c:shape val="cone"/>
        <c:axId val="84407759"/>
        <c:axId val="84432719"/>
        <c:axId val="0"/>
      </c:bar3DChart>
      <c:catAx>
        <c:axId val="844077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4432719"/>
        <c:crosses val="autoZero"/>
        <c:auto val="1"/>
        <c:lblAlgn val="ctr"/>
        <c:lblOffset val="100"/>
        <c:noMultiLvlLbl val="0"/>
      </c:catAx>
      <c:valAx>
        <c:axId val="8443271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8440775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[diabetes.xlsm]Ach7!PivotTable6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Outcome</a:t>
            </a:r>
            <a:r>
              <a:rPr lang="en-US" b="1" baseline="0">
                <a:solidFill>
                  <a:schemeClr val="tx1"/>
                </a:solidFill>
              </a:rPr>
              <a:t> By Age Group Range</a:t>
            </a:r>
            <a:endParaRPr lang="en-US" b="1">
              <a:solidFill>
                <a:schemeClr val="tx1"/>
              </a:solidFill>
            </a:endParaRPr>
          </a:p>
        </c:rich>
      </c:tx>
      <c:layout>
        <c:manualLayout>
          <c:xMode val="edge"/>
          <c:yMode val="edge"/>
          <c:x val="0.25669444444444445"/>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'Ach7'!$B$3</c:f>
              <c:strCache>
                <c:ptCount val="1"/>
                <c:pt idx="0">
                  <c:v>Total</c:v>
                </c:pt>
              </c:strCache>
            </c:strRef>
          </c:tx>
          <c:spPr>
            <a:solidFill>
              <a:srgbClr val="006ABE"/>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'Ach7'!$A$4:$A$10</c:f>
              <c:strCache>
                <c:ptCount val="6"/>
                <c:pt idx="0">
                  <c:v>21-30</c:v>
                </c:pt>
                <c:pt idx="1">
                  <c:v>31-40</c:v>
                </c:pt>
                <c:pt idx="2">
                  <c:v>41-50</c:v>
                </c:pt>
                <c:pt idx="3">
                  <c:v>51-60</c:v>
                </c:pt>
                <c:pt idx="4">
                  <c:v>61-70</c:v>
                </c:pt>
                <c:pt idx="5">
                  <c:v>71-81</c:v>
                </c:pt>
              </c:strCache>
            </c:strRef>
          </c:cat>
          <c:val>
            <c:numRef>
              <c:f>'Ach7'!$B$4:$B$10</c:f>
              <c:numCache>
                <c:formatCode>0.00%</c:formatCode>
                <c:ptCount val="6"/>
                <c:pt idx="0">
                  <c:v>0.33582089552238809</c:v>
                </c:pt>
                <c:pt idx="1">
                  <c:v>0.28358208955223879</c:v>
                </c:pt>
                <c:pt idx="2">
                  <c:v>0.23880597014925373</c:v>
                </c:pt>
                <c:pt idx="3">
                  <c:v>0.11567164179104478</c:v>
                </c:pt>
                <c:pt idx="4">
                  <c:v>2.6119402985074626E-2</c:v>
                </c:pt>
                <c:pt idx="5">
                  <c:v>0</c:v>
                </c:pt>
              </c:numCache>
            </c:numRef>
          </c:val>
          <c:extLst>
            <c:ext xmlns:c16="http://schemas.microsoft.com/office/drawing/2014/chart" uri="{C3380CC4-5D6E-409C-BE32-E72D297353CC}">
              <c16:uniqueId val="{00000000-44F8-4ABB-A34E-4008A15C0B2C}"/>
            </c:ext>
          </c:extLst>
        </c:ser>
        <c:dLbls>
          <c:showLegendKey val="0"/>
          <c:showVal val="0"/>
          <c:showCatName val="0"/>
          <c:showSerName val="0"/>
          <c:showPercent val="0"/>
          <c:showBubbleSize val="0"/>
        </c:dLbls>
        <c:gapWidth val="150"/>
        <c:overlap val="100"/>
        <c:axId val="1004826159"/>
        <c:axId val="1004816079"/>
      </c:barChart>
      <c:catAx>
        <c:axId val="1004826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004816079"/>
        <c:crosses val="autoZero"/>
        <c:auto val="1"/>
        <c:lblAlgn val="ctr"/>
        <c:lblOffset val="100"/>
        <c:noMultiLvlLbl val="0"/>
      </c:catAx>
      <c:valAx>
        <c:axId val="1004816079"/>
        <c:scaling>
          <c:orientation val="minMax"/>
        </c:scaling>
        <c:delete val="1"/>
        <c:axPos val="l"/>
        <c:numFmt formatCode="0.00%" sourceLinked="1"/>
        <c:majorTickMark val="none"/>
        <c:minorTickMark val="none"/>
        <c:tickLblPos val="nextTo"/>
        <c:crossAx val="10048261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[diabetes.xlsm]A2ch6!PivotTable5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BloodPressure</a:t>
            </a:r>
            <a:r>
              <a:rPr lang="en-US" b="1" baseline="0">
                <a:solidFill>
                  <a:schemeClr val="tx1"/>
                </a:solidFill>
              </a:rPr>
              <a:t> By Age Group Range</a:t>
            </a:r>
            <a:endParaRPr lang="en-US" b="1">
              <a:solidFill>
                <a:schemeClr val="tx1"/>
              </a:solidFill>
            </a:endParaRPr>
          </a:p>
        </c:rich>
      </c:tx>
      <c:layout>
        <c:manualLayout>
          <c:xMode val="edge"/>
          <c:yMode val="edge"/>
          <c:x val="0.21318744531933506"/>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A2ch6!$B$3</c:f>
              <c:strCache>
                <c:ptCount val="1"/>
                <c:pt idx="0">
                  <c:v>Total</c:v>
                </c:pt>
              </c:strCache>
            </c:strRef>
          </c:tx>
          <c:spPr>
            <a:solidFill>
              <a:srgbClr val="006ABE"/>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A2ch6!$A$4:$A$10</c:f>
              <c:strCache>
                <c:ptCount val="6"/>
                <c:pt idx="0">
                  <c:v>21-30</c:v>
                </c:pt>
                <c:pt idx="1">
                  <c:v>31-40</c:v>
                </c:pt>
                <c:pt idx="2">
                  <c:v>41-50</c:v>
                </c:pt>
                <c:pt idx="3">
                  <c:v>51-60</c:v>
                </c:pt>
                <c:pt idx="4">
                  <c:v>61-70</c:v>
                </c:pt>
                <c:pt idx="5">
                  <c:v>71-81</c:v>
                </c:pt>
              </c:strCache>
            </c:strRef>
          </c:cat>
          <c:val>
            <c:numRef>
              <c:f>A2ch6!$B$4:$B$10</c:f>
              <c:numCache>
                <c:formatCode>0.00%</c:formatCode>
                <c:ptCount val="6"/>
                <c:pt idx="0">
                  <c:v>0.51827422145328716</c:v>
                </c:pt>
                <c:pt idx="1">
                  <c:v>0.20878388119953864</c:v>
                </c:pt>
                <c:pt idx="2">
                  <c:v>0.15727724913494809</c:v>
                </c:pt>
                <c:pt idx="3">
                  <c:v>7.790873702422145E-2</c:v>
                </c:pt>
                <c:pt idx="4">
                  <c:v>3.5178777393310268E-2</c:v>
                </c:pt>
                <c:pt idx="5">
                  <c:v>2.5771337946943482E-3</c:v>
                </c:pt>
              </c:numCache>
            </c:numRef>
          </c:val>
          <c:extLst>
            <c:ext xmlns:c16="http://schemas.microsoft.com/office/drawing/2014/chart" uri="{C3380CC4-5D6E-409C-BE32-E72D297353CC}">
              <c16:uniqueId val="{00000000-DBEB-4B0B-854F-2B515B0CD154}"/>
            </c:ext>
          </c:extLst>
        </c:ser>
        <c:dLbls>
          <c:showLegendKey val="0"/>
          <c:showVal val="0"/>
          <c:showCatName val="0"/>
          <c:showSerName val="0"/>
          <c:showPercent val="0"/>
          <c:showBubbleSize val="0"/>
        </c:dLbls>
        <c:gapWidth val="150"/>
        <c:overlap val="100"/>
        <c:axId val="1004865999"/>
        <c:axId val="1004813679"/>
      </c:barChart>
      <c:catAx>
        <c:axId val="100486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004813679"/>
        <c:crosses val="autoZero"/>
        <c:auto val="1"/>
        <c:lblAlgn val="ctr"/>
        <c:lblOffset val="100"/>
        <c:noMultiLvlLbl val="0"/>
      </c:catAx>
      <c:valAx>
        <c:axId val="1004813679"/>
        <c:scaling>
          <c:orientation val="minMax"/>
        </c:scaling>
        <c:delete val="1"/>
        <c:axPos val="l"/>
        <c:numFmt formatCode="0.00%" sourceLinked="1"/>
        <c:majorTickMark val="none"/>
        <c:minorTickMark val="none"/>
        <c:tickLblPos val="nextTo"/>
        <c:crossAx val="10048659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[diabetes.xlsm]A2ch5!PivotTable4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Skin</a:t>
            </a:r>
            <a:r>
              <a:rPr lang="en-US" b="1" baseline="0">
                <a:solidFill>
                  <a:schemeClr val="tx1"/>
                </a:solidFill>
              </a:rPr>
              <a:t> Thickness By Age Group Range</a:t>
            </a:r>
            <a:endParaRPr lang="en-US" b="1">
              <a:solidFill>
                <a:schemeClr val="tx1"/>
              </a:solidFill>
            </a:endParaRPr>
          </a:p>
        </c:rich>
      </c:tx>
      <c:layout>
        <c:manualLayout>
          <c:xMode val="edge"/>
          <c:yMode val="edge"/>
          <c:x val="0.21920122484689414"/>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A2ch5!$B$3</c:f>
              <c:strCache>
                <c:ptCount val="1"/>
                <c:pt idx="0">
                  <c:v>Total</c:v>
                </c:pt>
              </c:strCache>
            </c:strRef>
          </c:tx>
          <c:spPr>
            <a:solidFill>
              <a:srgbClr val="006ABE"/>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A2ch5!$A$4:$A$9</c:f>
              <c:strCache>
                <c:ptCount val="6"/>
                <c:pt idx="0">
                  <c:v>21-30</c:v>
                </c:pt>
                <c:pt idx="1">
                  <c:v>31-40</c:v>
                </c:pt>
                <c:pt idx="2">
                  <c:v>41-50</c:v>
                </c:pt>
                <c:pt idx="3">
                  <c:v>51-60</c:v>
                </c:pt>
                <c:pt idx="4">
                  <c:v>61-70</c:v>
                </c:pt>
                <c:pt idx="5">
                  <c:v>71-81</c:v>
                </c:pt>
              </c:strCache>
            </c:strRef>
          </c:cat>
          <c:val>
            <c:numRef>
              <c:f>A2ch5!$B$4:$B$9</c:f>
              <c:numCache>
                <c:formatCode>0.00%</c:formatCode>
                <c:ptCount val="6"/>
                <c:pt idx="0">
                  <c:v>0.53454403817128393</c:v>
                </c:pt>
                <c:pt idx="1">
                  <c:v>0.2122303909635328</c:v>
                </c:pt>
                <c:pt idx="2">
                  <c:v>0.15064024538682508</c:v>
                </c:pt>
                <c:pt idx="3">
                  <c:v>6.8065631238132335E-2</c:v>
                </c:pt>
                <c:pt idx="4">
                  <c:v>3.189054968596329E-2</c:v>
                </c:pt>
                <c:pt idx="5">
                  <c:v>2.6291445542626223E-3</c:v>
                </c:pt>
              </c:numCache>
            </c:numRef>
          </c:val>
          <c:extLst>
            <c:ext xmlns:c16="http://schemas.microsoft.com/office/drawing/2014/chart" uri="{C3380CC4-5D6E-409C-BE32-E72D297353CC}">
              <c16:uniqueId val="{00000000-A68E-48A8-9E2E-A89521D63440}"/>
            </c:ext>
          </c:extLst>
        </c:ser>
        <c:dLbls>
          <c:showLegendKey val="0"/>
          <c:showVal val="0"/>
          <c:showCatName val="0"/>
          <c:showSerName val="0"/>
          <c:showPercent val="0"/>
          <c:showBubbleSize val="0"/>
        </c:dLbls>
        <c:gapWidth val="150"/>
        <c:overlap val="100"/>
        <c:axId val="1004854959"/>
        <c:axId val="1004838639"/>
      </c:barChart>
      <c:catAx>
        <c:axId val="1004854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004838639"/>
        <c:crosses val="autoZero"/>
        <c:auto val="1"/>
        <c:lblAlgn val="ctr"/>
        <c:lblOffset val="100"/>
        <c:noMultiLvlLbl val="0"/>
      </c:catAx>
      <c:valAx>
        <c:axId val="1004838639"/>
        <c:scaling>
          <c:orientation val="minMax"/>
        </c:scaling>
        <c:delete val="1"/>
        <c:axPos val="l"/>
        <c:numFmt formatCode="0.00%" sourceLinked="1"/>
        <c:majorTickMark val="none"/>
        <c:minorTickMark val="none"/>
        <c:tickLblPos val="nextTo"/>
        <c:crossAx val="100485495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[diabetes.xlsm]A2ch4!PivotTable3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Insulin</a:t>
            </a:r>
            <a:r>
              <a:rPr lang="en-US" b="1" baseline="0">
                <a:solidFill>
                  <a:schemeClr val="tx1"/>
                </a:solidFill>
              </a:rPr>
              <a:t> By Age Group Range</a:t>
            </a:r>
            <a:endParaRPr lang="en-US" b="1">
              <a:solidFill>
                <a:schemeClr val="tx1"/>
              </a:solidFill>
            </a:endParaRPr>
          </a:p>
        </c:rich>
      </c:tx>
      <c:layout>
        <c:manualLayout>
          <c:xMode val="edge"/>
          <c:yMode val="edge"/>
          <c:x val="0.27195822397200348"/>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A2ch4!$B$3</c:f>
              <c:strCache>
                <c:ptCount val="1"/>
                <c:pt idx="0">
                  <c:v>Total</c:v>
                </c:pt>
              </c:strCache>
            </c:strRef>
          </c:tx>
          <c:spPr>
            <a:solidFill>
              <a:srgbClr val="006ABE"/>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A2ch4!$A$4:$A$9</c:f>
              <c:strCache>
                <c:ptCount val="6"/>
                <c:pt idx="0">
                  <c:v>21-30</c:v>
                </c:pt>
                <c:pt idx="1">
                  <c:v>31-40</c:v>
                </c:pt>
                <c:pt idx="2">
                  <c:v>41-50</c:v>
                </c:pt>
                <c:pt idx="3">
                  <c:v>51-60</c:v>
                </c:pt>
                <c:pt idx="4">
                  <c:v>61-70</c:v>
                </c:pt>
                <c:pt idx="5">
                  <c:v>71-81</c:v>
                </c:pt>
              </c:strCache>
            </c:strRef>
          </c:cat>
          <c:val>
            <c:numRef>
              <c:f>A2ch4!$B$4:$B$9</c:f>
              <c:numCache>
                <c:formatCode>0.00%</c:formatCode>
                <c:ptCount val="6"/>
                <c:pt idx="0">
                  <c:v>0.53193868824419444</c:v>
                </c:pt>
                <c:pt idx="1">
                  <c:v>0.20484397956274805</c:v>
                </c:pt>
                <c:pt idx="2">
                  <c:v>0.13695370918579919</c:v>
                </c:pt>
                <c:pt idx="3">
                  <c:v>0.10049777426923667</c:v>
                </c:pt>
                <c:pt idx="4">
                  <c:v>2.4230862004692672E-2</c:v>
                </c:pt>
                <c:pt idx="5">
                  <c:v>1.5349867333289476E-3</c:v>
                </c:pt>
              </c:numCache>
            </c:numRef>
          </c:val>
          <c:extLst>
            <c:ext xmlns:c16="http://schemas.microsoft.com/office/drawing/2014/chart" uri="{C3380CC4-5D6E-409C-BE32-E72D297353CC}">
              <c16:uniqueId val="{00000000-BF0B-4843-A787-FDB7C783F4A3}"/>
            </c:ext>
          </c:extLst>
        </c:ser>
        <c:dLbls>
          <c:showLegendKey val="0"/>
          <c:showVal val="0"/>
          <c:showCatName val="0"/>
          <c:showSerName val="0"/>
          <c:showPercent val="0"/>
          <c:showBubbleSize val="0"/>
        </c:dLbls>
        <c:gapWidth val="150"/>
        <c:overlap val="100"/>
        <c:axId val="1004851119"/>
        <c:axId val="1004859279"/>
      </c:barChart>
      <c:catAx>
        <c:axId val="1004851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004859279"/>
        <c:crosses val="autoZero"/>
        <c:auto val="1"/>
        <c:lblAlgn val="ctr"/>
        <c:lblOffset val="100"/>
        <c:noMultiLvlLbl val="0"/>
      </c:catAx>
      <c:valAx>
        <c:axId val="1004859279"/>
        <c:scaling>
          <c:orientation val="minMax"/>
        </c:scaling>
        <c:delete val="1"/>
        <c:axPos val="l"/>
        <c:numFmt formatCode="0.00%" sourceLinked="1"/>
        <c:majorTickMark val="none"/>
        <c:minorTickMark val="none"/>
        <c:tickLblPos val="nextTo"/>
        <c:crossAx val="10048511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[diabetes.xlsm]A2ch3!PivotTable2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DiabetesPedigreeFunction</a:t>
            </a:r>
            <a:r>
              <a:rPr lang="en-US" b="1" baseline="0"/>
              <a:t> By Age Group Range</a:t>
            </a:r>
            <a:endParaRPr lang="en-US" b="1"/>
          </a:p>
        </c:rich>
      </c:tx>
      <c:layout>
        <c:manualLayout>
          <c:xMode val="edge"/>
          <c:yMode val="edge"/>
          <c:x val="0.10296522309711287"/>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A2ch3!$B$3</c:f>
              <c:strCache>
                <c:ptCount val="1"/>
                <c:pt idx="0">
                  <c:v>Total</c:v>
                </c:pt>
              </c:strCache>
            </c:strRef>
          </c:tx>
          <c:spPr>
            <a:solidFill>
              <a:srgbClr val="006ABE"/>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A2ch3!$A$4:$A$10</c:f>
              <c:strCache>
                <c:ptCount val="6"/>
                <c:pt idx="0">
                  <c:v>21-30</c:v>
                </c:pt>
                <c:pt idx="1">
                  <c:v>31-40</c:v>
                </c:pt>
                <c:pt idx="2">
                  <c:v>41-50</c:v>
                </c:pt>
                <c:pt idx="3">
                  <c:v>51-60</c:v>
                </c:pt>
                <c:pt idx="4">
                  <c:v>61-70</c:v>
                </c:pt>
                <c:pt idx="5">
                  <c:v>71-81</c:v>
                </c:pt>
              </c:strCache>
            </c:strRef>
          </c:cat>
          <c:val>
            <c:numRef>
              <c:f>A2ch3!$B$4:$B$10</c:f>
              <c:numCache>
                <c:formatCode>0.00%</c:formatCode>
                <c:ptCount val="6"/>
                <c:pt idx="0">
                  <c:v>0.54335408062358259</c:v>
                </c:pt>
                <c:pt idx="1">
                  <c:v>0.20394974114362127</c:v>
                </c:pt>
                <c:pt idx="2">
                  <c:v>0.14715257983828728</c:v>
                </c:pt>
                <c:pt idx="3">
                  <c:v>7.0362398929672554E-2</c:v>
                </c:pt>
                <c:pt idx="4">
                  <c:v>3.2575184689663229E-2</c:v>
                </c:pt>
                <c:pt idx="5">
                  <c:v>2.6060147751730579E-3</c:v>
                </c:pt>
              </c:numCache>
            </c:numRef>
          </c:val>
          <c:extLst>
            <c:ext xmlns:c16="http://schemas.microsoft.com/office/drawing/2014/chart" uri="{C3380CC4-5D6E-409C-BE32-E72D297353CC}">
              <c16:uniqueId val="{00000000-5170-45F7-808A-6A5407428232}"/>
            </c:ext>
          </c:extLst>
        </c:ser>
        <c:dLbls>
          <c:showLegendKey val="0"/>
          <c:showVal val="0"/>
          <c:showCatName val="0"/>
          <c:showSerName val="0"/>
          <c:showPercent val="0"/>
          <c:showBubbleSize val="0"/>
        </c:dLbls>
        <c:gapWidth val="150"/>
        <c:overlap val="100"/>
        <c:axId val="825212319"/>
        <c:axId val="825229599"/>
      </c:barChart>
      <c:catAx>
        <c:axId val="825212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25229599"/>
        <c:crosses val="autoZero"/>
        <c:auto val="1"/>
        <c:lblAlgn val="ctr"/>
        <c:lblOffset val="100"/>
        <c:noMultiLvlLbl val="0"/>
      </c:catAx>
      <c:valAx>
        <c:axId val="825229599"/>
        <c:scaling>
          <c:orientation val="minMax"/>
        </c:scaling>
        <c:delete val="1"/>
        <c:axPos val="l"/>
        <c:numFmt formatCode="0.00%" sourceLinked="1"/>
        <c:majorTickMark val="none"/>
        <c:minorTickMark val="none"/>
        <c:tickLblPos val="nextTo"/>
        <c:crossAx val="8252123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[diabetes.xlsm]A2ch1!PivotTable2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Glucose</a:t>
            </a:r>
            <a:r>
              <a:rPr lang="en-US" b="1" baseline="0">
                <a:solidFill>
                  <a:schemeClr val="tx1"/>
                </a:solidFill>
              </a:rPr>
              <a:t> By Age Group Range</a:t>
            </a:r>
            <a:endParaRPr lang="en-US" b="1">
              <a:solidFill>
                <a:schemeClr val="tx1"/>
              </a:solidFill>
            </a:endParaRPr>
          </a:p>
        </c:rich>
      </c:tx>
      <c:layout>
        <c:manualLayout>
          <c:xMode val="edge"/>
          <c:yMode val="edge"/>
          <c:x val="0.2642707786526684"/>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A2ch1!$B$3</c:f>
              <c:strCache>
                <c:ptCount val="1"/>
                <c:pt idx="0">
                  <c:v>Total</c:v>
                </c:pt>
              </c:strCache>
            </c:strRef>
          </c:tx>
          <c:spPr>
            <a:solidFill>
              <a:srgbClr val="006ABE"/>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A2ch1!$A$4:$A$9</c:f>
              <c:strCache>
                <c:ptCount val="6"/>
                <c:pt idx="0">
                  <c:v>21-30</c:v>
                </c:pt>
                <c:pt idx="1">
                  <c:v>31-40</c:v>
                </c:pt>
                <c:pt idx="2">
                  <c:v>41-50</c:v>
                </c:pt>
                <c:pt idx="3">
                  <c:v>51-60</c:v>
                </c:pt>
                <c:pt idx="4">
                  <c:v>61-70</c:v>
                </c:pt>
                <c:pt idx="5">
                  <c:v>71-81</c:v>
                </c:pt>
              </c:strCache>
            </c:strRef>
          </c:cat>
          <c:val>
            <c:numRef>
              <c:f>A2ch1!$B$4:$B$9</c:f>
              <c:numCache>
                <c:formatCode>0.00%</c:formatCode>
                <c:ptCount val="6"/>
                <c:pt idx="0">
                  <c:v>0.51335444934297825</c:v>
                </c:pt>
                <c:pt idx="1">
                  <c:v>0.2132752643068099</c:v>
                </c:pt>
                <c:pt idx="2">
                  <c:v>0.15230278645721868</c:v>
                </c:pt>
                <c:pt idx="3">
                  <c:v>8.1560587253349318E-2</c:v>
                </c:pt>
                <c:pt idx="4">
                  <c:v>3.6799640457133076E-2</c:v>
                </c:pt>
                <c:pt idx="5">
                  <c:v>2.7072721825108078E-3</c:v>
                </c:pt>
              </c:numCache>
            </c:numRef>
          </c:val>
          <c:extLst>
            <c:ext xmlns:c16="http://schemas.microsoft.com/office/drawing/2014/chart" uri="{C3380CC4-5D6E-409C-BE32-E72D297353CC}">
              <c16:uniqueId val="{00000000-DD56-4DBD-BE52-F658BE4113C7}"/>
            </c:ext>
          </c:extLst>
        </c:ser>
        <c:dLbls>
          <c:showLegendKey val="0"/>
          <c:showVal val="0"/>
          <c:showCatName val="0"/>
          <c:showSerName val="0"/>
          <c:showPercent val="0"/>
          <c:showBubbleSize val="0"/>
        </c:dLbls>
        <c:gapWidth val="219"/>
        <c:overlap val="-27"/>
        <c:axId val="825209439"/>
        <c:axId val="825209919"/>
      </c:barChart>
      <c:catAx>
        <c:axId val="825209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25209919"/>
        <c:crosses val="autoZero"/>
        <c:auto val="1"/>
        <c:lblAlgn val="ctr"/>
        <c:lblOffset val="100"/>
        <c:noMultiLvlLbl val="0"/>
      </c:catAx>
      <c:valAx>
        <c:axId val="825209919"/>
        <c:scaling>
          <c:orientation val="minMax"/>
        </c:scaling>
        <c:delete val="1"/>
        <c:axPos val="l"/>
        <c:numFmt formatCode="0.00%" sourceLinked="1"/>
        <c:majorTickMark val="none"/>
        <c:minorTickMark val="none"/>
        <c:tickLblPos val="nextTo"/>
        <c:crossAx val="8252094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[diabetes.xlsm]A2ch2!PivotTable1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BMI</a:t>
            </a:r>
            <a:r>
              <a:rPr lang="en-US" b="1" baseline="0">
                <a:solidFill>
                  <a:schemeClr val="tx1"/>
                </a:solidFill>
              </a:rPr>
              <a:t> By Age Group Range</a:t>
            </a:r>
            <a:endParaRPr lang="en-US" b="1">
              <a:solidFill>
                <a:schemeClr val="tx1"/>
              </a:solidFill>
            </a:endParaRPr>
          </a:p>
        </c:rich>
      </c:tx>
      <c:layout>
        <c:manualLayout>
          <c:xMode val="edge"/>
          <c:yMode val="edge"/>
          <c:x val="0.2961178915135608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6AB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A2ch2!$B$3</c:f>
              <c:strCache>
                <c:ptCount val="1"/>
                <c:pt idx="0">
                  <c:v>Total</c:v>
                </c:pt>
              </c:strCache>
            </c:strRef>
          </c:tx>
          <c:spPr>
            <a:solidFill>
              <a:srgbClr val="006AB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A2ch2!$A$4:$A$9</c:f>
              <c:strCache>
                <c:ptCount val="6"/>
                <c:pt idx="0">
                  <c:v>21-30</c:v>
                </c:pt>
                <c:pt idx="1">
                  <c:v>31-40</c:v>
                </c:pt>
                <c:pt idx="2">
                  <c:v>41-50</c:v>
                </c:pt>
                <c:pt idx="3">
                  <c:v>51-60</c:v>
                </c:pt>
                <c:pt idx="4">
                  <c:v>61-70</c:v>
                </c:pt>
                <c:pt idx="5">
                  <c:v>71-81</c:v>
                </c:pt>
              </c:strCache>
            </c:strRef>
          </c:cat>
          <c:val>
            <c:numRef>
              <c:f>A2ch2!$B$4:$B$9</c:f>
              <c:numCache>
                <c:formatCode>0.00%</c:formatCode>
                <c:ptCount val="6"/>
                <c:pt idx="0">
                  <c:v>0.40181754083591209</c:v>
                </c:pt>
                <c:pt idx="1">
                  <c:v>0.21614634337420188</c:v>
                </c:pt>
                <c:pt idx="2">
                  <c:v>0.19620823377335578</c:v>
                </c:pt>
                <c:pt idx="3">
                  <c:v>0.1162991108151514</c:v>
                </c:pt>
                <c:pt idx="4">
                  <c:v>6.3535586979513489E-2</c:v>
                </c:pt>
                <c:pt idx="5">
                  <c:v>5.9931842218653294E-3</c:v>
                </c:pt>
              </c:numCache>
            </c:numRef>
          </c:val>
          <c:extLst>
            <c:ext xmlns:c16="http://schemas.microsoft.com/office/drawing/2014/chart" uri="{C3380CC4-5D6E-409C-BE32-E72D297353CC}">
              <c16:uniqueId val="{00000000-D7B0-4F9A-B8C0-6EE2CCD458F7}"/>
            </c:ext>
          </c:extLst>
        </c:ser>
        <c:dLbls>
          <c:showLegendKey val="0"/>
          <c:showVal val="0"/>
          <c:showCatName val="0"/>
          <c:showSerName val="0"/>
          <c:showPercent val="0"/>
          <c:showBubbleSize val="0"/>
        </c:dLbls>
        <c:gapWidth val="219"/>
        <c:overlap val="-27"/>
        <c:axId val="825238719"/>
        <c:axId val="825228639"/>
      </c:barChart>
      <c:catAx>
        <c:axId val="8252387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25228639"/>
        <c:crosses val="autoZero"/>
        <c:auto val="1"/>
        <c:lblAlgn val="ctr"/>
        <c:lblOffset val="100"/>
        <c:noMultiLvlLbl val="0"/>
      </c:catAx>
      <c:valAx>
        <c:axId val="825228639"/>
        <c:scaling>
          <c:orientation val="minMax"/>
        </c:scaling>
        <c:delete val="1"/>
        <c:axPos val="l"/>
        <c:numFmt formatCode="0.00%" sourceLinked="1"/>
        <c:majorTickMark val="none"/>
        <c:minorTickMark val="none"/>
        <c:tickLblPos val="nextTo"/>
        <c:crossAx val="825238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86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Age Group vs BloodPressure</cx:v>
        </cx:txData>
      </cx:tx>
      <cx:txPr>
        <a:bodyPr spcFirstLastPara="1" vertOverflow="ellipsis" horzOverflow="overflow" wrap="square" lIns="0" tIns="0" rIns="0" bIns="0" anchor="ctr" anchorCtr="1"/>
        <a:lstStyle/>
        <a:p>
          <a:pPr algn="ctr" rtl="0">
            <a:defRPr/>
          </a:pPr>
          <a:r>
            <a:rPr lang="en-US" sz="1400" b="1" i="0" u="none" strike="noStrike" baseline="0">
              <a:solidFill>
                <a:schemeClr val="tx1"/>
              </a:solidFill>
              <a:latin typeface="Calibri" panose="020F0502020204030204"/>
            </a:rPr>
            <a:t>Age Group vs BloodPressure</a:t>
          </a:r>
        </a:p>
      </cx:txPr>
    </cx:title>
    <cx:plotArea>
      <cx:plotAreaRegion>
        <cx:series layoutId="funnel" uniqueId="{C974631F-F3C7-4B93-A99C-833F0A3C9D2B}">
          <cx:spPr>
            <a:solidFill>
              <a:schemeClr val="accent6">
                <a:lumMod val="50000"/>
              </a:schemeClr>
            </a:solidFill>
          </cx:spPr>
          <cx:dataLabels>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Calibri" panose="020F050202020403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Calibri" panose="020F0502020204030204"/>
            </a:endParaRPr>
          </a:p>
        </cx:txPr>
      </cx:axis>
    </cx:plotArea>
  </cx:chart>
  <cx:spPr>
    <a:solidFill>
      <a:srgbClr val="0086F1"/>
    </a:solid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_xlchart.v2.3</cx:f>
      </cx:numDim>
    </cx:data>
  </cx:chartData>
  <cx:chart>
    <cx:title pos="t" align="ctr" overlay="0">
      <cx:tx>
        <cx:txData>
          <cx:v>Age Group vs BloodPressure</cx:v>
        </cx:txData>
      </cx:tx>
      <cx:txPr>
        <a:bodyPr spcFirstLastPara="1" vertOverflow="ellipsis" horzOverflow="overflow" wrap="square" lIns="0" tIns="0" rIns="0" bIns="0" anchor="ctr" anchorCtr="1"/>
        <a:lstStyle/>
        <a:p>
          <a:pPr algn="ctr" rtl="0">
            <a:defRPr/>
          </a:pPr>
          <a:r>
            <a:rPr lang="en-US" sz="1400" b="1" i="0" u="none" strike="noStrike" baseline="0">
              <a:solidFill>
                <a:schemeClr val="tx1"/>
              </a:solidFill>
              <a:latin typeface="Calibri" panose="020F0502020204030204"/>
            </a:rPr>
            <a:t>Age Group vs BloodPressure</a:t>
          </a:r>
        </a:p>
      </cx:txPr>
    </cx:title>
    <cx:plotArea>
      <cx:plotAreaRegion>
        <cx:series layoutId="funnel" uniqueId="{C974631F-F3C7-4B93-A99C-833F0A3C9D2B}">
          <cx:spPr>
            <a:solidFill>
              <a:schemeClr val="accent6">
                <a:lumMod val="50000"/>
              </a:schemeClr>
            </a:solidFill>
          </cx:spPr>
          <cx:dataLabels>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Calibri" panose="020F050202020403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Calibri" panose="020F0502020204030204"/>
            </a:endParaRPr>
          </a:p>
        </cx:txPr>
      </cx:axis>
    </cx:plotArea>
  </cx:chart>
  <cx:spPr>
    <a:solidFill>
      <a:srgbClr val="0086F1"/>
    </a:soli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Analysis2!A1"/><Relationship Id="rId18" Type="http://schemas.openxmlformats.org/officeDocument/2006/relationships/image" Target="../media/image7.png"/><Relationship Id="rId3" Type="http://schemas.openxmlformats.org/officeDocument/2006/relationships/chart" Target="../charts/chart11.xml"/><Relationship Id="rId21" Type="http://schemas.openxmlformats.org/officeDocument/2006/relationships/image" Target="../media/image9.png"/><Relationship Id="rId7" Type="http://schemas.openxmlformats.org/officeDocument/2006/relationships/chart" Target="../charts/chart15.xml"/><Relationship Id="rId12" Type="http://schemas.openxmlformats.org/officeDocument/2006/relationships/image" Target="../media/image4.png"/><Relationship Id="rId17" Type="http://schemas.openxmlformats.org/officeDocument/2006/relationships/hyperlink" Target="#'Key Insights'!A1"/><Relationship Id="rId2" Type="http://schemas.openxmlformats.org/officeDocument/2006/relationships/chart" Target="../charts/chart10.xml"/><Relationship Id="rId16" Type="http://schemas.openxmlformats.org/officeDocument/2006/relationships/image" Target="../media/image6.png"/><Relationship Id="rId20" Type="http://schemas.openxmlformats.org/officeDocument/2006/relationships/image" Target="../media/image8.png"/><Relationship Id="rId1" Type="http://schemas.openxmlformats.org/officeDocument/2006/relationships/image" Target="../media/image1.png"/><Relationship Id="rId6" Type="http://schemas.openxmlformats.org/officeDocument/2006/relationships/chart" Target="../charts/chart14.xml"/><Relationship Id="rId11" Type="http://schemas.openxmlformats.org/officeDocument/2006/relationships/hyperlink" Target="#OverView!A1"/><Relationship Id="rId24" Type="http://schemas.openxmlformats.org/officeDocument/2006/relationships/image" Target="../media/image12.png"/><Relationship Id="rId5" Type="http://schemas.openxmlformats.org/officeDocument/2006/relationships/chart" Target="../charts/chart13.xml"/><Relationship Id="rId15" Type="http://schemas.openxmlformats.org/officeDocument/2006/relationships/hyperlink" Target="#'Trend Analysis'!A1"/><Relationship Id="rId23" Type="http://schemas.openxmlformats.org/officeDocument/2006/relationships/image" Target="../media/image11.png"/><Relationship Id="rId10" Type="http://schemas.openxmlformats.org/officeDocument/2006/relationships/image" Target="../media/image3.png"/><Relationship Id="rId19" Type="http://schemas.openxmlformats.org/officeDocument/2006/relationships/hyperlink" Target="#dict!A1"/><Relationship Id="rId4" Type="http://schemas.openxmlformats.org/officeDocument/2006/relationships/chart" Target="../charts/chart12.xml"/><Relationship Id="rId9" Type="http://schemas.openxmlformats.org/officeDocument/2006/relationships/hyperlink" Target="#Analysis1!A1"/><Relationship Id="rId14" Type="http://schemas.openxmlformats.org/officeDocument/2006/relationships/image" Target="../media/image5.png"/><Relationship Id="rId22"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8" Type="http://schemas.openxmlformats.org/officeDocument/2006/relationships/hyperlink" Target="#'Trend Analysis'!A1"/><Relationship Id="rId13" Type="http://schemas.openxmlformats.org/officeDocument/2006/relationships/image" Target="../media/image8.png"/><Relationship Id="rId3" Type="http://schemas.openxmlformats.org/officeDocument/2006/relationships/image" Target="../media/image4.png"/><Relationship Id="rId7" Type="http://schemas.openxmlformats.org/officeDocument/2006/relationships/image" Target="../media/image5.png"/><Relationship Id="rId12" Type="http://schemas.openxmlformats.org/officeDocument/2006/relationships/hyperlink" Target="#dict!A1"/><Relationship Id="rId17" Type="http://schemas.openxmlformats.org/officeDocument/2006/relationships/chart" Target="../charts/chart18.xml"/><Relationship Id="rId2" Type="http://schemas.openxmlformats.org/officeDocument/2006/relationships/hyperlink" Target="#OverView!A1"/><Relationship Id="rId16" Type="http://schemas.openxmlformats.org/officeDocument/2006/relationships/chart" Target="../charts/chart17.xml"/><Relationship Id="rId1" Type="http://schemas.openxmlformats.org/officeDocument/2006/relationships/image" Target="../media/image1.png"/><Relationship Id="rId6" Type="http://schemas.openxmlformats.org/officeDocument/2006/relationships/hyperlink" Target="#Analysis2!A1"/><Relationship Id="rId11" Type="http://schemas.openxmlformats.org/officeDocument/2006/relationships/image" Target="../media/image7.png"/><Relationship Id="rId5" Type="http://schemas.openxmlformats.org/officeDocument/2006/relationships/image" Target="../media/image3.png"/><Relationship Id="rId15" Type="http://schemas.openxmlformats.org/officeDocument/2006/relationships/chart" Target="../charts/chart16.xml"/><Relationship Id="rId10" Type="http://schemas.openxmlformats.org/officeDocument/2006/relationships/hyperlink" Target="#'Key Insights'!A1"/><Relationship Id="rId4" Type="http://schemas.openxmlformats.org/officeDocument/2006/relationships/hyperlink" Target="#Analysis1!A1"/><Relationship Id="rId9" Type="http://schemas.openxmlformats.org/officeDocument/2006/relationships/image" Target="../media/image6.png"/><Relationship Id="rId14"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8" Type="http://schemas.openxmlformats.org/officeDocument/2006/relationships/chart" Target="../charts/chart24.xml"/><Relationship Id="rId13" Type="http://schemas.openxmlformats.org/officeDocument/2006/relationships/image" Target="../media/image3.png"/><Relationship Id="rId18" Type="http://schemas.openxmlformats.org/officeDocument/2006/relationships/hyperlink" Target="#'Key Insights'!A1"/><Relationship Id="rId3" Type="http://schemas.openxmlformats.org/officeDocument/2006/relationships/chart" Target="../charts/chart19.xml"/><Relationship Id="rId21" Type="http://schemas.openxmlformats.org/officeDocument/2006/relationships/image" Target="../media/image8.png"/><Relationship Id="rId7" Type="http://schemas.openxmlformats.org/officeDocument/2006/relationships/chart" Target="../charts/chart23.xml"/><Relationship Id="rId12" Type="http://schemas.openxmlformats.org/officeDocument/2006/relationships/hyperlink" Target="#Analysis1!A1"/><Relationship Id="rId17" Type="http://schemas.openxmlformats.org/officeDocument/2006/relationships/image" Target="../media/image6.png"/><Relationship Id="rId2" Type="http://schemas.openxmlformats.org/officeDocument/2006/relationships/image" Target="../media/image13.png"/><Relationship Id="rId16" Type="http://schemas.openxmlformats.org/officeDocument/2006/relationships/hyperlink" Target="#'Trend Analysis'!A1"/><Relationship Id="rId20" Type="http://schemas.openxmlformats.org/officeDocument/2006/relationships/hyperlink" Target="#dict!A1"/><Relationship Id="rId1" Type="http://schemas.openxmlformats.org/officeDocument/2006/relationships/image" Target="../media/image1.png"/><Relationship Id="rId6" Type="http://schemas.openxmlformats.org/officeDocument/2006/relationships/chart" Target="../charts/chart22.xml"/><Relationship Id="rId11" Type="http://schemas.openxmlformats.org/officeDocument/2006/relationships/image" Target="../media/image4.png"/><Relationship Id="rId5" Type="http://schemas.openxmlformats.org/officeDocument/2006/relationships/chart" Target="../charts/chart21.xml"/><Relationship Id="rId15" Type="http://schemas.openxmlformats.org/officeDocument/2006/relationships/image" Target="../media/image5.png"/><Relationship Id="rId10" Type="http://schemas.openxmlformats.org/officeDocument/2006/relationships/hyperlink" Target="#OverView!A1"/><Relationship Id="rId19" Type="http://schemas.openxmlformats.org/officeDocument/2006/relationships/image" Target="../media/image7.png"/><Relationship Id="rId4" Type="http://schemas.openxmlformats.org/officeDocument/2006/relationships/chart" Target="../charts/chart20.xml"/><Relationship Id="rId9" Type="http://schemas.openxmlformats.org/officeDocument/2006/relationships/chart" Target="../charts/chart25.xml"/><Relationship Id="rId14" Type="http://schemas.openxmlformats.org/officeDocument/2006/relationships/hyperlink" Target="#Analysis2!A1"/></Relationships>
</file>

<file path=xl/drawings/_rels/drawing13.xml.rels><?xml version="1.0" encoding="UTF-8" standalone="yes"?>
<Relationships xmlns="http://schemas.openxmlformats.org/package/2006/relationships"><Relationship Id="rId8" Type="http://schemas.openxmlformats.org/officeDocument/2006/relationships/hyperlink" Target="#OverView!A1"/><Relationship Id="rId13" Type="http://schemas.openxmlformats.org/officeDocument/2006/relationships/image" Target="../media/image5.png"/><Relationship Id="rId18" Type="http://schemas.openxmlformats.org/officeDocument/2006/relationships/hyperlink" Target="#dict!A1"/><Relationship Id="rId3" Type="http://schemas.openxmlformats.org/officeDocument/2006/relationships/chart" Target="../charts/chart27.xml"/><Relationship Id="rId7" Type="http://schemas.microsoft.com/office/2014/relationships/chartEx" Target="../charts/chartEx1.xml"/><Relationship Id="rId12" Type="http://schemas.openxmlformats.org/officeDocument/2006/relationships/hyperlink" Target="#Analysis2!A1"/><Relationship Id="rId17" Type="http://schemas.openxmlformats.org/officeDocument/2006/relationships/image" Target="../media/image7.png"/><Relationship Id="rId2" Type="http://schemas.openxmlformats.org/officeDocument/2006/relationships/chart" Target="../charts/chart26.xml"/><Relationship Id="rId16" Type="http://schemas.openxmlformats.org/officeDocument/2006/relationships/hyperlink" Target="#'Key Insights'!A1"/><Relationship Id="rId1" Type="http://schemas.openxmlformats.org/officeDocument/2006/relationships/image" Target="../media/image1.png"/><Relationship Id="rId6" Type="http://schemas.openxmlformats.org/officeDocument/2006/relationships/chart" Target="../charts/chart30.xml"/><Relationship Id="rId11" Type="http://schemas.openxmlformats.org/officeDocument/2006/relationships/image" Target="../media/image3.png"/><Relationship Id="rId5" Type="http://schemas.openxmlformats.org/officeDocument/2006/relationships/chart" Target="../charts/chart29.xml"/><Relationship Id="rId15" Type="http://schemas.openxmlformats.org/officeDocument/2006/relationships/image" Target="../media/image6.png"/><Relationship Id="rId10" Type="http://schemas.openxmlformats.org/officeDocument/2006/relationships/hyperlink" Target="#Analysis1!A1"/><Relationship Id="rId19" Type="http://schemas.openxmlformats.org/officeDocument/2006/relationships/image" Target="../media/image8.png"/><Relationship Id="rId4" Type="http://schemas.openxmlformats.org/officeDocument/2006/relationships/chart" Target="../charts/chart28.xml"/><Relationship Id="rId9" Type="http://schemas.openxmlformats.org/officeDocument/2006/relationships/image" Target="../media/image4.png"/><Relationship Id="rId14" Type="http://schemas.openxmlformats.org/officeDocument/2006/relationships/hyperlink" Target="#'Trend Analysis'!A1"/></Relationships>
</file>

<file path=xl/drawings/_rels/drawing14.xml.rels><?xml version="1.0" encoding="UTF-8" standalone="yes"?>
<Relationships xmlns="http://schemas.openxmlformats.org/package/2006/relationships"><Relationship Id="rId8" Type="http://schemas.openxmlformats.org/officeDocument/2006/relationships/hyperlink" Target="#'Trend Analysis'!A1"/><Relationship Id="rId13" Type="http://schemas.openxmlformats.org/officeDocument/2006/relationships/image" Target="../media/image8.png"/><Relationship Id="rId3" Type="http://schemas.openxmlformats.org/officeDocument/2006/relationships/image" Target="../media/image4.png"/><Relationship Id="rId7" Type="http://schemas.openxmlformats.org/officeDocument/2006/relationships/image" Target="../media/image5.png"/><Relationship Id="rId12" Type="http://schemas.openxmlformats.org/officeDocument/2006/relationships/hyperlink" Target="#dict!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Analysis2!A1"/><Relationship Id="rId11" Type="http://schemas.openxmlformats.org/officeDocument/2006/relationships/image" Target="../media/image7.png"/><Relationship Id="rId5" Type="http://schemas.openxmlformats.org/officeDocument/2006/relationships/image" Target="../media/image3.png"/><Relationship Id="rId15" Type="http://schemas.openxmlformats.org/officeDocument/2006/relationships/image" Target="../media/image15.png"/><Relationship Id="rId10" Type="http://schemas.openxmlformats.org/officeDocument/2006/relationships/hyperlink" Target="#'Key Insights'!A1"/><Relationship Id="rId4" Type="http://schemas.openxmlformats.org/officeDocument/2006/relationships/hyperlink" Target="#Analysis1!A1"/><Relationship Id="rId9" Type="http://schemas.openxmlformats.org/officeDocument/2006/relationships/image" Target="../media/image6.png"/><Relationship Id="rId14"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Trend Analysis'!A1"/><Relationship Id="rId13" Type="http://schemas.openxmlformats.org/officeDocument/2006/relationships/image" Target="../media/image8.png"/><Relationship Id="rId3" Type="http://schemas.openxmlformats.org/officeDocument/2006/relationships/image" Target="../media/image4.png"/><Relationship Id="rId7" Type="http://schemas.openxmlformats.org/officeDocument/2006/relationships/image" Target="../media/image5.png"/><Relationship Id="rId12" Type="http://schemas.openxmlformats.org/officeDocument/2006/relationships/hyperlink" Target="#dict!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Analysis2!A1"/><Relationship Id="rId11" Type="http://schemas.openxmlformats.org/officeDocument/2006/relationships/image" Target="../media/image7.png"/><Relationship Id="rId5" Type="http://schemas.openxmlformats.org/officeDocument/2006/relationships/image" Target="../media/image3.png"/><Relationship Id="rId10" Type="http://schemas.openxmlformats.org/officeDocument/2006/relationships/hyperlink" Target="#'Key Insights'!A1"/><Relationship Id="rId4" Type="http://schemas.openxmlformats.org/officeDocument/2006/relationships/hyperlink" Target="#Analysis1!A1"/><Relationship Id="rId9" Type="http://schemas.openxmlformats.org/officeDocument/2006/relationships/image" Target="../media/image6.png"/></Relationships>
</file>

<file path=xl/drawings/_rels/drawing16.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1.xml.rels><?xml version="1.0" encoding="UTF-8" standalone="yes"?>
<Relationships xmlns="http://schemas.openxmlformats.org/package/2006/relationships"><Relationship Id="rId1" Type="http://schemas.microsoft.com/office/2014/relationships/chartEx" Target="../charts/chartEx2.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40.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drawing1.xml><?xml version="1.0" encoding="utf-8"?>
<xdr:wsDr xmlns:xdr="http://schemas.openxmlformats.org/drawingml/2006/spreadsheetDrawing" xmlns:a="http://schemas.openxmlformats.org/drawingml/2006/main">
  <xdr:twoCellAnchor>
    <xdr:from>
      <xdr:col>2</xdr:col>
      <xdr:colOff>685800</xdr:colOff>
      <xdr:row>2</xdr:row>
      <xdr:rowOff>176212</xdr:rowOff>
    </xdr:from>
    <xdr:to>
      <xdr:col>9</xdr:col>
      <xdr:colOff>476250</xdr:colOff>
      <xdr:row>17</xdr:row>
      <xdr:rowOff>61912</xdr:rowOff>
    </xdr:to>
    <xdr:graphicFrame macro="">
      <xdr:nvGraphicFramePr>
        <xdr:cNvPr id="3" name="Chart 2">
          <a:extLst>
            <a:ext uri="{FF2B5EF4-FFF2-40B4-BE49-F238E27FC236}">
              <a16:creationId xmlns:a16="http://schemas.microsoft.com/office/drawing/2014/main" id="{1702D154-24F1-552A-59DF-0FEEF2F162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28575</xdr:colOff>
      <xdr:row>3</xdr:row>
      <xdr:rowOff>66675</xdr:rowOff>
    </xdr:from>
    <xdr:to>
      <xdr:col>13</xdr:col>
      <xdr:colOff>28575</xdr:colOff>
      <xdr:row>16</xdr:row>
      <xdr:rowOff>114300</xdr:rowOff>
    </xdr:to>
    <mc:AlternateContent xmlns:mc="http://schemas.openxmlformats.org/markup-compatibility/2006" xmlns:a14="http://schemas.microsoft.com/office/drawing/2010/main">
      <mc:Choice Requires="a14">
        <xdr:graphicFrame macro="">
          <xdr:nvGraphicFramePr>
            <xdr:cNvPr id="4" name="Age">
              <a:extLst>
                <a:ext uri="{FF2B5EF4-FFF2-40B4-BE49-F238E27FC236}">
                  <a16:creationId xmlns:a16="http://schemas.microsoft.com/office/drawing/2014/main" id="{F64F7E77-8FAD-8D95-8CD3-B9C42F26A8B8}"/>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7353300" y="6381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190500</xdr:colOff>
      <xdr:row>5</xdr:row>
      <xdr:rowOff>123825</xdr:rowOff>
    </xdr:from>
    <xdr:to>
      <xdr:col>17</xdr:col>
      <xdr:colOff>190500</xdr:colOff>
      <xdr:row>18</xdr:row>
      <xdr:rowOff>171450</xdr:rowOff>
    </xdr:to>
    <mc:AlternateContent xmlns:mc="http://schemas.openxmlformats.org/markup-compatibility/2006" xmlns:a14="http://schemas.microsoft.com/office/drawing/2010/main">
      <mc:Choice Requires="a14">
        <xdr:graphicFrame macro="">
          <xdr:nvGraphicFramePr>
            <xdr:cNvPr id="5" name="Outcome">
              <a:extLst>
                <a:ext uri="{FF2B5EF4-FFF2-40B4-BE49-F238E27FC236}">
                  <a16:creationId xmlns:a16="http://schemas.microsoft.com/office/drawing/2014/main" id="{C23DC470-6338-31E6-3275-6F1635E9019D}"/>
                </a:ext>
              </a:extLst>
            </xdr:cNvPr>
            <xdr:cNvGraphicFramePr/>
          </xdr:nvGraphicFramePr>
          <xdr:xfrm>
            <a:off x="0" y="0"/>
            <a:ext cx="0" cy="0"/>
          </xdr:xfrm>
          <a:graphic>
            <a:graphicData uri="http://schemas.microsoft.com/office/drawing/2010/slicer">
              <sle:slicer xmlns:sle="http://schemas.microsoft.com/office/drawing/2010/slicer" name="Outcome"/>
            </a:graphicData>
          </a:graphic>
        </xdr:graphicFrame>
      </mc:Choice>
      <mc:Fallback xmlns="">
        <xdr:sp macro="" textlink="">
          <xdr:nvSpPr>
            <xdr:cNvPr id="0" name=""/>
            <xdr:cNvSpPr>
              <a:spLocks noTextEdit="1"/>
            </xdr:cNvSpPr>
          </xdr:nvSpPr>
          <xdr:spPr>
            <a:xfrm>
              <a:off x="9953625" y="10763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323850</xdr:colOff>
      <xdr:row>4</xdr:row>
      <xdr:rowOff>133350</xdr:rowOff>
    </xdr:from>
    <xdr:to>
      <xdr:col>12</xdr:col>
      <xdr:colOff>19050</xdr:colOff>
      <xdr:row>19</xdr:row>
      <xdr:rowOff>19050</xdr:rowOff>
    </xdr:to>
    <xdr:graphicFrame macro="">
      <xdr:nvGraphicFramePr>
        <xdr:cNvPr id="2" name="Chart 1">
          <a:extLst>
            <a:ext uri="{FF2B5EF4-FFF2-40B4-BE49-F238E27FC236}">
              <a16:creationId xmlns:a16="http://schemas.microsoft.com/office/drawing/2014/main" id="{D75D6FBF-E673-A256-008D-1E386A089D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390525</xdr:colOff>
      <xdr:row>5</xdr:row>
      <xdr:rowOff>133350</xdr:rowOff>
    </xdr:from>
    <xdr:to>
      <xdr:col>9</xdr:col>
      <xdr:colOff>180975</xdr:colOff>
      <xdr:row>20</xdr:row>
      <xdr:rowOff>19050</xdr:rowOff>
    </xdr:to>
    <xdr:graphicFrame macro="">
      <xdr:nvGraphicFramePr>
        <xdr:cNvPr id="2" name="Chart 1">
          <a:extLst>
            <a:ext uri="{FF2B5EF4-FFF2-40B4-BE49-F238E27FC236}">
              <a16:creationId xmlns:a16="http://schemas.microsoft.com/office/drawing/2014/main" id="{8FF01586-7129-8440-9AE9-AA7AB68FB6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390525</xdr:colOff>
      <xdr:row>2</xdr:row>
      <xdr:rowOff>128587</xdr:rowOff>
    </xdr:from>
    <xdr:to>
      <xdr:col>9</xdr:col>
      <xdr:colOff>180975</xdr:colOff>
      <xdr:row>17</xdr:row>
      <xdr:rowOff>14287</xdr:rowOff>
    </xdr:to>
    <xdr:graphicFrame macro="">
      <xdr:nvGraphicFramePr>
        <xdr:cNvPr id="2" name="Chart 1">
          <a:extLst>
            <a:ext uri="{FF2B5EF4-FFF2-40B4-BE49-F238E27FC236}">
              <a16:creationId xmlns:a16="http://schemas.microsoft.com/office/drawing/2014/main" id="{17865102-3A65-6CEC-8346-334B025AB9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981075</xdr:colOff>
      <xdr:row>2</xdr:row>
      <xdr:rowOff>23812</xdr:rowOff>
    </xdr:from>
    <xdr:to>
      <xdr:col>10</xdr:col>
      <xdr:colOff>161925</xdr:colOff>
      <xdr:row>16</xdr:row>
      <xdr:rowOff>100012</xdr:rowOff>
    </xdr:to>
    <xdr:graphicFrame macro="">
      <xdr:nvGraphicFramePr>
        <xdr:cNvPr id="2" name="Chart 1">
          <a:extLst>
            <a:ext uri="{FF2B5EF4-FFF2-40B4-BE49-F238E27FC236}">
              <a16:creationId xmlns:a16="http://schemas.microsoft.com/office/drawing/2014/main" id="{054E27E1-C902-B8B0-C6F8-DD989AAEEA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700087</xdr:colOff>
      <xdr:row>3</xdr:row>
      <xdr:rowOff>47625</xdr:rowOff>
    </xdr:from>
    <xdr:to>
      <xdr:col>9</xdr:col>
      <xdr:colOff>490537</xdr:colOff>
      <xdr:row>18</xdr:row>
      <xdr:rowOff>14287</xdr:rowOff>
    </xdr:to>
    <xdr:graphicFrame macro="">
      <xdr:nvGraphicFramePr>
        <xdr:cNvPr id="5" name="Chart 4">
          <a:extLst>
            <a:ext uri="{FF2B5EF4-FFF2-40B4-BE49-F238E27FC236}">
              <a16:creationId xmlns:a16="http://schemas.microsoft.com/office/drawing/2014/main" id="{4639A293-3C30-3D32-16F1-AADACFBBB6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390525</xdr:colOff>
      <xdr:row>2</xdr:row>
      <xdr:rowOff>61912</xdr:rowOff>
    </xdr:from>
    <xdr:to>
      <xdr:col>8</xdr:col>
      <xdr:colOff>542925</xdr:colOff>
      <xdr:row>16</xdr:row>
      <xdr:rowOff>138112</xdr:rowOff>
    </xdr:to>
    <xdr:graphicFrame macro="">
      <xdr:nvGraphicFramePr>
        <xdr:cNvPr id="2" name="Chart 1">
          <a:extLst>
            <a:ext uri="{FF2B5EF4-FFF2-40B4-BE49-F238E27FC236}">
              <a16:creationId xmlns:a16="http://schemas.microsoft.com/office/drawing/2014/main" id="{40286728-24A3-A089-B405-704D1B1853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552450</xdr:colOff>
      <xdr:row>2</xdr:row>
      <xdr:rowOff>33337</xdr:rowOff>
    </xdr:from>
    <xdr:to>
      <xdr:col>10</xdr:col>
      <xdr:colOff>247650</xdr:colOff>
      <xdr:row>16</xdr:row>
      <xdr:rowOff>109537</xdr:rowOff>
    </xdr:to>
    <xdr:graphicFrame macro="">
      <xdr:nvGraphicFramePr>
        <xdr:cNvPr id="2" name="Chart 1">
          <a:extLst>
            <a:ext uri="{FF2B5EF4-FFF2-40B4-BE49-F238E27FC236}">
              <a16:creationId xmlns:a16="http://schemas.microsoft.com/office/drawing/2014/main" id="{8EA7A4FB-F90E-3EC6-5796-3933A2007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600075</xdr:colOff>
      <xdr:row>2</xdr:row>
      <xdr:rowOff>61912</xdr:rowOff>
    </xdr:from>
    <xdr:to>
      <xdr:col>10</xdr:col>
      <xdr:colOff>295275</xdr:colOff>
      <xdr:row>16</xdr:row>
      <xdr:rowOff>138112</xdr:rowOff>
    </xdr:to>
    <xdr:graphicFrame macro="">
      <xdr:nvGraphicFramePr>
        <xdr:cNvPr id="2" name="Chart 1">
          <a:extLst>
            <a:ext uri="{FF2B5EF4-FFF2-40B4-BE49-F238E27FC236}">
              <a16:creationId xmlns:a16="http://schemas.microsoft.com/office/drawing/2014/main" id="{E68E2931-8051-08B6-05B0-D59F037CBD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2</xdr:row>
      <xdr:rowOff>104774</xdr:rowOff>
    </xdr:from>
    <xdr:to>
      <xdr:col>1</xdr:col>
      <xdr:colOff>409575</xdr:colOff>
      <xdr:row>33</xdr:row>
      <xdr:rowOff>123825</xdr:rowOff>
    </xdr:to>
    <xdr:sp macro="" textlink="">
      <xdr:nvSpPr>
        <xdr:cNvPr id="10" name="Rectangle 9">
          <a:extLst>
            <a:ext uri="{FF2B5EF4-FFF2-40B4-BE49-F238E27FC236}">
              <a16:creationId xmlns:a16="http://schemas.microsoft.com/office/drawing/2014/main" id="{4F9BE2C2-2EFA-6162-342C-E871FC3742A0}"/>
            </a:ext>
          </a:extLst>
        </xdr:cNvPr>
        <xdr:cNvSpPr/>
      </xdr:nvSpPr>
      <xdr:spPr>
        <a:xfrm>
          <a:off x="0" y="485774"/>
          <a:ext cx="1019175" cy="5924551"/>
        </a:xfrm>
        <a:prstGeom prst="rect">
          <a:avLst/>
        </a:prstGeom>
        <a:solidFill>
          <a:srgbClr val="0078D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7</xdr:col>
      <xdr:colOff>124800</xdr:colOff>
      <xdr:row>2</xdr:row>
      <xdr:rowOff>104775</xdr:rowOff>
    </xdr:to>
    <xdr:sp macro="" textlink="">
      <xdr:nvSpPr>
        <xdr:cNvPr id="4" name="TextBox 3">
          <a:extLst>
            <a:ext uri="{FF2B5EF4-FFF2-40B4-BE49-F238E27FC236}">
              <a16:creationId xmlns:a16="http://schemas.microsoft.com/office/drawing/2014/main" id="{05ABDAE5-15F7-B481-DC61-6B44B89782E6}"/>
            </a:ext>
          </a:extLst>
        </xdr:cNvPr>
        <xdr:cNvSpPr txBox="1"/>
      </xdr:nvSpPr>
      <xdr:spPr>
        <a:xfrm>
          <a:off x="0" y="0"/>
          <a:ext cx="4392000" cy="485775"/>
        </a:xfrm>
        <a:prstGeom prst="rect">
          <a:avLst/>
        </a:prstGeom>
        <a:solidFill>
          <a:srgbClr val="0078D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400" b="1">
              <a:solidFill>
                <a:schemeClr val="bg1"/>
              </a:solidFill>
            </a:rPr>
            <a:t>DIABETES RISK ANALYSIS DASHBOARD           - OVERVIEW</a:t>
          </a:r>
        </a:p>
      </xdr:txBody>
    </xdr:sp>
    <xdr:clientData/>
  </xdr:twoCellAnchor>
  <xdr:twoCellAnchor editAs="oneCell">
    <xdr:from>
      <xdr:col>4</xdr:col>
      <xdr:colOff>514350</xdr:colOff>
      <xdr:row>0</xdr:row>
      <xdr:rowOff>57150</xdr:rowOff>
    </xdr:from>
    <xdr:to>
      <xdr:col>5</xdr:col>
      <xdr:colOff>264750</xdr:colOff>
      <xdr:row>2</xdr:row>
      <xdr:rowOff>36150</xdr:rowOff>
    </xdr:to>
    <xdr:pic>
      <xdr:nvPicPr>
        <xdr:cNvPr id="12" name="Picture 11">
          <a:extLst>
            <a:ext uri="{FF2B5EF4-FFF2-40B4-BE49-F238E27FC236}">
              <a16:creationId xmlns:a16="http://schemas.microsoft.com/office/drawing/2014/main" id="{480B0412-6466-8BBB-33F1-22FBBB0719D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52750" y="57150"/>
          <a:ext cx="360000" cy="360000"/>
        </a:xfrm>
        <a:prstGeom prst="rect">
          <a:avLst/>
        </a:prstGeom>
      </xdr:spPr>
    </xdr:pic>
    <xdr:clientData/>
  </xdr:twoCellAnchor>
  <xdr:twoCellAnchor>
    <xdr:from>
      <xdr:col>1</xdr:col>
      <xdr:colOff>419100</xdr:colOff>
      <xdr:row>8</xdr:row>
      <xdr:rowOff>76200</xdr:rowOff>
    </xdr:from>
    <xdr:to>
      <xdr:col>7</xdr:col>
      <xdr:colOff>361500</xdr:colOff>
      <xdr:row>21</xdr:row>
      <xdr:rowOff>47700</xdr:rowOff>
    </xdr:to>
    <xdr:graphicFrame macro="">
      <xdr:nvGraphicFramePr>
        <xdr:cNvPr id="14" name="Chart 13">
          <a:extLst>
            <a:ext uri="{FF2B5EF4-FFF2-40B4-BE49-F238E27FC236}">
              <a16:creationId xmlns:a16="http://schemas.microsoft.com/office/drawing/2014/main" id="{E1B48089-524E-4B99-B664-506045FE90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361950</xdr:colOff>
      <xdr:row>8</xdr:row>
      <xdr:rowOff>76200</xdr:rowOff>
    </xdr:from>
    <xdr:to>
      <xdr:col>14</xdr:col>
      <xdr:colOff>342750</xdr:colOff>
      <xdr:row>21</xdr:row>
      <xdr:rowOff>47700</xdr:rowOff>
    </xdr:to>
    <xdr:graphicFrame macro="">
      <xdr:nvGraphicFramePr>
        <xdr:cNvPr id="15" name="Chart 14">
          <a:extLst>
            <a:ext uri="{FF2B5EF4-FFF2-40B4-BE49-F238E27FC236}">
              <a16:creationId xmlns:a16="http://schemas.microsoft.com/office/drawing/2014/main" id="{C80B38C3-12F3-4672-8198-3F41C33D34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419100</xdr:colOff>
      <xdr:row>21</xdr:row>
      <xdr:rowOff>47625</xdr:rowOff>
    </xdr:from>
    <xdr:to>
      <xdr:col>7</xdr:col>
      <xdr:colOff>361500</xdr:colOff>
      <xdr:row>33</xdr:row>
      <xdr:rowOff>137625</xdr:rowOff>
    </xdr:to>
    <xdr:graphicFrame macro="">
      <xdr:nvGraphicFramePr>
        <xdr:cNvPr id="16" name="Chart 15">
          <a:extLst>
            <a:ext uri="{FF2B5EF4-FFF2-40B4-BE49-F238E27FC236}">
              <a16:creationId xmlns:a16="http://schemas.microsoft.com/office/drawing/2014/main" id="{DF52AB74-6541-408F-979C-E3859D0701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342900</xdr:colOff>
      <xdr:row>8</xdr:row>
      <xdr:rowOff>76200</xdr:rowOff>
    </xdr:from>
    <xdr:to>
      <xdr:col>20</xdr:col>
      <xdr:colOff>609300</xdr:colOff>
      <xdr:row>21</xdr:row>
      <xdr:rowOff>47700</xdr:rowOff>
    </xdr:to>
    <xdr:graphicFrame macro="">
      <xdr:nvGraphicFramePr>
        <xdr:cNvPr id="17" name="Chart 16">
          <a:extLst>
            <a:ext uri="{FF2B5EF4-FFF2-40B4-BE49-F238E27FC236}">
              <a16:creationId xmlns:a16="http://schemas.microsoft.com/office/drawing/2014/main" id="{44F0FFEF-048F-445E-98A5-D645C054A5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352425</xdr:colOff>
      <xdr:row>21</xdr:row>
      <xdr:rowOff>47625</xdr:rowOff>
    </xdr:from>
    <xdr:to>
      <xdr:col>13</xdr:col>
      <xdr:colOff>294825</xdr:colOff>
      <xdr:row>33</xdr:row>
      <xdr:rowOff>137625</xdr:rowOff>
    </xdr:to>
    <xdr:graphicFrame macro="">
      <xdr:nvGraphicFramePr>
        <xdr:cNvPr id="18" name="Chart 17">
          <a:extLst>
            <a:ext uri="{FF2B5EF4-FFF2-40B4-BE49-F238E27FC236}">
              <a16:creationId xmlns:a16="http://schemas.microsoft.com/office/drawing/2014/main" id="{CE7CCDFD-82BB-4B98-B4A9-E32FB336C5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285750</xdr:colOff>
      <xdr:row>21</xdr:row>
      <xdr:rowOff>47625</xdr:rowOff>
    </xdr:from>
    <xdr:to>
      <xdr:col>20</xdr:col>
      <xdr:colOff>590550</xdr:colOff>
      <xdr:row>33</xdr:row>
      <xdr:rowOff>137625</xdr:rowOff>
    </xdr:to>
    <xdr:graphicFrame macro="">
      <xdr:nvGraphicFramePr>
        <xdr:cNvPr id="20" name="Chart 19">
          <a:extLst>
            <a:ext uri="{FF2B5EF4-FFF2-40B4-BE49-F238E27FC236}">
              <a16:creationId xmlns:a16="http://schemas.microsoft.com/office/drawing/2014/main" id="{84EB0ECF-B94B-4F0C-BEBF-811A8D2D64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228600</xdr:colOff>
      <xdr:row>0</xdr:row>
      <xdr:rowOff>0</xdr:rowOff>
    </xdr:from>
    <xdr:to>
      <xdr:col>12</xdr:col>
      <xdr:colOff>400049</xdr:colOff>
      <xdr:row>2</xdr:row>
      <xdr:rowOff>104775</xdr:rowOff>
    </xdr:to>
    <xdr:grpSp>
      <xdr:nvGrpSpPr>
        <xdr:cNvPr id="23" name="Group 22">
          <a:extLst>
            <a:ext uri="{FF2B5EF4-FFF2-40B4-BE49-F238E27FC236}">
              <a16:creationId xmlns:a16="http://schemas.microsoft.com/office/drawing/2014/main" id="{8AA98117-E066-E1FE-234E-C4FACFDD3A63}"/>
            </a:ext>
          </a:extLst>
        </xdr:cNvPr>
        <xdr:cNvGrpSpPr/>
      </xdr:nvGrpSpPr>
      <xdr:grpSpPr>
        <a:xfrm>
          <a:off x="5105400" y="0"/>
          <a:ext cx="2609849" cy="485775"/>
          <a:chOff x="4791075" y="152400"/>
          <a:chExt cx="2609849" cy="590549"/>
        </a:xfrm>
      </xdr:grpSpPr>
      <mc:AlternateContent xmlns:mc="http://schemas.openxmlformats.org/markup-compatibility/2006" xmlns:a14="http://schemas.microsoft.com/office/drawing/2010/main">
        <mc:Choice Requires="a14">
          <xdr:graphicFrame macro="">
            <xdr:nvGraphicFramePr>
              <xdr:cNvPr id="21" name="Age 1">
                <a:extLst>
                  <a:ext uri="{FF2B5EF4-FFF2-40B4-BE49-F238E27FC236}">
                    <a16:creationId xmlns:a16="http://schemas.microsoft.com/office/drawing/2014/main" id="{EC9AFAA6-3FF8-46D1-93CA-C55B0CFDAB38}"/>
                  </a:ext>
                </a:extLst>
              </xdr:cNvPr>
              <xdr:cNvGraphicFramePr/>
            </xdr:nvGraphicFramePr>
            <xdr:xfrm>
              <a:off x="4800599" y="323848"/>
              <a:ext cx="2600325" cy="419101"/>
            </xdr:xfrm>
            <a:graphic>
              <a:graphicData uri="http://schemas.microsoft.com/office/drawing/2010/slicer">
                <sle:slicer xmlns:sle="http://schemas.microsoft.com/office/drawing/2010/slicer" name="Age 1"/>
              </a:graphicData>
            </a:graphic>
          </xdr:graphicFrame>
        </mc:Choice>
        <mc:Fallback xmlns="">
          <xdr:sp macro="" textlink="">
            <xdr:nvSpPr>
              <xdr:cNvPr id="0" name=""/>
              <xdr:cNvSpPr>
                <a:spLocks noTextEdit="1"/>
              </xdr:cNvSpPr>
            </xdr:nvSpPr>
            <xdr:spPr>
              <a:xfrm>
                <a:off x="5114924" y="141030"/>
                <a:ext cx="2600325" cy="3447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2" name="TextBox 21">
            <a:extLst>
              <a:ext uri="{FF2B5EF4-FFF2-40B4-BE49-F238E27FC236}">
                <a16:creationId xmlns:a16="http://schemas.microsoft.com/office/drawing/2014/main" id="{75C9EB9A-190B-D77C-BC69-1FA4B952DDA5}"/>
              </a:ext>
            </a:extLst>
          </xdr:cNvPr>
          <xdr:cNvSpPr txBox="1"/>
        </xdr:nvSpPr>
        <xdr:spPr>
          <a:xfrm>
            <a:off x="4791075" y="152400"/>
            <a:ext cx="2599200" cy="171450"/>
          </a:xfrm>
          <a:prstGeom prst="rect">
            <a:avLst/>
          </a:prstGeom>
          <a:solidFill>
            <a:srgbClr val="0078D7"/>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Age</a:t>
            </a:r>
          </a:p>
        </xdr:txBody>
      </xdr:sp>
    </xdr:grpSp>
    <xdr:clientData/>
  </xdr:twoCellAnchor>
  <xdr:twoCellAnchor>
    <xdr:from>
      <xdr:col>13</xdr:col>
      <xdr:colOff>600075</xdr:colOff>
      <xdr:row>0</xdr:row>
      <xdr:rowOff>9525</xdr:rowOff>
    </xdr:from>
    <xdr:to>
      <xdr:col>17</xdr:col>
      <xdr:colOff>0</xdr:colOff>
      <xdr:row>2</xdr:row>
      <xdr:rowOff>114525</xdr:rowOff>
    </xdr:to>
    <xdr:grpSp>
      <xdr:nvGrpSpPr>
        <xdr:cNvPr id="27" name="Group 26">
          <a:extLst>
            <a:ext uri="{FF2B5EF4-FFF2-40B4-BE49-F238E27FC236}">
              <a16:creationId xmlns:a16="http://schemas.microsoft.com/office/drawing/2014/main" id="{E7D006BB-503B-1600-BF05-A34705FDB3E0}"/>
            </a:ext>
          </a:extLst>
        </xdr:cNvPr>
        <xdr:cNvGrpSpPr/>
      </xdr:nvGrpSpPr>
      <xdr:grpSpPr>
        <a:xfrm>
          <a:off x="8524875" y="9525"/>
          <a:ext cx="1838325" cy="486000"/>
          <a:chOff x="7915275" y="0"/>
          <a:chExt cx="1838325" cy="476476"/>
        </a:xfrm>
      </xdr:grpSpPr>
      <mc:AlternateContent xmlns:mc="http://schemas.openxmlformats.org/markup-compatibility/2006" xmlns:a14="http://schemas.microsoft.com/office/drawing/2010/main">
        <mc:Choice Requires="a14">
          <xdr:graphicFrame macro="">
            <xdr:nvGraphicFramePr>
              <xdr:cNvPr id="24" name="Outcome 1">
                <a:extLst>
                  <a:ext uri="{FF2B5EF4-FFF2-40B4-BE49-F238E27FC236}">
                    <a16:creationId xmlns:a16="http://schemas.microsoft.com/office/drawing/2014/main" id="{087BBDAB-C865-4522-86F0-39ACEAC6815A}"/>
                  </a:ext>
                </a:extLst>
              </xdr:cNvPr>
              <xdr:cNvGraphicFramePr/>
            </xdr:nvGraphicFramePr>
            <xdr:xfrm>
              <a:off x="7924800" y="143949"/>
              <a:ext cx="1828800" cy="332527"/>
            </xdr:xfrm>
            <a:graphic>
              <a:graphicData uri="http://schemas.microsoft.com/office/drawing/2010/slicer">
                <sle:slicer xmlns:sle="http://schemas.microsoft.com/office/drawing/2010/slicer" name="Outcome 1"/>
              </a:graphicData>
            </a:graphic>
          </xdr:graphicFrame>
        </mc:Choice>
        <mc:Fallback xmlns="">
          <xdr:sp macro="" textlink="">
            <xdr:nvSpPr>
              <xdr:cNvPr id="0" name=""/>
              <xdr:cNvSpPr>
                <a:spLocks noTextEdit="1"/>
              </xdr:cNvSpPr>
            </xdr:nvSpPr>
            <xdr:spPr>
              <a:xfrm>
                <a:off x="8534400" y="156351"/>
                <a:ext cx="1828800" cy="3391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5" name="TextBox 24">
            <a:extLst>
              <a:ext uri="{FF2B5EF4-FFF2-40B4-BE49-F238E27FC236}">
                <a16:creationId xmlns:a16="http://schemas.microsoft.com/office/drawing/2014/main" id="{49D793AA-6E18-E31D-EAA2-05F2D136B44F}"/>
              </a:ext>
            </a:extLst>
          </xdr:cNvPr>
          <xdr:cNvSpPr txBox="1"/>
        </xdr:nvSpPr>
        <xdr:spPr>
          <a:xfrm>
            <a:off x="7915275" y="0"/>
            <a:ext cx="1828800" cy="162000"/>
          </a:xfrm>
          <a:prstGeom prst="rect">
            <a:avLst/>
          </a:prstGeom>
          <a:solidFill>
            <a:srgbClr val="0078D7"/>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Outcome</a:t>
            </a:r>
          </a:p>
        </xdr:txBody>
      </xdr:sp>
    </xdr:grpSp>
    <xdr:clientData/>
  </xdr:twoCellAnchor>
  <xdr:twoCellAnchor editAs="oneCell">
    <xdr:from>
      <xdr:col>19</xdr:col>
      <xdr:colOff>66675</xdr:colOff>
      <xdr:row>0</xdr:row>
      <xdr:rowOff>28575</xdr:rowOff>
    </xdr:from>
    <xdr:to>
      <xdr:col>19</xdr:col>
      <xdr:colOff>527475</xdr:colOff>
      <xdr:row>2</xdr:row>
      <xdr:rowOff>108375</xdr:rowOff>
    </xdr:to>
    <xdr:pic macro="[0]!Sheet18.ResetDashboard">
      <xdr:nvPicPr>
        <xdr:cNvPr id="29" name="Picture 28">
          <a:extLst>
            <a:ext uri="{FF2B5EF4-FFF2-40B4-BE49-F238E27FC236}">
              <a16:creationId xmlns:a16="http://schemas.microsoft.com/office/drawing/2014/main" id="{55AE1A83-941E-D1E4-056F-1E03365FF5B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649075" y="28575"/>
          <a:ext cx="460800" cy="460800"/>
        </a:xfrm>
        <a:prstGeom prst="rect">
          <a:avLst/>
        </a:prstGeom>
      </xdr:spPr>
    </xdr:pic>
    <xdr:clientData/>
  </xdr:twoCellAnchor>
  <xdr:twoCellAnchor editAs="oneCell">
    <xdr:from>
      <xdr:col>0</xdr:col>
      <xdr:colOff>295275</xdr:colOff>
      <xdr:row>7</xdr:row>
      <xdr:rowOff>180975</xdr:rowOff>
    </xdr:from>
    <xdr:to>
      <xdr:col>1</xdr:col>
      <xdr:colOff>45675</xdr:colOff>
      <xdr:row>9</xdr:row>
      <xdr:rowOff>159975</xdr:rowOff>
    </xdr:to>
    <xdr:pic>
      <xdr:nvPicPr>
        <xdr:cNvPr id="33" name="Picture 32">
          <a:hlinkClick xmlns:r="http://schemas.openxmlformats.org/officeDocument/2006/relationships" r:id="rId9" tooltip="Analysis1"/>
          <a:extLst>
            <a:ext uri="{FF2B5EF4-FFF2-40B4-BE49-F238E27FC236}">
              <a16:creationId xmlns:a16="http://schemas.microsoft.com/office/drawing/2014/main" id="{E0403E7A-0999-FC11-E621-9C36B7C1E915}"/>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5275" y="1514475"/>
          <a:ext cx="360000" cy="360000"/>
        </a:xfrm>
        <a:prstGeom prst="rect">
          <a:avLst/>
        </a:prstGeom>
      </xdr:spPr>
    </xdr:pic>
    <xdr:clientData/>
  </xdr:twoCellAnchor>
  <xdr:twoCellAnchor editAs="oneCell">
    <xdr:from>
      <xdr:col>0</xdr:col>
      <xdr:colOff>295275</xdr:colOff>
      <xdr:row>3</xdr:row>
      <xdr:rowOff>152400</xdr:rowOff>
    </xdr:from>
    <xdr:to>
      <xdr:col>1</xdr:col>
      <xdr:colOff>45675</xdr:colOff>
      <xdr:row>5</xdr:row>
      <xdr:rowOff>131400</xdr:rowOff>
    </xdr:to>
    <xdr:pic>
      <xdr:nvPicPr>
        <xdr:cNvPr id="35" name="Picture 34">
          <a:hlinkClick xmlns:r="http://schemas.openxmlformats.org/officeDocument/2006/relationships" r:id="rId11" tooltip="OVERVIEW"/>
          <a:extLst>
            <a:ext uri="{FF2B5EF4-FFF2-40B4-BE49-F238E27FC236}">
              <a16:creationId xmlns:a16="http://schemas.microsoft.com/office/drawing/2014/main" id="{1E175E51-8DCB-5305-1E9B-FECEA22EA13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5275" y="723900"/>
          <a:ext cx="360000" cy="360000"/>
        </a:xfrm>
        <a:prstGeom prst="rect">
          <a:avLst/>
        </a:prstGeom>
      </xdr:spPr>
    </xdr:pic>
    <xdr:clientData/>
  </xdr:twoCellAnchor>
  <xdr:twoCellAnchor editAs="oneCell">
    <xdr:from>
      <xdr:col>0</xdr:col>
      <xdr:colOff>276225</xdr:colOff>
      <xdr:row>13</xdr:row>
      <xdr:rowOff>95250</xdr:rowOff>
    </xdr:from>
    <xdr:to>
      <xdr:col>1</xdr:col>
      <xdr:colOff>26625</xdr:colOff>
      <xdr:row>15</xdr:row>
      <xdr:rowOff>74250</xdr:rowOff>
    </xdr:to>
    <xdr:pic>
      <xdr:nvPicPr>
        <xdr:cNvPr id="37" name="Picture 36">
          <a:hlinkClick xmlns:r="http://schemas.openxmlformats.org/officeDocument/2006/relationships" r:id="rId13" tooltip="ANALYSIS2"/>
          <a:extLst>
            <a:ext uri="{FF2B5EF4-FFF2-40B4-BE49-F238E27FC236}">
              <a16:creationId xmlns:a16="http://schemas.microsoft.com/office/drawing/2014/main" id="{EE81D8A4-9700-FFC0-32DD-8C6E619436D3}"/>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76225" y="2571750"/>
          <a:ext cx="360000" cy="360000"/>
        </a:xfrm>
        <a:prstGeom prst="rect">
          <a:avLst/>
        </a:prstGeom>
      </xdr:spPr>
    </xdr:pic>
    <xdr:clientData/>
  </xdr:twoCellAnchor>
  <xdr:twoCellAnchor editAs="oneCell">
    <xdr:from>
      <xdr:col>0</xdr:col>
      <xdr:colOff>285750</xdr:colOff>
      <xdr:row>18</xdr:row>
      <xdr:rowOff>85725</xdr:rowOff>
    </xdr:from>
    <xdr:to>
      <xdr:col>1</xdr:col>
      <xdr:colOff>36150</xdr:colOff>
      <xdr:row>20</xdr:row>
      <xdr:rowOff>64725</xdr:rowOff>
    </xdr:to>
    <xdr:pic>
      <xdr:nvPicPr>
        <xdr:cNvPr id="39" name="Picture 38">
          <a:hlinkClick xmlns:r="http://schemas.openxmlformats.org/officeDocument/2006/relationships" r:id="rId15" tooltip="TREND ANALYSIS"/>
          <a:extLst>
            <a:ext uri="{FF2B5EF4-FFF2-40B4-BE49-F238E27FC236}">
              <a16:creationId xmlns:a16="http://schemas.microsoft.com/office/drawing/2014/main" id="{C54CD2B2-0322-E3E1-3BB4-C6ACFE48413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85750" y="3514725"/>
          <a:ext cx="360000" cy="360000"/>
        </a:xfrm>
        <a:prstGeom prst="rect">
          <a:avLst/>
        </a:prstGeom>
      </xdr:spPr>
    </xdr:pic>
    <xdr:clientData/>
  </xdr:twoCellAnchor>
  <xdr:twoCellAnchor editAs="oneCell">
    <xdr:from>
      <xdr:col>0</xdr:col>
      <xdr:colOff>276225</xdr:colOff>
      <xdr:row>24</xdr:row>
      <xdr:rowOff>19050</xdr:rowOff>
    </xdr:from>
    <xdr:to>
      <xdr:col>1</xdr:col>
      <xdr:colOff>26625</xdr:colOff>
      <xdr:row>25</xdr:row>
      <xdr:rowOff>188550</xdr:rowOff>
    </xdr:to>
    <xdr:pic>
      <xdr:nvPicPr>
        <xdr:cNvPr id="41" name="Picture 40">
          <a:hlinkClick xmlns:r="http://schemas.openxmlformats.org/officeDocument/2006/relationships" r:id="rId17" tooltip="KEY INSIGHTS"/>
          <a:extLst>
            <a:ext uri="{FF2B5EF4-FFF2-40B4-BE49-F238E27FC236}">
              <a16:creationId xmlns:a16="http://schemas.microsoft.com/office/drawing/2014/main" id="{70D5C606-4692-9760-4849-9653ECAC2B2E}"/>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76225" y="4591050"/>
          <a:ext cx="360000" cy="360000"/>
        </a:xfrm>
        <a:prstGeom prst="rect">
          <a:avLst/>
        </a:prstGeom>
      </xdr:spPr>
    </xdr:pic>
    <xdr:clientData/>
  </xdr:twoCellAnchor>
  <xdr:twoCellAnchor editAs="oneCell">
    <xdr:from>
      <xdr:col>0</xdr:col>
      <xdr:colOff>285750</xdr:colOff>
      <xdr:row>29</xdr:row>
      <xdr:rowOff>114300</xdr:rowOff>
    </xdr:from>
    <xdr:to>
      <xdr:col>1</xdr:col>
      <xdr:colOff>36150</xdr:colOff>
      <xdr:row>31</xdr:row>
      <xdr:rowOff>93300</xdr:rowOff>
    </xdr:to>
    <xdr:pic>
      <xdr:nvPicPr>
        <xdr:cNvPr id="43" name="Picture 42">
          <a:hlinkClick xmlns:r="http://schemas.openxmlformats.org/officeDocument/2006/relationships" r:id="rId19" tooltip="DATA DICTIONARY"/>
          <a:extLst>
            <a:ext uri="{FF2B5EF4-FFF2-40B4-BE49-F238E27FC236}">
              <a16:creationId xmlns:a16="http://schemas.microsoft.com/office/drawing/2014/main" id="{A5FB8A8D-B90A-01E1-4FEB-810AC3C93836}"/>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85750" y="5638800"/>
          <a:ext cx="360000" cy="360000"/>
        </a:xfrm>
        <a:prstGeom prst="rect">
          <a:avLst/>
        </a:prstGeom>
      </xdr:spPr>
    </xdr:pic>
    <xdr:clientData/>
  </xdr:twoCellAnchor>
  <xdr:twoCellAnchor>
    <xdr:from>
      <xdr:col>1</xdr:col>
      <xdr:colOff>428624</xdr:colOff>
      <xdr:row>2</xdr:row>
      <xdr:rowOff>114300</xdr:rowOff>
    </xdr:from>
    <xdr:to>
      <xdr:col>6</xdr:col>
      <xdr:colOff>80624</xdr:colOff>
      <xdr:row>8</xdr:row>
      <xdr:rowOff>57150</xdr:rowOff>
    </xdr:to>
    <xdr:sp macro="" textlink="KPI!B3">
      <xdr:nvSpPr>
        <xdr:cNvPr id="44" name="Rectangle: Rounded Corners 43">
          <a:extLst>
            <a:ext uri="{FF2B5EF4-FFF2-40B4-BE49-F238E27FC236}">
              <a16:creationId xmlns:a16="http://schemas.microsoft.com/office/drawing/2014/main" id="{D74B4A98-60CA-AB53-1596-7A6D265D59D0}"/>
            </a:ext>
          </a:extLst>
        </xdr:cNvPr>
        <xdr:cNvSpPr/>
      </xdr:nvSpPr>
      <xdr:spPr>
        <a:xfrm>
          <a:off x="1038224" y="495300"/>
          <a:ext cx="2700000" cy="1085850"/>
        </a:xfrm>
        <a:prstGeom prst="roundRect">
          <a:avLst/>
        </a:prstGeom>
        <a:solidFill>
          <a:srgbClr val="0B93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4C712A2-7730-4870-AF81-F2948DD78524}" type="TxLink">
            <a:rPr lang="en-US" sz="1400" b="1" i="0" u="none" strike="noStrike">
              <a:solidFill>
                <a:srgbClr val="004D8B"/>
              </a:solidFill>
              <a:latin typeface="Calibri"/>
              <a:cs typeface="Calibri"/>
            </a:rPr>
            <a:pPr algn="ctr"/>
            <a:t>Total Patients
768</a:t>
          </a:fld>
          <a:endParaRPr lang="en-IN" sz="1400" b="1">
            <a:solidFill>
              <a:srgbClr val="004D8B"/>
            </a:solidFill>
          </a:endParaRPr>
        </a:p>
      </xdr:txBody>
    </xdr:sp>
    <xdr:clientData/>
  </xdr:twoCellAnchor>
  <xdr:twoCellAnchor>
    <xdr:from>
      <xdr:col>6</xdr:col>
      <xdr:colOff>352424</xdr:colOff>
      <xdr:row>2</xdr:row>
      <xdr:rowOff>114300</xdr:rowOff>
    </xdr:from>
    <xdr:to>
      <xdr:col>11</xdr:col>
      <xdr:colOff>4424</xdr:colOff>
      <xdr:row>8</xdr:row>
      <xdr:rowOff>57150</xdr:rowOff>
    </xdr:to>
    <xdr:sp macro="" textlink="KPI!D6">
      <xdr:nvSpPr>
        <xdr:cNvPr id="45" name="Rectangle: Rounded Corners 44">
          <a:extLst>
            <a:ext uri="{FF2B5EF4-FFF2-40B4-BE49-F238E27FC236}">
              <a16:creationId xmlns:a16="http://schemas.microsoft.com/office/drawing/2014/main" id="{59FF562E-E3B4-4057-A8CD-66DB182C6B88}"/>
            </a:ext>
          </a:extLst>
        </xdr:cNvPr>
        <xdr:cNvSpPr/>
      </xdr:nvSpPr>
      <xdr:spPr>
        <a:xfrm>
          <a:off x="4010024" y="495300"/>
          <a:ext cx="2700000" cy="1085850"/>
        </a:xfrm>
        <a:prstGeom prst="roundRect">
          <a:avLst/>
        </a:prstGeom>
        <a:solidFill>
          <a:srgbClr val="0B93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D63B101-FB56-4EF2-9569-19D70DE23FE0}" type="TxLink">
            <a:rPr lang="en-US" sz="1400" b="1" i="0" u="none" strike="noStrike">
              <a:solidFill>
                <a:srgbClr val="004D8B"/>
              </a:solidFill>
              <a:latin typeface="Calibri"/>
              <a:cs typeface="Calibri"/>
            </a:rPr>
            <a:pPr algn="ctr"/>
            <a:t>Diabetic Patients
268</a:t>
          </a:fld>
          <a:endParaRPr lang="en-IN" sz="1400" b="1">
            <a:solidFill>
              <a:srgbClr val="004D8B"/>
            </a:solidFill>
          </a:endParaRPr>
        </a:p>
      </xdr:txBody>
    </xdr:sp>
    <xdr:clientData/>
  </xdr:twoCellAnchor>
  <xdr:twoCellAnchor>
    <xdr:from>
      <xdr:col>11</xdr:col>
      <xdr:colOff>352424</xdr:colOff>
      <xdr:row>2</xdr:row>
      <xdr:rowOff>114300</xdr:rowOff>
    </xdr:from>
    <xdr:to>
      <xdr:col>16</xdr:col>
      <xdr:colOff>4424</xdr:colOff>
      <xdr:row>8</xdr:row>
      <xdr:rowOff>57150</xdr:rowOff>
    </xdr:to>
    <xdr:sp macro="" textlink="KPI!G8">
      <xdr:nvSpPr>
        <xdr:cNvPr id="46" name="Rectangle: Rounded Corners 45">
          <a:extLst>
            <a:ext uri="{FF2B5EF4-FFF2-40B4-BE49-F238E27FC236}">
              <a16:creationId xmlns:a16="http://schemas.microsoft.com/office/drawing/2014/main" id="{943C79A5-EFDF-47F6-9E23-4AA4F78D53AD}"/>
            </a:ext>
          </a:extLst>
        </xdr:cNvPr>
        <xdr:cNvSpPr/>
      </xdr:nvSpPr>
      <xdr:spPr>
        <a:xfrm>
          <a:off x="7058024" y="495300"/>
          <a:ext cx="2700000" cy="1085850"/>
        </a:xfrm>
        <a:prstGeom prst="roundRect">
          <a:avLst/>
        </a:prstGeom>
        <a:solidFill>
          <a:srgbClr val="0B93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B594BFB-3750-4974-B7F7-78D640FED48B}" type="TxLink">
            <a:rPr lang="en-US" sz="1400" b="1" i="0" u="none" strike="noStrike">
              <a:solidFill>
                <a:srgbClr val="004D8B"/>
              </a:solidFill>
              <a:latin typeface="Calibri"/>
              <a:cs typeface="Calibri"/>
            </a:rPr>
            <a:pPr algn="ctr"/>
            <a:t>Non-Diabetic Patients
500</a:t>
          </a:fld>
          <a:endParaRPr lang="en-IN" sz="1400" b="1">
            <a:solidFill>
              <a:srgbClr val="004D8B"/>
            </a:solidFill>
          </a:endParaRPr>
        </a:p>
      </xdr:txBody>
    </xdr:sp>
    <xdr:clientData/>
  </xdr:twoCellAnchor>
  <xdr:twoCellAnchor>
    <xdr:from>
      <xdr:col>16</xdr:col>
      <xdr:colOff>314324</xdr:colOff>
      <xdr:row>2</xdr:row>
      <xdr:rowOff>114300</xdr:rowOff>
    </xdr:from>
    <xdr:to>
      <xdr:col>20</xdr:col>
      <xdr:colOff>575924</xdr:colOff>
      <xdr:row>8</xdr:row>
      <xdr:rowOff>57150</xdr:rowOff>
    </xdr:to>
    <xdr:sp macro="" textlink="KPI!F12">
      <xdr:nvSpPr>
        <xdr:cNvPr id="47" name="Rectangle: Rounded Corners 46">
          <a:extLst>
            <a:ext uri="{FF2B5EF4-FFF2-40B4-BE49-F238E27FC236}">
              <a16:creationId xmlns:a16="http://schemas.microsoft.com/office/drawing/2014/main" id="{5024EC46-F251-425C-9E30-60453631B122}"/>
            </a:ext>
          </a:extLst>
        </xdr:cNvPr>
        <xdr:cNvSpPr/>
      </xdr:nvSpPr>
      <xdr:spPr>
        <a:xfrm>
          <a:off x="10067924" y="495300"/>
          <a:ext cx="2700000" cy="1085850"/>
        </a:xfrm>
        <a:prstGeom prst="roundRect">
          <a:avLst/>
        </a:prstGeom>
        <a:solidFill>
          <a:srgbClr val="0B93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69A7673-EC97-4E11-A752-350E2A1DC807}" type="TxLink">
            <a:rPr lang="en-US" sz="1400" b="1" i="0" u="none" strike="noStrike">
              <a:solidFill>
                <a:srgbClr val="004D8B"/>
              </a:solidFill>
              <a:latin typeface="Calibri"/>
              <a:cs typeface="Calibri"/>
            </a:rPr>
            <a:pPr algn="ctr"/>
            <a:t>Age Range of Patients
21-81</a:t>
          </a:fld>
          <a:endParaRPr lang="en-IN" sz="1400" b="1">
            <a:solidFill>
              <a:srgbClr val="004D8B"/>
            </a:solidFill>
          </a:endParaRPr>
        </a:p>
      </xdr:txBody>
    </xdr:sp>
    <xdr:clientData/>
  </xdr:twoCellAnchor>
  <xdr:twoCellAnchor editAs="oneCell">
    <xdr:from>
      <xdr:col>16</xdr:col>
      <xdr:colOff>400050</xdr:colOff>
      <xdr:row>2</xdr:row>
      <xdr:rowOff>171450</xdr:rowOff>
    </xdr:from>
    <xdr:to>
      <xdr:col>17</xdr:col>
      <xdr:colOff>150450</xdr:colOff>
      <xdr:row>4</xdr:row>
      <xdr:rowOff>150450</xdr:rowOff>
    </xdr:to>
    <xdr:pic>
      <xdr:nvPicPr>
        <xdr:cNvPr id="49" name="Picture 48">
          <a:extLst>
            <a:ext uri="{FF2B5EF4-FFF2-40B4-BE49-F238E27FC236}">
              <a16:creationId xmlns:a16="http://schemas.microsoft.com/office/drawing/2014/main" id="{F5DF8B86-0568-3FA1-5DCC-CB13ED656589}"/>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10153650" y="552450"/>
          <a:ext cx="360000" cy="360000"/>
        </a:xfrm>
        <a:prstGeom prst="rect">
          <a:avLst/>
        </a:prstGeom>
      </xdr:spPr>
    </xdr:pic>
    <xdr:clientData/>
  </xdr:twoCellAnchor>
  <xdr:twoCellAnchor editAs="oneCell">
    <xdr:from>
      <xdr:col>11</xdr:col>
      <xdr:colOff>409575</xdr:colOff>
      <xdr:row>2</xdr:row>
      <xdr:rowOff>180975</xdr:rowOff>
    </xdr:from>
    <xdr:to>
      <xdr:col>12</xdr:col>
      <xdr:colOff>159975</xdr:colOff>
      <xdr:row>4</xdr:row>
      <xdr:rowOff>159975</xdr:rowOff>
    </xdr:to>
    <xdr:pic>
      <xdr:nvPicPr>
        <xdr:cNvPr id="51" name="Picture 50">
          <a:extLst>
            <a:ext uri="{FF2B5EF4-FFF2-40B4-BE49-F238E27FC236}">
              <a16:creationId xmlns:a16="http://schemas.microsoft.com/office/drawing/2014/main" id="{8A02A9DE-FDCC-F7EE-7068-6E24F1CB8C1E}"/>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7115175" y="561975"/>
          <a:ext cx="360000" cy="360000"/>
        </a:xfrm>
        <a:prstGeom prst="rect">
          <a:avLst/>
        </a:prstGeom>
      </xdr:spPr>
    </xdr:pic>
    <xdr:clientData/>
  </xdr:twoCellAnchor>
  <xdr:twoCellAnchor editAs="oneCell">
    <xdr:from>
      <xdr:col>6</xdr:col>
      <xdr:colOff>438150</xdr:colOff>
      <xdr:row>3</xdr:row>
      <xdr:rowOff>0</xdr:rowOff>
    </xdr:from>
    <xdr:to>
      <xdr:col>7</xdr:col>
      <xdr:colOff>188550</xdr:colOff>
      <xdr:row>4</xdr:row>
      <xdr:rowOff>169500</xdr:rowOff>
    </xdr:to>
    <xdr:pic>
      <xdr:nvPicPr>
        <xdr:cNvPr id="53" name="Picture 52">
          <a:extLst>
            <a:ext uri="{FF2B5EF4-FFF2-40B4-BE49-F238E27FC236}">
              <a16:creationId xmlns:a16="http://schemas.microsoft.com/office/drawing/2014/main" id="{66048B9A-A687-066C-C162-5E64530B6D1F}"/>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4095750" y="571500"/>
          <a:ext cx="360000" cy="360000"/>
        </a:xfrm>
        <a:prstGeom prst="rect">
          <a:avLst/>
        </a:prstGeom>
      </xdr:spPr>
    </xdr:pic>
    <xdr:clientData/>
  </xdr:twoCellAnchor>
  <xdr:twoCellAnchor editAs="oneCell">
    <xdr:from>
      <xdr:col>1</xdr:col>
      <xdr:colOff>533400</xdr:colOff>
      <xdr:row>3</xdr:row>
      <xdr:rowOff>9525</xdr:rowOff>
    </xdr:from>
    <xdr:to>
      <xdr:col>2</xdr:col>
      <xdr:colOff>283800</xdr:colOff>
      <xdr:row>4</xdr:row>
      <xdr:rowOff>179025</xdr:rowOff>
    </xdr:to>
    <xdr:pic>
      <xdr:nvPicPr>
        <xdr:cNvPr id="55" name="Picture 54">
          <a:extLst>
            <a:ext uri="{FF2B5EF4-FFF2-40B4-BE49-F238E27FC236}">
              <a16:creationId xmlns:a16="http://schemas.microsoft.com/office/drawing/2014/main" id="{E27C3A9A-F8AD-AD7B-0908-8C2B41C6BA68}"/>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143000" y="581025"/>
          <a:ext cx="360000" cy="36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124800</xdr:colOff>
      <xdr:row>2</xdr:row>
      <xdr:rowOff>105000</xdr:rowOff>
    </xdr:to>
    <xdr:sp macro="" textlink="">
      <xdr:nvSpPr>
        <xdr:cNvPr id="2" name="Rectangle 1">
          <a:extLst>
            <a:ext uri="{FF2B5EF4-FFF2-40B4-BE49-F238E27FC236}">
              <a16:creationId xmlns:a16="http://schemas.microsoft.com/office/drawing/2014/main" id="{F39DB3E5-CCDA-167C-5468-C91F8D167F09}"/>
            </a:ext>
          </a:extLst>
        </xdr:cNvPr>
        <xdr:cNvSpPr/>
      </xdr:nvSpPr>
      <xdr:spPr>
        <a:xfrm>
          <a:off x="0" y="0"/>
          <a:ext cx="4392000" cy="486000"/>
        </a:xfrm>
        <a:prstGeom prst="rect">
          <a:avLst/>
        </a:prstGeom>
        <a:solidFill>
          <a:srgbClr val="006AB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9522</xdr:colOff>
      <xdr:row>0</xdr:row>
      <xdr:rowOff>19050</xdr:rowOff>
    </xdr:from>
    <xdr:to>
      <xdr:col>7</xdr:col>
      <xdr:colOff>134322</xdr:colOff>
      <xdr:row>2</xdr:row>
      <xdr:rowOff>95250</xdr:rowOff>
    </xdr:to>
    <xdr:sp macro="" textlink="">
      <xdr:nvSpPr>
        <xdr:cNvPr id="3" name="TextBox 2">
          <a:extLst>
            <a:ext uri="{FF2B5EF4-FFF2-40B4-BE49-F238E27FC236}">
              <a16:creationId xmlns:a16="http://schemas.microsoft.com/office/drawing/2014/main" id="{AED739E4-C1F7-033E-F9DF-E87A4490472B}"/>
            </a:ext>
          </a:extLst>
        </xdr:cNvPr>
        <xdr:cNvSpPr txBox="1"/>
      </xdr:nvSpPr>
      <xdr:spPr>
        <a:xfrm>
          <a:off x="9522" y="19050"/>
          <a:ext cx="4392000" cy="457200"/>
        </a:xfrm>
        <a:prstGeom prst="rect">
          <a:avLst/>
        </a:prstGeom>
        <a:solidFill>
          <a:srgbClr val="006AB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400" b="1">
              <a:solidFill>
                <a:schemeClr val="bg1"/>
              </a:solidFill>
            </a:rPr>
            <a:t>DIABETES RISK ANALYSIS DASHBOARD          </a:t>
          </a:r>
          <a:r>
            <a:rPr lang="en-IN" sz="1400" b="1" baseline="0">
              <a:solidFill>
                <a:schemeClr val="bg1"/>
              </a:solidFill>
            </a:rPr>
            <a:t> - ANALYSIS1</a:t>
          </a:r>
          <a:r>
            <a:rPr lang="en-IN" sz="1400" b="1">
              <a:solidFill>
                <a:schemeClr val="bg1"/>
              </a:solidFill>
            </a:rPr>
            <a:t>          </a:t>
          </a:r>
        </a:p>
      </xdr:txBody>
    </xdr:sp>
    <xdr:clientData/>
  </xdr:twoCellAnchor>
  <xdr:twoCellAnchor editAs="oneCell">
    <xdr:from>
      <xdr:col>4</xdr:col>
      <xdr:colOff>523875</xdr:colOff>
      <xdr:row>0</xdr:row>
      <xdr:rowOff>47625</xdr:rowOff>
    </xdr:from>
    <xdr:to>
      <xdr:col>5</xdr:col>
      <xdr:colOff>274275</xdr:colOff>
      <xdr:row>2</xdr:row>
      <xdr:rowOff>26625</xdr:rowOff>
    </xdr:to>
    <xdr:pic>
      <xdr:nvPicPr>
        <xdr:cNvPr id="5" name="Picture 4">
          <a:extLst>
            <a:ext uri="{FF2B5EF4-FFF2-40B4-BE49-F238E27FC236}">
              <a16:creationId xmlns:a16="http://schemas.microsoft.com/office/drawing/2014/main" id="{FC3A6929-0D8D-4D2C-0865-43631D2A3A5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62275" y="47625"/>
          <a:ext cx="360000" cy="360000"/>
        </a:xfrm>
        <a:prstGeom prst="rect">
          <a:avLst/>
        </a:prstGeom>
      </xdr:spPr>
    </xdr:pic>
    <xdr:clientData/>
  </xdr:twoCellAnchor>
  <xdr:twoCellAnchor>
    <xdr:from>
      <xdr:col>0</xdr:col>
      <xdr:colOff>0</xdr:colOff>
      <xdr:row>2</xdr:row>
      <xdr:rowOff>104774</xdr:rowOff>
    </xdr:from>
    <xdr:to>
      <xdr:col>1</xdr:col>
      <xdr:colOff>409200</xdr:colOff>
      <xdr:row>33</xdr:row>
      <xdr:rowOff>124874</xdr:rowOff>
    </xdr:to>
    <xdr:sp macro="" textlink="">
      <xdr:nvSpPr>
        <xdr:cNvPr id="6" name="Rectangle 5">
          <a:extLst>
            <a:ext uri="{FF2B5EF4-FFF2-40B4-BE49-F238E27FC236}">
              <a16:creationId xmlns:a16="http://schemas.microsoft.com/office/drawing/2014/main" id="{3024281D-792B-B4BA-0462-8C815022A028}"/>
            </a:ext>
          </a:extLst>
        </xdr:cNvPr>
        <xdr:cNvSpPr/>
      </xdr:nvSpPr>
      <xdr:spPr>
        <a:xfrm>
          <a:off x="0" y="485774"/>
          <a:ext cx="1018800" cy="5925600"/>
        </a:xfrm>
        <a:prstGeom prst="rect">
          <a:avLst/>
        </a:prstGeom>
        <a:solidFill>
          <a:srgbClr val="006AB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304800</xdr:colOff>
      <xdr:row>3</xdr:row>
      <xdr:rowOff>114300</xdr:rowOff>
    </xdr:from>
    <xdr:to>
      <xdr:col>1</xdr:col>
      <xdr:colOff>55200</xdr:colOff>
      <xdr:row>5</xdr:row>
      <xdr:rowOff>93300</xdr:rowOff>
    </xdr:to>
    <xdr:pic>
      <xdr:nvPicPr>
        <xdr:cNvPr id="7" name="Picture 6">
          <a:hlinkClick xmlns:r="http://schemas.openxmlformats.org/officeDocument/2006/relationships" r:id="rId2" tooltip="OVERVIEW"/>
          <a:extLst>
            <a:ext uri="{FF2B5EF4-FFF2-40B4-BE49-F238E27FC236}">
              <a16:creationId xmlns:a16="http://schemas.microsoft.com/office/drawing/2014/main" id="{9AB42CC6-82C4-4E3A-AD14-F50DAA731D0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04800" y="685800"/>
          <a:ext cx="360000" cy="360000"/>
        </a:xfrm>
        <a:prstGeom prst="rect">
          <a:avLst/>
        </a:prstGeom>
      </xdr:spPr>
    </xdr:pic>
    <xdr:clientData/>
  </xdr:twoCellAnchor>
  <xdr:twoCellAnchor editAs="oneCell">
    <xdr:from>
      <xdr:col>0</xdr:col>
      <xdr:colOff>314325</xdr:colOff>
      <xdr:row>8</xdr:row>
      <xdr:rowOff>171450</xdr:rowOff>
    </xdr:from>
    <xdr:to>
      <xdr:col>1</xdr:col>
      <xdr:colOff>64725</xdr:colOff>
      <xdr:row>10</xdr:row>
      <xdr:rowOff>150450</xdr:rowOff>
    </xdr:to>
    <xdr:pic>
      <xdr:nvPicPr>
        <xdr:cNvPr id="8" name="Picture 7">
          <a:hlinkClick xmlns:r="http://schemas.openxmlformats.org/officeDocument/2006/relationships" r:id="rId4" tooltip="ANALYSIS1"/>
          <a:extLst>
            <a:ext uri="{FF2B5EF4-FFF2-40B4-BE49-F238E27FC236}">
              <a16:creationId xmlns:a16="http://schemas.microsoft.com/office/drawing/2014/main" id="{5424F358-3A73-4304-BE0D-91F69FA87E4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14325" y="1695450"/>
          <a:ext cx="360000" cy="360000"/>
        </a:xfrm>
        <a:prstGeom prst="rect">
          <a:avLst/>
        </a:prstGeom>
      </xdr:spPr>
    </xdr:pic>
    <xdr:clientData/>
  </xdr:twoCellAnchor>
  <xdr:twoCellAnchor editAs="oneCell">
    <xdr:from>
      <xdr:col>0</xdr:col>
      <xdr:colOff>295275</xdr:colOff>
      <xdr:row>14</xdr:row>
      <xdr:rowOff>85725</xdr:rowOff>
    </xdr:from>
    <xdr:to>
      <xdr:col>1</xdr:col>
      <xdr:colOff>45675</xdr:colOff>
      <xdr:row>16</xdr:row>
      <xdr:rowOff>64725</xdr:rowOff>
    </xdr:to>
    <xdr:pic>
      <xdr:nvPicPr>
        <xdr:cNvPr id="9" name="Picture 8">
          <a:hlinkClick xmlns:r="http://schemas.openxmlformats.org/officeDocument/2006/relationships" r:id="rId6" tooltip="ANALYSIS2"/>
          <a:extLst>
            <a:ext uri="{FF2B5EF4-FFF2-40B4-BE49-F238E27FC236}">
              <a16:creationId xmlns:a16="http://schemas.microsoft.com/office/drawing/2014/main" id="{929BA1F1-0A44-4DC4-B245-F291D0EFCDD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5275" y="2752725"/>
          <a:ext cx="360000" cy="360000"/>
        </a:xfrm>
        <a:prstGeom prst="rect">
          <a:avLst/>
        </a:prstGeom>
      </xdr:spPr>
    </xdr:pic>
    <xdr:clientData/>
  </xdr:twoCellAnchor>
  <xdr:twoCellAnchor editAs="oneCell">
    <xdr:from>
      <xdr:col>0</xdr:col>
      <xdr:colOff>304800</xdr:colOff>
      <xdr:row>20</xdr:row>
      <xdr:rowOff>0</xdr:rowOff>
    </xdr:from>
    <xdr:to>
      <xdr:col>1</xdr:col>
      <xdr:colOff>55200</xdr:colOff>
      <xdr:row>21</xdr:row>
      <xdr:rowOff>169500</xdr:rowOff>
    </xdr:to>
    <xdr:pic>
      <xdr:nvPicPr>
        <xdr:cNvPr id="10" name="Picture 9">
          <a:hlinkClick xmlns:r="http://schemas.openxmlformats.org/officeDocument/2006/relationships" r:id="rId8" tooltip="TREND ANALYSIS"/>
          <a:extLst>
            <a:ext uri="{FF2B5EF4-FFF2-40B4-BE49-F238E27FC236}">
              <a16:creationId xmlns:a16="http://schemas.microsoft.com/office/drawing/2014/main" id="{11623809-0FDE-4BC5-A91A-5AA21D998C89}"/>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04800" y="3810000"/>
          <a:ext cx="360000" cy="360000"/>
        </a:xfrm>
        <a:prstGeom prst="rect">
          <a:avLst/>
        </a:prstGeom>
      </xdr:spPr>
    </xdr:pic>
    <xdr:clientData/>
  </xdr:twoCellAnchor>
  <xdr:twoCellAnchor editAs="oneCell">
    <xdr:from>
      <xdr:col>0</xdr:col>
      <xdr:colOff>276225</xdr:colOff>
      <xdr:row>25</xdr:row>
      <xdr:rowOff>47625</xdr:rowOff>
    </xdr:from>
    <xdr:to>
      <xdr:col>1</xdr:col>
      <xdr:colOff>26625</xdr:colOff>
      <xdr:row>27</xdr:row>
      <xdr:rowOff>26625</xdr:rowOff>
    </xdr:to>
    <xdr:pic>
      <xdr:nvPicPr>
        <xdr:cNvPr id="11" name="Picture 10">
          <a:hlinkClick xmlns:r="http://schemas.openxmlformats.org/officeDocument/2006/relationships" r:id="rId10" tooltip="KEY INSIGHTS"/>
          <a:extLst>
            <a:ext uri="{FF2B5EF4-FFF2-40B4-BE49-F238E27FC236}">
              <a16:creationId xmlns:a16="http://schemas.microsoft.com/office/drawing/2014/main" id="{C2E5B22C-4578-4829-AE64-59E7C22002E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76225" y="4810125"/>
          <a:ext cx="360000" cy="360000"/>
        </a:xfrm>
        <a:prstGeom prst="rect">
          <a:avLst/>
        </a:prstGeom>
      </xdr:spPr>
    </xdr:pic>
    <xdr:clientData/>
  </xdr:twoCellAnchor>
  <xdr:twoCellAnchor editAs="oneCell">
    <xdr:from>
      <xdr:col>0</xdr:col>
      <xdr:colOff>257175</xdr:colOff>
      <xdr:row>29</xdr:row>
      <xdr:rowOff>171450</xdr:rowOff>
    </xdr:from>
    <xdr:to>
      <xdr:col>1</xdr:col>
      <xdr:colOff>7575</xdr:colOff>
      <xdr:row>31</xdr:row>
      <xdr:rowOff>150450</xdr:rowOff>
    </xdr:to>
    <xdr:pic>
      <xdr:nvPicPr>
        <xdr:cNvPr id="12" name="Picture 11">
          <a:hlinkClick xmlns:r="http://schemas.openxmlformats.org/officeDocument/2006/relationships" r:id="rId12" tooltip="DATA DICTIONARY"/>
          <a:extLst>
            <a:ext uri="{FF2B5EF4-FFF2-40B4-BE49-F238E27FC236}">
              <a16:creationId xmlns:a16="http://schemas.microsoft.com/office/drawing/2014/main" id="{463EC9CD-51EA-44DD-B675-382D773A15B2}"/>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57175" y="5695950"/>
          <a:ext cx="360000" cy="360000"/>
        </a:xfrm>
        <a:prstGeom prst="rect">
          <a:avLst/>
        </a:prstGeom>
      </xdr:spPr>
    </xdr:pic>
    <xdr:clientData/>
  </xdr:twoCellAnchor>
  <xdr:twoCellAnchor>
    <xdr:from>
      <xdr:col>8</xdr:col>
      <xdr:colOff>428625</xdr:colOff>
      <xdr:row>0</xdr:row>
      <xdr:rowOff>0</xdr:rowOff>
    </xdr:from>
    <xdr:to>
      <xdr:col>12</xdr:col>
      <xdr:colOff>600074</xdr:colOff>
      <xdr:row>2</xdr:row>
      <xdr:rowOff>104776</xdr:rowOff>
    </xdr:to>
    <xdr:grpSp>
      <xdr:nvGrpSpPr>
        <xdr:cNvPr id="13" name="Group 12">
          <a:extLst>
            <a:ext uri="{FF2B5EF4-FFF2-40B4-BE49-F238E27FC236}">
              <a16:creationId xmlns:a16="http://schemas.microsoft.com/office/drawing/2014/main" id="{14238784-68AD-49C3-807A-102AC9427998}"/>
            </a:ext>
          </a:extLst>
        </xdr:cNvPr>
        <xdr:cNvGrpSpPr/>
      </xdr:nvGrpSpPr>
      <xdr:grpSpPr>
        <a:xfrm>
          <a:off x="5305425" y="0"/>
          <a:ext cx="2609849" cy="485776"/>
          <a:chOff x="4791075" y="152400"/>
          <a:chExt cx="2609849" cy="590551"/>
        </a:xfrm>
      </xdr:grpSpPr>
      <mc:AlternateContent xmlns:mc="http://schemas.openxmlformats.org/markup-compatibility/2006" xmlns:a14="http://schemas.microsoft.com/office/drawing/2010/main">
        <mc:Choice Requires="a14">
          <xdr:graphicFrame macro="">
            <xdr:nvGraphicFramePr>
              <xdr:cNvPr id="14" name="Age 2">
                <a:extLst>
                  <a:ext uri="{FF2B5EF4-FFF2-40B4-BE49-F238E27FC236}">
                    <a16:creationId xmlns:a16="http://schemas.microsoft.com/office/drawing/2014/main" id="{B927B1B1-9F87-617F-5885-BF1E619D0343}"/>
                  </a:ext>
                </a:extLst>
              </xdr:cNvPr>
              <xdr:cNvGraphicFramePr/>
            </xdr:nvGraphicFramePr>
            <xdr:xfrm>
              <a:off x="4800599" y="323849"/>
              <a:ext cx="2600325" cy="419102"/>
            </xdr:xfrm>
            <a:graphic>
              <a:graphicData uri="http://schemas.microsoft.com/office/drawing/2010/slicer">
                <sle:slicer xmlns:sle="http://schemas.microsoft.com/office/drawing/2010/slicer" name="Age 2"/>
              </a:graphicData>
            </a:graphic>
          </xdr:graphicFrame>
        </mc:Choice>
        <mc:Fallback xmlns="">
          <xdr:sp macro="" textlink="">
            <xdr:nvSpPr>
              <xdr:cNvPr id="0" name=""/>
              <xdr:cNvSpPr>
                <a:spLocks noTextEdit="1"/>
              </xdr:cNvSpPr>
            </xdr:nvSpPr>
            <xdr:spPr>
              <a:xfrm>
                <a:off x="5314949" y="141031"/>
                <a:ext cx="2600325" cy="3447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5" name="TextBox 14">
            <a:extLst>
              <a:ext uri="{FF2B5EF4-FFF2-40B4-BE49-F238E27FC236}">
                <a16:creationId xmlns:a16="http://schemas.microsoft.com/office/drawing/2014/main" id="{BCEE479D-A24E-B0D4-9404-95EDF710A3E4}"/>
              </a:ext>
            </a:extLst>
          </xdr:cNvPr>
          <xdr:cNvSpPr txBox="1"/>
        </xdr:nvSpPr>
        <xdr:spPr>
          <a:xfrm>
            <a:off x="4791075" y="152400"/>
            <a:ext cx="2599200" cy="171450"/>
          </a:xfrm>
          <a:prstGeom prst="rect">
            <a:avLst/>
          </a:prstGeom>
          <a:solidFill>
            <a:srgbClr val="0078D7"/>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Age</a:t>
            </a:r>
          </a:p>
        </xdr:txBody>
      </xdr:sp>
    </xdr:grpSp>
    <xdr:clientData/>
  </xdr:twoCellAnchor>
  <xdr:twoCellAnchor>
    <xdr:from>
      <xdr:col>14</xdr:col>
      <xdr:colOff>504825</xdr:colOff>
      <xdr:row>0</xdr:row>
      <xdr:rowOff>0</xdr:rowOff>
    </xdr:from>
    <xdr:to>
      <xdr:col>17</xdr:col>
      <xdr:colOff>514350</xdr:colOff>
      <xdr:row>2</xdr:row>
      <xdr:rowOff>105001</xdr:rowOff>
    </xdr:to>
    <xdr:grpSp>
      <xdr:nvGrpSpPr>
        <xdr:cNvPr id="16" name="Group 15">
          <a:extLst>
            <a:ext uri="{FF2B5EF4-FFF2-40B4-BE49-F238E27FC236}">
              <a16:creationId xmlns:a16="http://schemas.microsoft.com/office/drawing/2014/main" id="{97FBE6E6-4746-4FBE-93A6-D7B14F5626E7}"/>
            </a:ext>
          </a:extLst>
        </xdr:cNvPr>
        <xdr:cNvGrpSpPr/>
      </xdr:nvGrpSpPr>
      <xdr:grpSpPr>
        <a:xfrm>
          <a:off x="9039225" y="0"/>
          <a:ext cx="1838325" cy="486001"/>
          <a:chOff x="7915275" y="0"/>
          <a:chExt cx="1838325" cy="476477"/>
        </a:xfrm>
      </xdr:grpSpPr>
      <mc:AlternateContent xmlns:mc="http://schemas.openxmlformats.org/markup-compatibility/2006" xmlns:a14="http://schemas.microsoft.com/office/drawing/2010/main">
        <mc:Choice Requires="a14">
          <xdr:graphicFrame macro="">
            <xdr:nvGraphicFramePr>
              <xdr:cNvPr id="17" name="Outcome 2">
                <a:extLst>
                  <a:ext uri="{FF2B5EF4-FFF2-40B4-BE49-F238E27FC236}">
                    <a16:creationId xmlns:a16="http://schemas.microsoft.com/office/drawing/2014/main" id="{9E744E53-35D2-9B60-6E37-ED9A92867781}"/>
                  </a:ext>
                </a:extLst>
              </xdr:cNvPr>
              <xdr:cNvGraphicFramePr/>
            </xdr:nvGraphicFramePr>
            <xdr:xfrm>
              <a:off x="7924800" y="143949"/>
              <a:ext cx="1828800" cy="332528"/>
            </xdr:xfrm>
            <a:graphic>
              <a:graphicData uri="http://schemas.microsoft.com/office/drawing/2010/slicer">
                <sle:slicer xmlns:sle="http://schemas.microsoft.com/office/drawing/2010/slicer" name="Outcome 2"/>
              </a:graphicData>
            </a:graphic>
          </xdr:graphicFrame>
        </mc:Choice>
        <mc:Fallback xmlns="">
          <xdr:sp macro="" textlink="">
            <xdr:nvSpPr>
              <xdr:cNvPr id="0" name=""/>
              <xdr:cNvSpPr>
                <a:spLocks noTextEdit="1"/>
              </xdr:cNvSpPr>
            </xdr:nvSpPr>
            <xdr:spPr>
              <a:xfrm>
                <a:off x="9048750" y="146826"/>
                <a:ext cx="1828800" cy="3391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8" name="TextBox 17">
            <a:extLst>
              <a:ext uri="{FF2B5EF4-FFF2-40B4-BE49-F238E27FC236}">
                <a16:creationId xmlns:a16="http://schemas.microsoft.com/office/drawing/2014/main" id="{22F4CCC8-787A-7797-FEF3-D3DDE6DB2E2E}"/>
              </a:ext>
            </a:extLst>
          </xdr:cNvPr>
          <xdr:cNvSpPr txBox="1"/>
        </xdr:nvSpPr>
        <xdr:spPr>
          <a:xfrm>
            <a:off x="7915275" y="0"/>
            <a:ext cx="1828800" cy="162000"/>
          </a:xfrm>
          <a:prstGeom prst="rect">
            <a:avLst/>
          </a:prstGeom>
          <a:solidFill>
            <a:srgbClr val="0078D7"/>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Outcome</a:t>
            </a:r>
          </a:p>
        </xdr:txBody>
      </xdr:sp>
    </xdr:grpSp>
    <xdr:clientData/>
  </xdr:twoCellAnchor>
  <xdr:twoCellAnchor editAs="oneCell">
    <xdr:from>
      <xdr:col>19</xdr:col>
      <xdr:colOff>76200</xdr:colOff>
      <xdr:row>0</xdr:row>
      <xdr:rowOff>9525</xdr:rowOff>
    </xdr:from>
    <xdr:to>
      <xdr:col>19</xdr:col>
      <xdr:colOff>537000</xdr:colOff>
      <xdr:row>2</xdr:row>
      <xdr:rowOff>89325</xdr:rowOff>
    </xdr:to>
    <xdr:pic macro="[0]!Sheet20.ResetDashboard">
      <xdr:nvPicPr>
        <xdr:cNvPr id="22" name="Picture 21">
          <a:extLst>
            <a:ext uri="{FF2B5EF4-FFF2-40B4-BE49-F238E27FC236}">
              <a16:creationId xmlns:a16="http://schemas.microsoft.com/office/drawing/2014/main" id="{93B8651C-A608-2DC4-87ED-0D976F76A57C}"/>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658600" y="9525"/>
          <a:ext cx="460800" cy="460800"/>
        </a:xfrm>
        <a:prstGeom prst="rect">
          <a:avLst/>
        </a:prstGeom>
      </xdr:spPr>
    </xdr:pic>
    <xdr:clientData/>
  </xdr:twoCellAnchor>
  <xdr:twoCellAnchor>
    <xdr:from>
      <xdr:col>1</xdr:col>
      <xdr:colOff>419099</xdr:colOff>
      <xdr:row>2</xdr:row>
      <xdr:rowOff>114300</xdr:rowOff>
    </xdr:from>
    <xdr:to>
      <xdr:col>7</xdr:col>
      <xdr:colOff>123824</xdr:colOff>
      <xdr:row>4</xdr:row>
      <xdr:rowOff>133350</xdr:rowOff>
    </xdr:to>
    <xdr:sp macro="" textlink="">
      <xdr:nvSpPr>
        <xdr:cNvPr id="23" name="TextBox 22">
          <a:extLst>
            <a:ext uri="{FF2B5EF4-FFF2-40B4-BE49-F238E27FC236}">
              <a16:creationId xmlns:a16="http://schemas.microsoft.com/office/drawing/2014/main" id="{3657ED28-43DB-CE2B-4A56-E503D6BD996E}"/>
            </a:ext>
          </a:extLst>
        </xdr:cNvPr>
        <xdr:cNvSpPr txBox="1"/>
      </xdr:nvSpPr>
      <xdr:spPr>
        <a:xfrm>
          <a:off x="1028699" y="495300"/>
          <a:ext cx="3362325" cy="400050"/>
        </a:xfrm>
        <a:prstGeom prst="rect">
          <a:avLst/>
        </a:prstGeom>
        <a:solidFill>
          <a:schemeClr val="accent6">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Contribution</a:t>
          </a:r>
          <a:r>
            <a:rPr lang="en-IN" sz="1100" b="1" baseline="0">
              <a:solidFill>
                <a:schemeClr val="bg1"/>
              </a:solidFill>
            </a:rPr>
            <a:t> of Glucose and BMI to Diabetes Patients </a:t>
          </a:r>
          <a:endParaRPr lang="en-IN" sz="1100" b="1">
            <a:solidFill>
              <a:schemeClr val="bg1"/>
            </a:solidFill>
          </a:endParaRPr>
        </a:p>
      </xdr:txBody>
    </xdr:sp>
    <xdr:clientData/>
  </xdr:twoCellAnchor>
  <xdr:twoCellAnchor>
    <xdr:from>
      <xdr:col>8</xdr:col>
      <xdr:colOff>361950</xdr:colOff>
      <xdr:row>2</xdr:row>
      <xdr:rowOff>133350</xdr:rowOff>
    </xdr:from>
    <xdr:to>
      <xdr:col>12</xdr:col>
      <xdr:colOff>609599</xdr:colOff>
      <xdr:row>6</xdr:row>
      <xdr:rowOff>152400</xdr:rowOff>
    </xdr:to>
    <xdr:sp macro="" textlink="AKPI!B3">
      <xdr:nvSpPr>
        <xdr:cNvPr id="24" name="Rectangle: Rounded Corners 23">
          <a:extLst>
            <a:ext uri="{FF2B5EF4-FFF2-40B4-BE49-F238E27FC236}">
              <a16:creationId xmlns:a16="http://schemas.microsoft.com/office/drawing/2014/main" id="{409B2C74-3D27-4355-4906-CD55DEA1B791}"/>
            </a:ext>
          </a:extLst>
        </xdr:cNvPr>
        <xdr:cNvSpPr/>
      </xdr:nvSpPr>
      <xdr:spPr>
        <a:xfrm>
          <a:off x="5238750" y="514350"/>
          <a:ext cx="2686049" cy="781050"/>
        </a:xfrm>
        <a:prstGeom prst="roundRect">
          <a:avLst/>
        </a:prstGeom>
        <a:solidFill>
          <a:srgbClr val="0B93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514D6F8-73B7-4878-BE2C-0EB01233B508}" type="TxLink">
            <a:rPr lang="en-US" sz="1400" b="1" i="0" u="none" strike="noStrike">
              <a:solidFill>
                <a:srgbClr val="006ABE"/>
              </a:solidFill>
              <a:latin typeface="Calibri"/>
              <a:cs typeface="Calibri"/>
            </a:rPr>
            <a:pPr algn="ctr"/>
            <a:t>High Risk BMI
&gt;=23</a:t>
          </a:fld>
          <a:endParaRPr lang="en-IN" sz="1400" b="1">
            <a:solidFill>
              <a:srgbClr val="006ABE"/>
            </a:solidFill>
          </a:endParaRPr>
        </a:p>
      </xdr:txBody>
    </xdr:sp>
    <xdr:clientData/>
  </xdr:twoCellAnchor>
  <xdr:twoCellAnchor>
    <xdr:from>
      <xdr:col>14</xdr:col>
      <xdr:colOff>57150</xdr:colOff>
      <xdr:row>2</xdr:row>
      <xdr:rowOff>123825</xdr:rowOff>
    </xdr:from>
    <xdr:to>
      <xdr:col>18</xdr:col>
      <xdr:colOff>304799</xdr:colOff>
      <xdr:row>6</xdr:row>
      <xdr:rowOff>142875</xdr:rowOff>
    </xdr:to>
    <xdr:sp macro="" textlink="AKPI!D6">
      <xdr:nvSpPr>
        <xdr:cNvPr id="25" name="Rectangle: Rounded Corners 24">
          <a:extLst>
            <a:ext uri="{FF2B5EF4-FFF2-40B4-BE49-F238E27FC236}">
              <a16:creationId xmlns:a16="http://schemas.microsoft.com/office/drawing/2014/main" id="{EE137BC4-40F4-4385-851C-503CF3DA3F0F}"/>
            </a:ext>
          </a:extLst>
        </xdr:cNvPr>
        <xdr:cNvSpPr/>
      </xdr:nvSpPr>
      <xdr:spPr>
        <a:xfrm>
          <a:off x="8591550" y="504825"/>
          <a:ext cx="2686049" cy="781050"/>
        </a:xfrm>
        <a:prstGeom prst="roundRect">
          <a:avLst/>
        </a:prstGeom>
        <a:solidFill>
          <a:srgbClr val="0B93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C3ACAE1-D2FD-4191-8B6D-3AE99265DFBB}" type="TxLink">
            <a:rPr lang="en-US" sz="1400" b="1" i="0" u="none" strike="noStrike">
              <a:solidFill>
                <a:srgbClr val="006ABE"/>
              </a:solidFill>
              <a:latin typeface="Calibri"/>
              <a:cs typeface="Calibri"/>
            </a:rPr>
            <a:pPr algn="ctr"/>
            <a:t>High Risk Glucose
&gt;=100</a:t>
          </a:fld>
          <a:endParaRPr lang="en-IN" sz="1400" b="1">
            <a:solidFill>
              <a:srgbClr val="006ABE"/>
            </a:solidFill>
          </a:endParaRPr>
        </a:p>
      </xdr:txBody>
    </xdr:sp>
    <xdr:clientData/>
  </xdr:twoCellAnchor>
  <xdr:twoCellAnchor>
    <xdr:from>
      <xdr:col>6</xdr:col>
      <xdr:colOff>419100</xdr:colOff>
      <xdr:row>7</xdr:row>
      <xdr:rowOff>57150</xdr:rowOff>
    </xdr:from>
    <xdr:to>
      <xdr:col>13</xdr:col>
      <xdr:colOff>471900</xdr:colOff>
      <xdr:row>18</xdr:row>
      <xdr:rowOff>121650</xdr:rowOff>
    </xdr:to>
    <xdr:graphicFrame macro="">
      <xdr:nvGraphicFramePr>
        <xdr:cNvPr id="26" name="Chart 25">
          <a:extLst>
            <a:ext uri="{FF2B5EF4-FFF2-40B4-BE49-F238E27FC236}">
              <a16:creationId xmlns:a16="http://schemas.microsoft.com/office/drawing/2014/main" id="{0122D1D8-B40F-47DE-BDC3-6BF42706DE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314325</xdr:colOff>
      <xdr:row>20</xdr:row>
      <xdr:rowOff>47625</xdr:rowOff>
    </xdr:from>
    <xdr:to>
      <xdr:col>18</xdr:col>
      <xdr:colOff>587925</xdr:colOff>
      <xdr:row>31</xdr:row>
      <xdr:rowOff>112125</xdr:rowOff>
    </xdr:to>
    <xdr:graphicFrame macro="">
      <xdr:nvGraphicFramePr>
        <xdr:cNvPr id="4" name="Chart 3">
          <a:extLst>
            <a:ext uri="{FF2B5EF4-FFF2-40B4-BE49-F238E27FC236}">
              <a16:creationId xmlns:a16="http://schemas.microsoft.com/office/drawing/2014/main" id="{1680DE0E-241B-4C4D-97A7-053849D71E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523875</xdr:colOff>
      <xdr:row>7</xdr:row>
      <xdr:rowOff>38100</xdr:rowOff>
    </xdr:from>
    <xdr:to>
      <xdr:col>20</xdr:col>
      <xdr:colOff>576675</xdr:colOff>
      <xdr:row>18</xdr:row>
      <xdr:rowOff>102600</xdr:rowOff>
    </xdr:to>
    <xdr:graphicFrame macro="">
      <xdr:nvGraphicFramePr>
        <xdr:cNvPr id="19" name="Chart 18">
          <a:extLst>
            <a:ext uri="{FF2B5EF4-FFF2-40B4-BE49-F238E27FC236}">
              <a16:creationId xmlns:a16="http://schemas.microsoft.com/office/drawing/2014/main" id="{ACF52514-62B5-40A3-8AA6-134A190761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428626</xdr:colOff>
      <xdr:row>4</xdr:row>
      <xdr:rowOff>161925</xdr:rowOff>
    </xdr:from>
    <xdr:to>
      <xdr:col>6</xdr:col>
      <xdr:colOff>304800</xdr:colOff>
      <xdr:row>33</xdr:row>
      <xdr:rowOff>145425</xdr:rowOff>
    </xdr:to>
    <xdr:sp macro="" textlink="">
      <xdr:nvSpPr>
        <xdr:cNvPr id="20" name="TextBox 19">
          <a:extLst>
            <a:ext uri="{FF2B5EF4-FFF2-40B4-BE49-F238E27FC236}">
              <a16:creationId xmlns:a16="http://schemas.microsoft.com/office/drawing/2014/main" id="{4FA638B8-7A14-FDD4-4D32-69D2361E49A8}"/>
            </a:ext>
          </a:extLst>
        </xdr:cNvPr>
        <xdr:cNvSpPr txBox="1"/>
      </xdr:nvSpPr>
      <xdr:spPr>
        <a:xfrm>
          <a:off x="1038226" y="923925"/>
          <a:ext cx="2924174" cy="5508000"/>
        </a:xfrm>
        <a:prstGeom prst="rect">
          <a:avLst/>
        </a:prstGeom>
        <a:solidFill>
          <a:schemeClr val="accent6">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a:p>
          <a:r>
            <a:rPr lang="en-IN" sz="1100"/>
            <a:t>1) </a:t>
          </a:r>
          <a:r>
            <a:rPr lang="en-IN" sz="1100" b="1">
              <a:solidFill>
                <a:schemeClr val="bg1"/>
              </a:solidFill>
            </a:rPr>
            <a:t>Total Diabetes Patients</a:t>
          </a:r>
          <a:r>
            <a:rPr lang="en-IN" sz="1100" b="1" baseline="0">
              <a:solidFill>
                <a:schemeClr val="bg1"/>
              </a:solidFill>
            </a:rPr>
            <a:t> = 268</a:t>
          </a:r>
        </a:p>
        <a:p>
          <a:endParaRPr lang="en-IN" sz="1100" baseline="0"/>
        </a:p>
        <a:p>
          <a:r>
            <a:rPr lang="en-IN" sz="1100" baseline="0"/>
            <a:t>2) </a:t>
          </a:r>
          <a:r>
            <a:rPr lang="en-IN" sz="1100" b="1" baseline="0">
              <a:solidFill>
                <a:schemeClr val="bg1"/>
              </a:solidFill>
            </a:rPr>
            <a:t>Total High BMI in Diabetes Patients = 268</a:t>
          </a:r>
          <a:br>
            <a:rPr lang="en-IN" sz="1100" b="1" baseline="0">
              <a:solidFill>
                <a:schemeClr val="bg1"/>
              </a:solidFill>
            </a:rPr>
          </a:br>
          <a:br>
            <a:rPr lang="en-IN" sz="1100" b="1" baseline="0">
              <a:solidFill>
                <a:schemeClr val="bg1"/>
              </a:solidFill>
            </a:rPr>
          </a:br>
          <a:r>
            <a:rPr lang="en-IN" sz="1100" b="1" baseline="0">
              <a:solidFill>
                <a:schemeClr val="bg1"/>
              </a:solidFill>
            </a:rPr>
            <a:t>     It is shown that High BMI is present to every Diabetes Patients</a:t>
          </a:r>
        </a:p>
        <a:p>
          <a:endParaRPr lang="en-IN" sz="1100" baseline="0"/>
        </a:p>
        <a:p>
          <a:r>
            <a:rPr lang="en-IN" sz="1100" baseline="0"/>
            <a:t>3) </a:t>
          </a:r>
          <a:r>
            <a:rPr lang="en-IN" sz="1100" b="1" baseline="0">
              <a:solidFill>
                <a:schemeClr val="bg1"/>
              </a:solidFill>
            </a:rPr>
            <a:t>Total High Glucose in Diabetes Patients =         254 </a:t>
          </a:r>
        </a:p>
        <a:p>
          <a:endParaRPr lang="en-IN" sz="1100" b="1" baseline="0">
            <a:solidFill>
              <a:schemeClr val="bg1"/>
            </a:solidFill>
          </a:endParaRPr>
        </a:p>
        <a:p>
          <a:r>
            <a:rPr lang="en-IN" sz="1100" b="1" baseline="0">
              <a:solidFill>
                <a:schemeClr val="bg1"/>
              </a:solidFill>
            </a:rPr>
            <a:t>    It is shown that 254 High Glucose is present in 268 Diabetes Patients</a:t>
          </a:r>
        </a:p>
        <a:p>
          <a:endParaRPr lang="en-IN" sz="1100" baseline="0"/>
        </a:p>
        <a:p>
          <a:r>
            <a:rPr lang="en-IN" sz="1100" baseline="0"/>
            <a:t>4) </a:t>
          </a:r>
          <a:r>
            <a:rPr lang="en-IN" sz="1100" b="1" baseline="0">
              <a:solidFill>
                <a:schemeClr val="bg1"/>
              </a:solidFill>
            </a:rPr>
            <a:t>Total Diabetes Patients = 268</a:t>
          </a:r>
        </a:p>
        <a:p>
          <a:r>
            <a:rPr lang="en-IN" sz="1100" b="1">
              <a:solidFill>
                <a:schemeClr val="bg1"/>
              </a:solidFill>
            </a:rPr>
            <a:t>   </a:t>
          </a:r>
        </a:p>
        <a:p>
          <a:r>
            <a:rPr lang="en-IN" sz="1100" b="1">
              <a:solidFill>
                <a:schemeClr val="bg1"/>
              </a:solidFill>
            </a:rPr>
            <a:t>     Total Diabetes</a:t>
          </a:r>
          <a:r>
            <a:rPr lang="en-IN" sz="1100" b="1" baseline="0">
              <a:solidFill>
                <a:schemeClr val="bg1"/>
              </a:solidFill>
            </a:rPr>
            <a:t> Patients involving BMI and Glucose = 254</a:t>
          </a:r>
          <a:endParaRPr lang="en-IN" sz="1100" b="1">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124800</xdr:colOff>
      <xdr:row>2</xdr:row>
      <xdr:rowOff>76200</xdr:rowOff>
    </xdr:to>
    <xdr:sp macro="" textlink="">
      <xdr:nvSpPr>
        <xdr:cNvPr id="2" name="Rectangle 1">
          <a:extLst>
            <a:ext uri="{FF2B5EF4-FFF2-40B4-BE49-F238E27FC236}">
              <a16:creationId xmlns:a16="http://schemas.microsoft.com/office/drawing/2014/main" id="{B3ABC481-D2CA-5543-2F2C-B5C4C2964501}"/>
            </a:ext>
          </a:extLst>
        </xdr:cNvPr>
        <xdr:cNvSpPr/>
      </xdr:nvSpPr>
      <xdr:spPr>
        <a:xfrm>
          <a:off x="0" y="0"/>
          <a:ext cx="4392000" cy="457200"/>
        </a:xfrm>
        <a:prstGeom prst="rect">
          <a:avLst/>
        </a:prstGeom>
        <a:solidFill>
          <a:srgbClr val="006AB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28576</xdr:rowOff>
    </xdr:from>
    <xdr:to>
      <xdr:col>7</xdr:col>
      <xdr:colOff>88800</xdr:colOff>
      <xdr:row>2</xdr:row>
      <xdr:rowOff>57150</xdr:rowOff>
    </xdr:to>
    <xdr:sp macro="" textlink="">
      <xdr:nvSpPr>
        <xdr:cNvPr id="3" name="TextBox 2">
          <a:extLst>
            <a:ext uri="{FF2B5EF4-FFF2-40B4-BE49-F238E27FC236}">
              <a16:creationId xmlns:a16="http://schemas.microsoft.com/office/drawing/2014/main" id="{3A005B94-0DD6-ADBF-FC72-2487E5813C69}"/>
            </a:ext>
          </a:extLst>
        </xdr:cNvPr>
        <xdr:cNvSpPr txBox="1"/>
      </xdr:nvSpPr>
      <xdr:spPr>
        <a:xfrm>
          <a:off x="0" y="28576"/>
          <a:ext cx="4356000" cy="409574"/>
        </a:xfrm>
        <a:prstGeom prst="rect">
          <a:avLst/>
        </a:prstGeom>
        <a:solidFill>
          <a:srgbClr val="006AB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400" b="1">
              <a:solidFill>
                <a:schemeClr val="bg1"/>
              </a:solidFill>
            </a:rPr>
            <a:t>DIABETES RISK ANALYSIS DASHBOARD</a:t>
          </a:r>
          <a:r>
            <a:rPr lang="en-IN" sz="1400" b="1"/>
            <a:t>          </a:t>
          </a:r>
          <a:r>
            <a:rPr lang="en-IN" sz="1400" b="1">
              <a:solidFill>
                <a:schemeClr val="bg1"/>
              </a:solidFill>
            </a:rPr>
            <a:t>- ANALYSIS2</a:t>
          </a:r>
        </a:p>
      </xdr:txBody>
    </xdr:sp>
    <xdr:clientData/>
  </xdr:twoCellAnchor>
  <xdr:twoCellAnchor editAs="oneCell">
    <xdr:from>
      <xdr:col>4</xdr:col>
      <xdr:colOff>485775</xdr:colOff>
      <xdr:row>0</xdr:row>
      <xdr:rowOff>47625</xdr:rowOff>
    </xdr:from>
    <xdr:to>
      <xdr:col>5</xdr:col>
      <xdr:colOff>236175</xdr:colOff>
      <xdr:row>2</xdr:row>
      <xdr:rowOff>26625</xdr:rowOff>
    </xdr:to>
    <xdr:pic>
      <xdr:nvPicPr>
        <xdr:cNvPr id="4" name="Picture 3">
          <a:extLst>
            <a:ext uri="{FF2B5EF4-FFF2-40B4-BE49-F238E27FC236}">
              <a16:creationId xmlns:a16="http://schemas.microsoft.com/office/drawing/2014/main" id="{30EC53E7-04FF-4453-B506-565AD61C5F2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24175" y="47625"/>
          <a:ext cx="360000" cy="360000"/>
        </a:xfrm>
        <a:prstGeom prst="rect">
          <a:avLst/>
        </a:prstGeom>
      </xdr:spPr>
    </xdr:pic>
    <xdr:clientData/>
  </xdr:twoCellAnchor>
  <xdr:twoCellAnchor>
    <xdr:from>
      <xdr:col>0</xdr:col>
      <xdr:colOff>9525</xdr:colOff>
      <xdr:row>2</xdr:row>
      <xdr:rowOff>85725</xdr:rowOff>
    </xdr:from>
    <xdr:to>
      <xdr:col>1</xdr:col>
      <xdr:colOff>418725</xdr:colOff>
      <xdr:row>33</xdr:row>
      <xdr:rowOff>156225</xdr:rowOff>
    </xdr:to>
    <xdr:sp macro="" textlink="">
      <xdr:nvSpPr>
        <xdr:cNvPr id="5" name="Rectangle 4">
          <a:extLst>
            <a:ext uri="{FF2B5EF4-FFF2-40B4-BE49-F238E27FC236}">
              <a16:creationId xmlns:a16="http://schemas.microsoft.com/office/drawing/2014/main" id="{5A21429F-70A8-0108-BCD2-17FF40935A94}"/>
            </a:ext>
          </a:extLst>
        </xdr:cNvPr>
        <xdr:cNvSpPr/>
      </xdr:nvSpPr>
      <xdr:spPr>
        <a:xfrm>
          <a:off x="9525" y="466725"/>
          <a:ext cx="1018800" cy="5976000"/>
        </a:xfrm>
        <a:prstGeom prst="rect">
          <a:avLst/>
        </a:prstGeom>
        <a:solidFill>
          <a:srgbClr val="006AB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428624</xdr:colOff>
      <xdr:row>2</xdr:row>
      <xdr:rowOff>85725</xdr:rowOff>
    </xdr:from>
    <xdr:to>
      <xdr:col>7</xdr:col>
      <xdr:colOff>133424</xdr:colOff>
      <xdr:row>4</xdr:row>
      <xdr:rowOff>100725</xdr:rowOff>
    </xdr:to>
    <xdr:sp macro="" textlink="">
      <xdr:nvSpPr>
        <xdr:cNvPr id="6" name="TextBox 5">
          <a:extLst>
            <a:ext uri="{FF2B5EF4-FFF2-40B4-BE49-F238E27FC236}">
              <a16:creationId xmlns:a16="http://schemas.microsoft.com/office/drawing/2014/main" id="{41824773-636A-8012-FEAA-8B9A14362396}"/>
            </a:ext>
          </a:extLst>
        </xdr:cNvPr>
        <xdr:cNvSpPr txBox="1"/>
      </xdr:nvSpPr>
      <xdr:spPr>
        <a:xfrm>
          <a:off x="1038224" y="466725"/>
          <a:ext cx="3362400" cy="396000"/>
        </a:xfrm>
        <a:prstGeom prst="rect">
          <a:avLst/>
        </a:prstGeom>
        <a:solidFill>
          <a:schemeClr val="accent6">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b="1">
              <a:solidFill>
                <a:schemeClr val="bg1"/>
              </a:solidFill>
            </a:rPr>
            <a:t>Highest percentage</a:t>
          </a:r>
          <a:r>
            <a:rPr lang="en-IN" sz="900" b="1" baseline="0">
              <a:solidFill>
                <a:schemeClr val="bg1"/>
              </a:solidFill>
            </a:rPr>
            <a:t> of Diabetes outcome comes under range 21-30 years</a:t>
          </a:r>
          <a:endParaRPr lang="en-IN" sz="900" b="1">
            <a:solidFill>
              <a:schemeClr val="bg1"/>
            </a:solidFill>
          </a:endParaRPr>
        </a:p>
      </xdr:txBody>
    </xdr:sp>
    <xdr:clientData/>
  </xdr:twoCellAnchor>
  <xdr:twoCellAnchor>
    <xdr:from>
      <xdr:col>7</xdr:col>
      <xdr:colOff>542925</xdr:colOff>
      <xdr:row>0</xdr:row>
      <xdr:rowOff>0</xdr:rowOff>
    </xdr:from>
    <xdr:to>
      <xdr:col>11</xdr:col>
      <xdr:colOff>120525</xdr:colOff>
      <xdr:row>4</xdr:row>
      <xdr:rowOff>30000</xdr:rowOff>
    </xdr:to>
    <xdr:sp macro="" textlink="Sheet3!B3">
      <xdr:nvSpPr>
        <xdr:cNvPr id="7" name="Rectangle: Rounded Corners 6">
          <a:extLst>
            <a:ext uri="{FF2B5EF4-FFF2-40B4-BE49-F238E27FC236}">
              <a16:creationId xmlns:a16="http://schemas.microsoft.com/office/drawing/2014/main" id="{9202FB59-89AF-14CD-BFF0-4200952081F8}"/>
            </a:ext>
          </a:extLst>
        </xdr:cNvPr>
        <xdr:cNvSpPr/>
      </xdr:nvSpPr>
      <xdr:spPr>
        <a:xfrm>
          <a:off x="4810125" y="0"/>
          <a:ext cx="2016000" cy="792000"/>
        </a:xfrm>
        <a:prstGeom prst="roundRect">
          <a:avLst/>
        </a:prstGeom>
        <a:solidFill>
          <a:srgbClr val="0B93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B8939B7-E904-46EC-A0DE-4E5A568AD0C8}" type="TxLink">
            <a:rPr lang="en-US" sz="1400" b="1" i="0" u="none" strike="noStrike">
              <a:solidFill>
                <a:srgbClr val="006ABE"/>
              </a:solidFill>
              <a:latin typeface="Calibri"/>
              <a:cs typeface="Calibri"/>
            </a:rPr>
            <a:pPr algn="ctr"/>
            <a:t>Analysis Age Range
21-30 Years</a:t>
          </a:fld>
          <a:endParaRPr lang="en-IN" sz="1400" b="1">
            <a:solidFill>
              <a:srgbClr val="006ABE"/>
            </a:solidFill>
          </a:endParaRPr>
        </a:p>
      </xdr:txBody>
    </xdr:sp>
    <xdr:clientData/>
  </xdr:twoCellAnchor>
  <xdr:twoCellAnchor>
    <xdr:from>
      <xdr:col>11</xdr:col>
      <xdr:colOff>571500</xdr:colOff>
      <xdr:row>0</xdr:row>
      <xdr:rowOff>0</xdr:rowOff>
    </xdr:from>
    <xdr:to>
      <xdr:col>16</xdr:col>
      <xdr:colOff>133349</xdr:colOff>
      <xdr:row>2</xdr:row>
      <xdr:rowOff>104776</xdr:rowOff>
    </xdr:to>
    <xdr:grpSp>
      <xdr:nvGrpSpPr>
        <xdr:cNvPr id="8" name="Group 7">
          <a:extLst>
            <a:ext uri="{FF2B5EF4-FFF2-40B4-BE49-F238E27FC236}">
              <a16:creationId xmlns:a16="http://schemas.microsoft.com/office/drawing/2014/main" id="{97B97908-264F-4A4C-9698-348E78B99B2A}"/>
            </a:ext>
          </a:extLst>
        </xdr:cNvPr>
        <xdr:cNvGrpSpPr/>
      </xdr:nvGrpSpPr>
      <xdr:grpSpPr>
        <a:xfrm>
          <a:off x="7277100" y="0"/>
          <a:ext cx="2609849" cy="485776"/>
          <a:chOff x="4791075" y="152400"/>
          <a:chExt cx="2609849" cy="590551"/>
        </a:xfrm>
      </xdr:grpSpPr>
      <mc:AlternateContent xmlns:mc="http://schemas.openxmlformats.org/markup-compatibility/2006" xmlns:a14="http://schemas.microsoft.com/office/drawing/2010/main">
        <mc:Choice Requires="a14">
          <xdr:graphicFrame macro="">
            <xdr:nvGraphicFramePr>
              <xdr:cNvPr id="9" name="Age 3">
                <a:extLst>
                  <a:ext uri="{FF2B5EF4-FFF2-40B4-BE49-F238E27FC236}">
                    <a16:creationId xmlns:a16="http://schemas.microsoft.com/office/drawing/2014/main" id="{854F0C96-F18D-29A7-01F8-437A7B9CE60B}"/>
                  </a:ext>
                </a:extLst>
              </xdr:cNvPr>
              <xdr:cNvGraphicFramePr/>
            </xdr:nvGraphicFramePr>
            <xdr:xfrm>
              <a:off x="4800599" y="323849"/>
              <a:ext cx="2600325" cy="419102"/>
            </xdr:xfrm>
            <a:graphic>
              <a:graphicData uri="http://schemas.microsoft.com/office/drawing/2010/slicer">
                <sle:slicer xmlns:sle="http://schemas.microsoft.com/office/drawing/2010/slicer" name="Age 3"/>
              </a:graphicData>
            </a:graphic>
          </xdr:graphicFrame>
        </mc:Choice>
        <mc:Fallback xmlns="">
          <xdr:sp macro="" textlink="">
            <xdr:nvSpPr>
              <xdr:cNvPr id="0" name=""/>
              <xdr:cNvSpPr>
                <a:spLocks noTextEdit="1"/>
              </xdr:cNvSpPr>
            </xdr:nvSpPr>
            <xdr:spPr>
              <a:xfrm>
                <a:off x="7286624" y="141031"/>
                <a:ext cx="2600325" cy="3447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0" name="TextBox 9">
            <a:extLst>
              <a:ext uri="{FF2B5EF4-FFF2-40B4-BE49-F238E27FC236}">
                <a16:creationId xmlns:a16="http://schemas.microsoft.com/office/drawing/2014/main" id="{400236BB-EA06-6B0B-D222-159FDDA0FB89}"/>
              </a:ext>
            </a:extLst>
          </xdr:cNvPr>
          <xdr:cNvSpPr txBox="1"/>
        </xdr:nvSpPr>
        <xdr:spPr>
          <a:xfrm>
            <a:off x="4791075" y="152400"/>
            <a:ext cx="2599200" cy="171450"/>
          </a:xfrm>
          <a:prstGeom prst="rect">
            <a:avLst/>
          </a:prstGeom>
          <a:solidFill>
            <a:srgbClr val="0078D7"/>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Age</a:t>
            </a:r>
          </a:p>
        </xdr:txBody>
      </xdr:sp>
    </xdr:grpSp>
    <xdr:clientData/>
  </xdr:twoCellAnchor>
  <xdr:twoCellAnchor>
    <xdr:from>
      <xdr:col>16</xdr:col>
      <xdr:colOff>276225</xdr:colOff>
      <xdr:row>0</xdr:row>
      <xdr:rowOff>0</xdr:rowOff>
    </xdr:from>
    <xdr:to>
      <xdr:col>19</xdr:col>
      <xdr:colOff>285750</xdr:colOff>
      <xdr:row>2</xdr:row>
      <xdr:rowOff>105001</xdr:rowOff>
    </xdr:to>
    <xdr:grpSp>
      <xdr:nvGrpSpPr>
        <xdr:cNvPr id="11" name="Group 10">
          <a:extLst>
            <a:ext uri="{FF2B5EF4-FFF2-40B4-BE49-F238E27FC236}">
              <a16:creationId xmlns:a16="http://schemas.microsoft.com/office/drawing/2014/main" id="{51E5E5D0-7631-4194-9568-A3227E59269C}"/>
            </a:ext>
          </a:extLst>
        </xdr:cNvPr>
        <xdr:cNvGrpSpPr/>
      </xdr:nvGrpSpPr>
      <xdr:grpSpPr>
        <a:xfrm>
          <a:off x="10029825" y="0"/>
          <a:ext cx="1838325" cy="486001"/>
          <a:chOff x="7915275" y="0"/>
          <a:chExt cx="1838325" cy="476477"/>
        </a:xfrm>
      </xdr:grpSpPr>
      <mc:AlternateContent xmlns:mc="http://schemas.openxmlformats.org/markup-compatibility/2006" xmlns:a14="http://schemas.microsoft.com/office/drawing/2010/main">
        <mc:Choice Requires="a14">
          <xdr:graphicFrame macro="">
            <xdr:nvGraphicFramePr>
              <xdr:cNvPr id="12" name="Outcome 3">
                <a:extLst>
                  <a:ext uri="{FF2B5EF4-FFF2-40B4-BE49-F238E27FC236}">
                    <a16:creationId xmlns:a16="http://schemas.microsoft.com/office/drawing/2014/main" id="{E86F8519-AE0C-FBF9-33D3-6D1DF608ACDD}"/>
                  </a:ext>
                </a:extLst>
              </xdr:cNvPr>
              <xdr:cNvGraphicFramePr/>
            </xdr:nvGraphicFramePr>
            <xdr:xfrm>
              <a:off x="7924800" y="143949"/>
              <a:ext cx="1828800" cy="332528"/>
            </xdr:xfrm>
            <a:graphic>
              <a:graphicData uri="http://schemas.microsoft.com/office/drawing/2010/slicer">
                <sle:slicer xmlns:sle="http://schemas.microsoft.com/office/drawing/2010/slicer" name="Outcome 3"/>
              </a:graphicData>
            </a:graphic>
          </xdr:graphicFrame>
        </mc:Choice>
        <mc:Fallback xmlns="">
          <xdr:sp macro="" textlink="">
            <xdr:nvSpPr>
              <xdr:cNvPr id="0" name=""/>
              <xdr:cNvSpPr>
                <a:spLocks noTextEdit="1"/>
              </xdr:cNvSpPr>
            </xdr:nvSpPr>
            <xdr:spPr>
              <a:xfrm>
                <a:off x="10039350" y="146826"/>
                <a:ext cx="1828800" cy="3391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3" name="TextBox 12">
            <a:extLst>
              <a:ext uri="{FF2B5EF4-FFF2-40B4-BE49-F238E27FC236}">
                <a16:creationId xmlns:a16="http://schemas.microsoft.com/office/drawing/2014/main" id="{0D6DB155-616A-3EF5-7B8D-F02EB2E514D7}"/>
              </a:ext>
            </a:extLst>
          </xdr:cNvPr>
          <xdr:cNvSpPr txBox="1"/>
        </xdr:nvSpPr>
        <xdr:spPr>
          <a:xfrm>
            <a:off x="7915275" y="0"/>
            <a:ext cx="1828800" cy="162000"/>
          </a:xfrm>
          <a:prstGeom prst="rect">
            <a:avLst/>
          </a:prstGeom>
          <a:solidFill>
            <a:srgbClr val="0078D7"/>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Outcome</a:t>
            </a:r>
          </a:p>
        </xdr:txBody>
      </xdr:sp>
    </xdr:grpSp>
    <xdr:clientData/>
  </xdr:twoCellAnchor>
  <xdr:twoCellAnchor editAs="oneCell">
    <xdr:from>
      <xdr:col>19</xdr:col>
      <xdr:colOff>466725</xdr:colOff>
      <xdr:row>0</xdr:row>
      <xdr:rowOff>9525</xdr:rowOff>
    </xdr:from>
    <xdr:to>
      <xdr:col>20</xdr:col>
      <xdr:colOff>317925</xdr:colOff>
      <xdr:row>2</xdr:row>
      <xdr:rowOff>89325</xdr:rowOff>
    </xdr:to>
    <xdr:pic macro="[0]!Sheet21.ResetDashboard">
      <xdr:nvPicPr>
        <xdr:cNvPr id="14" name="Picture 13">
          <a:extLst>
            <a:ext uri="{FF2B5EF4-FFF2-40B4-BE49-F238E27FC236}">
              <a16:creationId xmlns:a16="http://schemas.microsoft.com/office/drawing/2014/main" id="{A0F147B6-1D23-45C8-B154-281FC7826FA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49125" y="9525"/>
          <a:ext cx="460800" cy="460800"/>
        </a:xfrm>
        <a:prstGeom prst="rect">
          <a:avLst/>
        </a:prstGeom>
      </xdr:spPr>
    </xdr:pic>
    <xdr:clientData/>
  </xdr:twoCellAnchor>
  <xdr:twoCellAnchor>
    <xdr:from>
      <xdr:col>1</xdr:col>
      <xdr:colOff>428625</xdr:colOff>
      <xdr:row>4</xdr:row>
      <xdr:rowOff>104775</xdr:rowOff>
    </xdr:from>
    <xdr:to>
      <xdr:col>8</xdr:col>
      <xdr:colOff>13425</xdr:colOff>
      <xdr:row>18</xdr:row>
      <xdr:rowOff>137775</xdr:rowOff>
    </xdr:to>
    <xdr:graphicFrame macro="">
      <xdr:nvGraphicFramePr>
        <xdr:cNvPr id="16" name="Chart 15">
          <a:extLst>
            <a:ext uri="{FF2B5EF4-FFF2-40B4-BE49-F238E27FC236}">
              <a16:creationId xmlns:a16="http://schemas.microsoft.com/office/drawing/2014/main" id="{91F5A664-1D8D-4852-831B-496AF3F5A2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28575</xdr:colOff>
      <xdr:row>4</xdr:row>
      <xdr:rowOff>133350</xdr:rowOff>
    </xdr:from>
    <xdr:to>
      <xdr:col>14</xdr:col>
      <xdr:colOff>222975</xdr:colOff>
      <xdr:row>18</xdr:row>
      <xdr:rowOff>166350</xdr:rowOff>
    </xdr:to>
    <xdr:graphicFrame macro="">
      <xdr:nvGraphicFramePr>
        <xdr:cNvPr id="17" name="Chart 16">
          <a:extLst>
            <a:ext uri="{FF2B5EF4-FFF2-40B4-BE49-F238E27FC236}">
              <a16:creationId xmlns:a16="http://schemas.microsoft.com/office/drawing/2014/main" id="{DE388D14-AADE-4F0B-96F6-802D4E4ABC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219075</xdr:colOff>
      <xdr:row>2</xdr:row>
      <xdr:rowOff>142875</xdr:rowOff>
    </xdr:from>
    <xdr:to>
      <xdr:col>21</xdr:col>
      <xdr:colOff>19875</xdr:colOff>
      <xdr:row>13</xdr:row>
      <xdr:rowOff>63375</xdr:rowOff>
    </xdr:to>
    <xdr:graphicFrame macro="">
      <xdr:nvGraphicFramePr>
        <xdr:cNvPr id="18" name="Chart 17">
          <a:extLst>
            <a:ext uri="{FF2B5EF4-FFF2-40B4-BE49-F238E27FC236}">
              <a16:creationId xmlns:a16="http://schemas.microsoft.com/office/drawing/2014/main" id="{73B7B600-A496-4512-861E-DBF865AE26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428625</xdr:colOff>
      <xdr:row>18</xdr:row>
      <xdr:rowOff>133350</xdr:rowOff>
    </xdr:from>
    <xdr:to>
      <xdr:col>8</xdr:col>
      <xdr:colOff>13425</xdr:colOff>
      <xdr:row>33</xdr:row>
      <xdr:rowOff>155850</xdr:rowOff>
    </xdr:to>
    <xdr:graphicFrame macro="">
      <xdr:nvGraphicFramePr>
        <xdr:cNvPr id="19" name="Chart 18">
          <a:extLst>
            <a:ext uri="{FF2B5EF4-FFF2-40B4-BE49-F238E27FC236}">
              <a16:creationId xmlns:a16="http://schemas.microsoft.com/office/drawing/2014/main" id="{4EBDF906-129C-4F22-8E28-30F62C8E19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18</xdr:row>
      <xdr:rowOff>161925</xdr:rowOff>
    </xdr:from>
    <xdr:to>
      <xdr:col>14</xdr:col>
      <xdr:colOff>194400</xdr:colOff>
      <xdr:row>33</xdr:row>
      <xdr:rowOff>184425</xdr:rowOff>
    </xdr:to>
    <xdr:graphicFrame macro="">
      <xdr:nvGraphicFramePr>
        <xdr:cNvPr id="20" name="Chart 19">
          <a:extLst>
            <a:ext uri="{FF2B5EF4-FFF2-40B4-BE49-F238E27FC236}">
              <a16:creationId xmlns:a16="http://schemas.microsoft.com/office/drawing/2014/main" id="{311CB920-0821-4096-A1A9-2E7849DE00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209550</xdr:colOff>
      <xdr:row>13</xdr:row>
      <xdr:rowOff>38100</xdr:rowOff>
    </xdr:from>
    <xdr:to>
      <xdr:col>21</xdr:col>
      <xdr:colOff>10350</xdr:colOff>
      <xdr:row>23</xdr:row>
      <xdr:rowOff>131100</xdr:rowOff>
    </xdr:to>
    <xdr:graphicFrame macro="">
      <xdr:nvGraphicFramePr>
        <xdr:cNvPr id="21" name="Chart 20">
          <a:extLst>
            <a:ext uri="{FF2B5EF4-FFF2-40B4-BE49-F238E27FC236}">
              <a16:creationId xmlns:a16="http://schemas.microsoft.com/office/drawing/2014/main" id="{A2C911AA-7A46-4726-874C-19B2FEA98F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180975</xdr:colOff>
      <xdr:row>23</xdr:row>
      <xdr:rowOff>142875</xdr:rowOff>
    </xdr:from>
    <xdr:to>
      <xdr:col>20</xdr:col>
      <xdr:colOff>591375</xdr:colOff>
      <xdr:row>33</xdr:row>
      <xdr:rowOff>181875</xdr:rowOff>
    </xdr:to>
    <xdr:graphicFrame macro="">
      <xdr:nvGraphicFramePr>
        <xdr:cNvPr id="23" name="Chart 22">
          <a:extLst>
            <a:ext uri="{FF2B5EF4-FFF2-40B4-BE49-F238E27FC236}">
              <a16:creationId xmlns:a16="http://schemas.microsoft.com/office/drawing/2014/main" id="{450098A8-F306-4E6E-8BB9-68CDBB4D92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323850</xdr:colOff>
      <xdr:row>4</xdr:row>
      <xdr:rowOff>28575</xdr:rowOff>
    </xdr:from>
    <xdr:to>
      <xdr:col>1</xdr:col>
      <xdr:colOff>74250</xdr:colOff>
      <xdr:row>6</xdr:row>
      <xdr:rowOff>7575</xdr:rowOff>
    </xdr:to>
    <xdr:pic>
      <xdr:nvPicPr>
        <xdr:cNvPr id="24" name="Picture 23">
          <a:hlinkClick xmlns:r="http://schemas.openxmlformats.org/officeDocument/2006/relationships" r:id="rId10" tooltip="OVERVIEW"/>
          <a:extLst>
            <a:ext uri="{FF2B5EF4-FFF2-40B4-BE49-F238E27FC236}">
              <a16:creationId xmlns:a16="http://schemas.microsoft.com/office/drawing/2014/main" id="{30BEC811-47EC-4CC2-A96B-5D450CB7B75C}"/>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23850" y="790575"/>
          <a:ext cx="360000" cy="360000"/>
        </a:xfrm>
        <a:prstGeom prst="rect">
          <a:avLst/>
        </a:prstGeom>
      </xdr:spPr>
    </xdr:pic>
    <xdr:clientData/>
  </xdr:twoCellAnchor>
  <xdr:twoCellAnchor editAs="oneCell">
    <xdr:from>
      <xdr:col>0</xdr:col>
      <xdr:colOff>342900</xdr:colOff>
      <xdr:row>8</xdr:row>
      <xdr:rowOff>161925</xdr:rowOff>
    </xdr:from>
    <xdr:to>
      <xdr:col>1</xdr:col>
      <xdr:colOff>93300</xdr:colOff>
      <xdr:row>10</xdr:row>
      <xdr:rowOff>140925</xdr:rowOff>
    </xdr:to>
    <xdr:pic>
      <xdr:nvPicPr>
        <xdr:cNvPr id="25" name="Picture 24">
          <a:hlinkClick xmlns:r="http://schemas.openxmlformats.org/officeDocument/2006/relationships" r:id="rId12" tooltip="ANALYSIS1"/>
          <a:extLst>
            <a:ext uri="{FF2B5EF4-FFF2-40B4-BE49-F238E27FC236}">
              <a16:creationId xmlns:a16="http://schemas.microsoft.com/office/drawing/2014/main" id="{C4CE80E2-AD83-4CCB-AFE2-AA857A9CFD37}"/>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42900" y="1685925"/>
          <a:ext cx="360000" cy="360000"/>
        </a:xfrm>
        <a:prstGeom prst="rect">
          <a:avLst/>
        </a:prstGeom>
      </xdr:spPr>
    </xdr:pic>
    <xdr:clientData/>
  </xdr:twoCellAnchor>
  <xdr:twoCellAnchor editAs="oneCell">
    <xdr:from>
      <xdr:col>0</xdr:col>
      <xdr:colOff>333375</xdr:colOff>
      <xdr:row>14</xdr:row>
      <xdr:rowOff>47625</xdr:rowOff>
    </xdr:from>
    <xdr:to>
      <xdr:col>1</xdr:col>
      <xdr:colOff>83775</xdr:colOff>
      <xdr:row>16</xdr:row>
      <xdr:rowOff>26625</xdr:rowOff>
    </xdr:to>
    <xdr:pic>
      <xdr:nvPicPr>
        <xdr:cNvPr id="26" name="Picture 25">
          <a:hlinkClick xmlns:r="http://schemas.openxmlformats.org/officeDocument/2006/relationships" r:id="rId14" tooltip="ANALYSIS2"/>
          <a:extLst>
            <a:ext uri="{FF2B5EF4-FFF2-40B4-BE49-F238E27FC236}">
              <a16:creationId xmlns:a16="http://schemas.microsoft.com/office/drawing/2014/main" id="{DB7140F4-3E85-446A-9459-AC1DEA6B591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33375" y="2714625"/>
          <a:ext cx="360000" cy="360000"/>
        </a:xfrm>
        <a:prstGeom prst="rect">
          <a:avLst/>
        </a:prstGeom>
      </xdr:spPr>
    </xdr:pic>
    <xdr:clientData/>
  </xdr:twoCellAnchor>
  <xdr:twoCellAnchor editAs="oneCell">
    <xdr:from>
      <xdr:col>0</xdr:col>
      <xdr:colOff>323850</xdr:colOff>
      <xdr:row>19</xdr:row>
      <xdr:rowOff>57150</xdr:rowOff>
    </xdr:from>
    <xdr:to>
      <xdr:col>1</xdr:col>
      <xdr:colOff>74250</xdr:colOff>
      <xdr:row>21</xdr:row>
      <xdr:rowOff>36150</xdr:rowOff>
    </xdr:to>
    <xdr:pic>
      <xdr:nvPicPr>
        <xdr:cNvPr id="27" name="Picture 26">
          <a:hlinkClick xmlns:r="http://schemas.openxmlformats.org/officeDocument/2006/relationships" r:id="rId16" tooltip="TREND ANALYSIS"/>
          <a:extLst>
            <a:ext uri="{FF2B5EF4-FFF2-40B4-BE49-F238E27FC236}">
              <a16:creationId xmlns:a16="http://schemas.microsoft.com/office/drawing/2014/main" id="{30B50282-0742-4635-B3A7-AE3C22F4790C}"/>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23850" y="3676650"/>
          <a:ext cx="360000" cy="360000"/>
        </a:xfrm>
        <a:prstGeom prst="rect">
          <a:avLst/>
        </a:prstGeom>
      </xdr:spPr>
    </xdr:pic>
    <xdr:clientData/>
  </xdr:twoCellAnchor>
  <xdr:twoCellAnchor editAs="oneCell">
    <xdr:from>
      <xdr:col>0</xdr:col>
      <xdr:colOff>314325</xdr:colOff>
      <xdr:row>24</xdr:row>
      <xdr:rowOff>9525</xdr:rowOff>
    </xdr:from>
    <xdr:to>
      <xdr:col>1</xdr:col>
      <xdr:colOff>64725</xdr:colOff>
      <xdr:row>25</xdr:row>
      <xdr:rowOff>179025</xdr:rowOff>
    </xdr:to>
    <xdr:pic>
      <xdr:nvPicPr>
        <xdr:cNvPr id="28" name="Picture 27">
          <a:hlinkClick xmlns:r="http://schemas.openxmlformats.org/officeDocument/2006/relationships" r:id="rId18" tooltip="KEY INSIGHTS"/>
          <a:extLst>
            <a:ext uri="{FF2B5EF4-FFF2-40B4-BE49-F238E27FC236}">
              <a16:creationId xmlns:a16="http://schemas.microsoft.com/office/drawing/2014/main" id="{78DFAAC2-E011-41C0-AB9A-2452C21EF44E}"/>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14325" y="4581525"/>
          <a:ext cx="360000" cy="360000"/>
        </a:xfrm>
        <a:prstGeom prst="rect">
          <a:avLst/>
        </a:prstGeom>
      </xdr:spPr>
    </xdr:pic>
    <xdr:clientData/>
  </xdr:twoCellAnchor>
  <xdr:twoCellAnchor editAs="oneCell">
    <xdr:from>
      <xdr:col>0</xdr:col>
      <xdr:colOff>323850</xdr:colOff>
      <xdr:row>29</xdr:row>
      <xdr:rowOff>0</xdr:rowOff>
    </xdr:from>
    <xdr:to>
      <xdr:col>1</xdr:col>
      <xdr:colOff>74250</xdr:colOff>
      <xdr:row>30</xdr:row>
      <xdr:rowOff>169500</xdr:rowOff>
    </xdr:to>
    <xdr:pic>
      <xdr:nvPicPr>
        <xdr:cNvPr id="29" name="Picture 28">
          <a:hlinkClick xmlns:r="http://schemas.openxmlformats.org/officeDocument/2006/relationships" r:id="rId20" tooltip="DATA DICTIONARY"/>
          <a:extLst>
            <a:ext uri="{FF2B5EF4-FFF2-40B4-BE49-F238E27FC236}">
              <a16:creationId xmlns:a16="http://schemas.microsoft.com/office/drawing/2014/main" id="{DCB90D5C-07B9-4484-9659-6312A75A4147}"/>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323850" y="5524500"/>
          <a:ext cx="360000" cy="3600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9525</xdr:rowOff>
    </xdr:from>
    <xdr:to>
      <xdr:col>7</xdr:col>
      <xdr:colOff>556800</xdr:colOff>
      <xdr:row>2</xdr:row>
      <xdr:rowOff>85725</xdr:rowOff>
    </xdr:to>
    <xdr:sp macro="" textlink="">
      <xdr:nvSpPr>
        <xdr:cNvPr id="2" name="Rectangle 1">
          <a:extLst>
            <a:ext uri="{FF2B5EF4-FFF2-40B4-BE49-F238E27FC236}">
              <a16:creationId xmlns:a16="http://schemas.microsoft.com/office/drawing/2014/main" id="{4BB29AB8-CF62-657C-7E47-A9F1E005BB31}"/>
            </a:ext>
          </a:extLst>
        </xdr:cNvPr>
        <xdr:cNvSpPr/>
      </xdr:nvSpPr>
      <xdr:spPr>
        <a:xfrm>
          <a:off x="0" y="9525"/>
          <a:ext cx="4824000" cy="457200"/>
        </a:xfrm>
        <a:prstGeom prst="rect">
          <a:avLst/>
        </a:prstGeom>
        <a:solidFill>
          <a:srgbClr val="0078D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2</xdr:row>
      <xdr:rowOff>85724</xdr:rowOff>
    </xdr:from>
    <xdr:to>
      <xdr:col>1</xdr:col>
      <xdr:colOff>409200</xdr:colOff>
      <xdr:row>33</xdr:row>
      <xdr:rowOff>105824</xdr:rowOff>
    </xdr:to>
    <xdr:sp macro="" textlink="">
      <xdr:nvSpPr>
        <xdr:cNvPr id="3" name="Rectangle 2">
          <a:extLst>
            <a:ext uri="{FF2B5EF4-FFF2-40B4-BE49-F238E27FC236}">
              <a16:creationId xmlns:a16="http://schemas.microsoft.com/office/drawing/2014/main" id="{42BEE2F7-54FA-2DBD-F79B-50ED0712E70E}"/>
            </a:ext>
          </a:extLst>
        </xdr:cNvPr>
        <xdr:cNvSpPr/>
      </xdr:nvSpPr>
      <xdr:spPr>
        <a:xfrm>
          <a:off x="0" y="466724"/>
          <a:ext cx="1018800" cy="5925600"/>
        </a:xfrm>
        <a:prstGeom prst="rect">
          <a:avLst/>
        </a:prstGeom>
        <a:solidFill>
          <a:srgbClr val="0078D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19048</xdr:colOff>
      <xdr:row>0</xdr:row>
      <xdr:rowOff>19050</xdr:rowOff>
    </xdr:from>
    <xdr:to>
      <xdr:col>7</xdr:col>
      <xdr:colOff>539848</xdr:colOff>
      <xdr:row>2</xdr:row>
      <xdr:rowOff>66676</xdr:rowOff>
    </xdr:to>
    <xdr:sp macro="" textlink="">
      <xdr:nvSpPr>
        <xdr:cNvPr id="4" name="TextBox 3">
          <a:extLst>
            <a:ext uri="{FF2B5EF4-FFF2-40B4-BE49-F238E27FC236}">
              <a16:creationId xmlns:a16="http://schemas.microsoft.com/office/drawing/2014/main" id="{54F74993-944E-289D-D9E6-ED9971492EBE}"/>
            </a:ext>
          </a:extLst>
        </xdr:cNvPr>
        <xdr:cNvSpPr txBox="1"/>
      </xdr:nvSpPr>
      <xdr:spPr>
        <a:xfrm>
          <a:off x="19048" y="19050"/>
          <a:ext cx="4788000" cy="428626"/>
        </a:xfrm>
        <a:prstGeom prst="rect">
          <a:avLst/>
        </a:prstGeom>
        <a:solidFill>
          <a:srgbClr val="0078D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400" b="1">
              <a:solidFill>
                <a:schemeClr val="bg1"/>
              </a:solidFill>
            </a:rPr>
            <a:t>DIABETES RISK ANALYSIS DASHBOARD          - TREND ANALYSIS</a:t>
          </a:r>
        </a:p>
      </xdr:txBody>
    </xdr:sp>
    <xdr:clientData/>
  </xdr:twoCellAnchor>
  <xdr:twoCellAnchor editAs="oneCell">
    <xdr:from>
      <xdr:col>4</xdr:col>
      <xdr:colOff>504825</xdr:colOff>
      <xdr:row>0</xdr:row>
      <xdr:rowOff>47625</xdr:rowOff>
    </xdr:from>
    <xdr:to>
      <xdr:col>5</xdr:col>
      <xdr:colOff>255225</xdr:colOff>
      <xdr:row>2</xdr:row>
      <xdr:rowOff>26625</xdr:rowOff>
    </xdr:to>
    <xdr:pic>
      <xdr:nvPicPr>
        <xdr:cNvPr id="5" name="Picture 4">
          <a:extLst>
            <a:ext uri="{FF2B5EF4-FFF2-40B4-BE49-F238E27FC236}">
              <a16:creationId xmlns:a16="http://schemas.microsoft.com/office/drawing/2014/main" id="{39D46559-0833-4565-8F5C-7E60769CBA3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43225" y="47625"/>
          <a:ext cx="360000" cy="360000"/>
        </a:xfrm>
        <a:prstGeom prst="rect">
          <a:avLst/>
        </a:prstGeom>
      </xdr:spPr>
    </xdr:pic>
    <xdr:clientData/>
  </xdr:twoCellAnchor>
  <xdr:twoCellAnchor>
    <xdr:from>
      <xdr:col>8</xdr:col>
      <xdr:colOff>38100</xdr:colOff>
      <xdr:row>0</xdr:row>
      <xdr:rowOff>9525</xdr:rowOff>
    </xdr:from>
    <xdr:to>
      <xdr:col>14</xdr:col>
      <xdr:colOff>304500</xdr:colOff>
      <xdr:row>12</xdr:row>
      <xdr:rowOff>63525</xdr:rowOff>
    </xdr:to>
    <xdr:graphicFrame macro="">
      <xdr:nvGraphicFramePr>
        <xdr:cNvPr id="10" name="Chart 9">
          <a:extLst>
            <a:ext uri="{FF2B5EF4-FFF2-40B4-BE49-F238E27FC236}">
              <a16:creationId xmlns:a16="http://schemas.microsoft.com/office/drawing/2014/main" id="{9C21CDF4-CFCE-4404-A926-F74267968E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323850</xdr:colOff>
      <xdr:row>0</xdr:row>
      <xdr:rowOff>0</xdr:rowOff>
    </xdr:from>
    <xdr:to>
      <xdr:col>20</xdr:col>
      <xdr:colOff>590250</xdr:colOff>
      <xdr:row>12</xdr:row>
      <xdr:rowOff>54000</xdr:rowOff>
    </xdr:to>
    <xdr:graphicFrame macro="">
      <xdr:nvGraphicFramePr>
        <xdr:cNvPr id="11" name="Chart 10">
          <a:extLst>
            <a:ext uri="{FF2B5EF4-FFF2-40B4-BE49-F238E27FC236}">
              <a16:creationId xmlns:a16="http://schemas.microsoft.com/office/drawing/2014/main" id="{E3776E4E-E147-453A-9BA2-AAD70C7ADB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28575</xdr:colOff>
      <xdr:row>12</xdr:row>
      <xdr:rowOff>76200</xdr:rowOff>
    </xdr:from>
    <xdr:to>
      <xdr:col>14</xdr:col>
      <xdr:colOff>294975</xdr:colOff>
      <xdr:row>25</xdr:row>
      <xdr:rowOff>47700</xdr:rowOff>
    </xdr:to>
    <xdr:graphicFrame macro="">
      <xdr:nvGraphicFramePr>
        <xdr:cNvPr id="13" name="Chart 12">
          <a:extLst>
            <a:ext uri="{FF2B5EF4-FFF2-40B4-BE49-F238E27FC236}">
              <a16:creationId xmlns:a16="http://schemas.microsoft.com/office/drawing/2014/main" id="{5B746F07-613A-4244-AAF1-12F21A6948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323850</xdr:colOff>
      <xdr:row>12</xdr:row>
      <xdr:rowOff>66675</xdr:rowOff>
    </xdr:from>
    <xdr:to>
      <xdr:col>21</xdr:col>
      <xdr:colOff>16650</xdr:colOff>
      <xdr:row>25</xdr:row>
      <xdr:rowOff>38175</xdr:rowOff>
    </xdr:to>
    <xdr:graphicFrame macro="">
      <xdr:nvGraphicFramePr>
        <xdr:cNvPr id="14" name="Chart 13">
          <a:extLst>
            <a:ext uri="{FF2B5EF4-FFF2-40B4-BE49-F238E27FC236}">
              <a16:creationId xmlns:a16="http://schemas.microsoft.com/office/drawing/2014/main" id="{98B824D9-9208-4857-B86B-A4DE2AE43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438150</xdr:colOff>
      <xdr:row>2</xdr:row>
      <xdr:rowOff>104775</xdr:rowOff>
    </xdr:from>
    <xdr:to>
      <xdr:col>7</xdr:col>
      <xdr:colOff>596550</xdr:colOff>
      <xdr:row>13</xdr:row>
      <xdr:rowOff>169275</xdr:rowOff>
    </xdr:to>
    <xdr:graphicFrame macro="">
      <xdr:nvGraphicFramePr>
        <xdr:cNvPr id="15" name="Chart 14">
          <a:extLst>
            <a:ext uri="{FF2B5EF4-FFF2-40B4-BE49-F238E27FC236}">
              <a16:creationId xmlns:a16="http://schemas.microsoft.com/office/drawing/2014/main" id="{07830393-2CF3-4130-B7BA-E1BE3C553C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438150</xdr:colOff>
      <xdr:row>13</xdr:row>
      <xdr:rowOff>152400</xdr:rowOff>
    </xdr:from>
    <xdr:to>
      <xdr:col>7</xdr:col>
      <xdr:colOff>596550</xdr:colOff>
      <xdr:row>25</xdr:row>
      <xdr:rowOff>26400</xdr:rowOff>
    </xdr:to>
    <mc:AlternateContent xmlns:mc="http://schemas.openxmlformats.org/markup-compatibility/2006">
      <mc:Choice xmlns:cx2="http://schemas.microsoft.com/office/drawing/2015/10/21/chartex" Requires="cx2">
        <xdr:graphicFrame macro="">
          <xdr:nvGraphicFramePr>
            <xdr:cNvPr id="16" name="Chart 15">
              <a:extLst>
                <a:ext uri="{FF2B5EF4-FFF2-40B4-BE49-F238E27FC236}">
                  <a16:creationId xmlns:a16="http://schemas.microsoft.com/office/drawing/2014/main" id="{DBD2A168-335E-407C-BB20-42BD094FC47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047750" y="2628900"/>
              <a:ext cx="3816000" cy="21600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438149</xdr:colOff>
      <xdr:row>25</xdr:row>
      <xdr:rowOff>57150</xdr:rowOff>
    </xdr:from>
    <xdr:to>
      <xdr:col>21</xdr:col>
      <xdr:colOff>9524</xdr:colOff>
      <xdr:row>33</xdr:row>
      <xdr:rowOff>104775</xdr:rowOff>
    </xdr:to>
    <xdr:sp macro="" textlink="">
      <xdr:nvSpPr>
        <xdr:cNvPr id="17" name="TextBox 16">
          <a:extLst>
            <a:ext uri="{FF2B5EF4-FFF2-40B4-BE49-F238E27FC236}">
              <a16:creationId xmlns:a16="http://schemas.microsoft.com/office/drawing/2014/main" id="{72BAFD2D-0472-6E0B-8E60-ACF8C77CD7D0}"/>
            </a:ext>
          </a:extLst>
        </xdr:cNvPr>
        <xdr:cNvSpPr txBox="1"/>
      </xdr:nvSpPr>
      <xdr:spPr>
        <a:xfrm>
          <a:off x="1047749" y="4819650"/>
          <a:ext cx="11763375" cy="1571625"/>
        </a:xfrm>
        <a:prstGeom prst="rect">
          <a:avLst/>
        </a:prstGeom>
        <a:solidFill>
          <a:schemeClr val="accent6">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aseline="0"/>
            <a:t>                                                                                                                                                                      </a:t>
          </a:r>
          <a:r>
            <a:rPr lang="en-IN" sz="1200" b="1" baseline="0"/>
            <a:t>Key Insights </a:t>
          </a:r>
        </a:p>
        <a:p>
          <a:r>
            <a:rPr lang="en-IN" sz="1200" b="1" baseline="0"/>
            <a:t>                                              </a:t>
          </a:r>
        </a:p>
        <a:p>
          <a:r>
            <a:rPr lang="en-IN" sz="1200" b="1" baseline="0"/>
            <a:t>    </a:t>
          </a:r>
          <a:r>
            <a:rPr lang="en-IN" sz="1400" b="1" baseline="0">
              <a:solidFill>
                <a:schemeClr val="bg1"/>
              </a:solidFill>
            </a:rPr>
            <a:t>Age are inversely proportional to Glucose, BMI, DPF, Insulin, Skin Thickness, Blood Pressure as Age increases and other variables decreases</a:t>
          </a:r>
          <a:endParaRPr lang="en-IN" sz="1400" b="1">
            <a:solidFill>
              <a:schemeClr val="bg1"/>
            </a:solidFill>
          </a:endParaRPr>
        </a:p>
      </xdr:txBody>
    </xdr:sp>
    <xdr:clientData/>
  </xdr:twoCellAnchor>
  <xdr:twoCellAnchor editAs="oneCell">
    <xdr:from>
      <xdr:col>0</xdr:col>
      <xdr:colOff>323850</xdr:colOff>
      <xdr:row>3</xdr:row>
      <xdr:rowOff>190499</xdr:rowOff>
    </xdr:from>
    <xdr:to>
      <xdr:col>1</xdr:col>
      <xdr:colOff>74250</xdr:colOff>
      <xdr:row>5</xdr:row>
      <xdr:rowOff>169499</xdr:rowOff>
    </xdr:to>
    <xdr:pic>
      <xdr:nvPicPr>
        <xdr:cNvPr id="18" name="Picture 17">
          <a:hlinkClick xmlns:r="http://schemas.openxmlformats.org/officeDocument/2006/relationships" r:id="rId8" tooltip="OVERVIEW"/>
          <a:extLst>
            <a:ext uri="{FF2B5EF4-FFF2-40B4-BE49-F238E27FC236}">
              <a16:creationId xmlns:a16="http://schemas.microsoft.com/office/drawing/2014/main" id="{0507C1CF-EDA8-4408-A3F6-2597FF7A9C0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23850" y="761999"/>
          <a:ext cx="360000" cy="360000"/>
        </a:xfrm>
        <a:prstGeom prst="rect">
          <a:avLst/>
        </a:prstGeom>
      </xdr:spPr>
    </xdr:pic>
    <xdr:clientData/>
  </xdr:twoCellAnchor>
  <xdr:twoCellAnchor editAs="oneCell">
    <xdr:from>
      <xdr:col>0</xdr:col>
      <xdr:colOff>314325</xdr:colOff>
      <xdr:row>9</xdr:row>
      <xdr:rowOff>38099</xdr:rowOff>
    </xdr:from>
    <xdr:to>
      <xdr:col>1</xdr:col>
      <xdr:colOff>64725</xdr:colOff>
      <xdr:row>11</xdr:row>
      <xdr:rowOff>17099</xdr:rowOff>
    </xdr:to>
    <xdr:pic>
      <xdr:nvPicPr>
        <xdr:cNvPr id="19" name="Picture 18">
          <a:hlinkClick xmlns:r="http://schemas.openxmlformats.org/officeDocument/2006/relationships" r:id="rId10" tooltip="ANALYSIS1"/>
          <a:extLst>
            <a:ext uri="{FF2B5EF4-FFF2-40B4-BE49-F238E27FC236}">
              <a16:creationId xmlns:a16="http://schemas.microsoft.com/office/drawing/2014/main" id="{26D220FC-4CA1-42F8-8854-081B72304DB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14325" y="1752599"/>
          <a:ext cx="360000" cy="360000"/>
        </a:xfrm>
        <a:prstGeom prst="rect">
          <a:avLst/>
        </a:prstGeom>
      </xdr:spPr>
    </xdr:pic>
    <xdr:clientData/>
  </xdr:twoCellAnchor>
  <xdr:twoCellAnchor editAs="oneCell">
    <xdr:from>
      <xdr:col>0</xdr:col>
      <xdr:colOff>295275</xdr:colOff>
      <xdr:row>14</xdr:row>
      <xdr:rowOff>57149</xdr:rowOff>
    </xdr:from>
    <xdr:to>
      <xdr:col>1</xdr:col>
      <xdr:colOff>45675</xdr:colOff>
      <xdr:row>16</xdr:row>
      <xdr:rowOff>36149</xdr:rowOff>
    </xdr:to>
    <xdr:pic>
      <xdr:nvPicPr>
        <xdr:cNvPr id="20" name="Picture 19">
          <a:hlinkClick xmlns:r="http://schemas.openxmlformats.org/officeDocument/2006/relationships" r:id="rId12" tooltip="ANALYSIS2"/>
          <a:extLst>
            <a:ext uri="{FF2B5EF4-FFF2-40B4-BE49-F238E27FC236}">
              <a16:creationId xmlns:a16="http://schemas.microsoft.com/office/drawing/2014/main" id="{55E510AB-CF92-48AA-A551-6971370B93E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95275" y="2724149"/>
          <a:ext cx="360000" cy="360000"/>
        </a:xfrm>
        <a:prstGeom prst="rect">
          <a:avLst/>
        </a:prstGeom>
      </xdr:spPr>
    </xdr:pic>
    <xdr:clientData/>
  </xdr:twoCellAnchor>
  <xdr:twoCellAnchor editAs="oneCell">
    <xdr:from>
      <xdr:col>0</xdr:col>
      <xdr:colOff>295275</xdr:colOff>
      <xdr:row>19</xdr:row>
      <xdr:rowOff>114299</xdr:rowOff>
    </xdr:from>
    <xdr:to>
      <xdr:col>1</xdr:col>
      <xdr:colOff>45675</xdr:colOff>
      <xdr:row>21</xdr:row>
      <xdr:rowOff>93299</xdr:rowOff>
    </xdr:to>
    <xdr:pic>
      <xdr:nvPicPr>
        <xdr:cNvPr id="21" name="Picture 20">
          <a:hlinkClick xmlns:r="http://schemas.openxmlformats.org/officeDocument/2006/relationships" r:id="rId14" tooltip="TREND ANALYSIS"/>
          <a:extLst>
            <a:ext uri="{FF2B5EF4-FFF2-40B4-BE49-F238E27FC236}">
              <a16:creationId xmlns:a16="http://schemas.microsoft.com/office/drawing/2014/main" id="{AD8B993C-6ED9-454F-BD51-248C9EC46D35}"/>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5275" y="3733799"/>
          <a:ext cx="360000" cy="360000"/>
        </a:xfrm>
        <a:prstGeom prst="rect">
          <a:avLst/>
        </a:prstGeom>
      </xdr:spPr>
    </xdr:pic>
    <xdr:clientData/>
  </xdr:twoCellAnchor>
  <xdr:twoCellAnchor editAs="oneCell">
    <xdr:from>
      <xdr:col>0</xdr:col>
      <xdr:colOff>295275</xdr:colOff>
      <xdr:row>24</xdr:row>
      <xdr:rowOff>180974</xdr:rowOff>
    </xdr:from>
    <xdr:to>
      <xdr:col>1</xdr:col>
      <xdr:colOff>45675</xdr:colOff>
      <xdr:row>26</xdr:row>
      <xdr:rowOff>159974</xdr:rowOff>
    </xdr:to>
    <xdr:pic>
      <xdr:nvPicPr>
        <xdr:cNvPr id="22" name="Picture 21">
          <a:hlinkClick xmlns:r="http://schemas.openxmlformats.org/officeDocument/2006/relationships" r:id="rId16" tooltip="KEY INSIGHTS"/>
          <a:extLst>
            <a:ext uri="{FF2B5EF4-FFF2-40B4-BE49-F238E27FC236}">
              <a16:creationId xmlns:a16="http://schemas.microsoft.com/office/drawing/2014/main" id="{DECEF667-D1E9-4CF7-94EF-CDD693EB0B23}"/>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5275" y="4752974"/>
          <a:ext cx="360000" cy="360000"/>
        </a:xfrm>
        <a:prstGeom prst="rect">
          <a:avLst/>
        </a:prstGeom>
      </xdr:spPr>
    </xdr:pic>
    <xdr:clientData/>
  </xdr:twoCellAnchor>
  <xdr:twoCellAnchor editAs="oneCell">
    <xdr:from>
      <xdr:col>0</xdr:col>
      <xdr:colOff>304800</xdr:colOff>
      <xdr:row>29</xdr:row>
      <xdr:rowOff>142874</xdr:rowOff>
    </xdr:from>
    <xdr:to>
      <xdr:col>1</xdr:col>
      <xdr:colOff>55200</xdr:colOff>
      <xdr:row>31</xdr:row>
      <xdr:rowOff>121874</xdr:rowOff>
    </xdr:to>
    <xdr:pic>
      <xdr:nvPicPr>
        <xdr:cNvPr id="23" name="Picture 22">
          <a:hlinkClick xmlns:r="http://schemas.openxmlformats.org/officeDocument/2006/relationships" r:id="rId18" tooltip="DATA DICTIONARY"/>
          <a:extLst>
            <a:ext uri="{FF2B5EF4-FFF2-40B4-BE49-F238E27FC236}">
              <a16:creationId xmlns:a16="http://schemas.microsoft.com/office/drawing/2014/main" id="{2E016776-B533-4467-9659-A2A72951682E}"/>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04800" y="5667374"/>
          <a:ext cx="360000" cy="3600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9525</xdr:rowOff>
    </xdr:from>
    <xdr:to>
      <xdr:col>7</xdr:col>
      <xdr:colOff>340800</xdr:colOff>
      <xdr:row>2</xdr:row>
      <xdr:rowOff>60525</xdr:rowOff>
    </xdr:to>
    <xdr:sp macro="" textlink="">
      <xdr:nvSpPr>
        <xdr:cNvPr id="2" name="Rectangle 1">
          <a:extLst>
            <a:ext uri="{FF2B5EF4-FFF2-40B4-BE49-F238E27FC236}">
              <a16:creationId xmlns:a16="http://schemas.microsoft.com/office/drawing/2014/main" id="{B1CA6774-20FD-A64C-1428-6CA47536CD12}"/>
            </a:ext>
          </a:extLst>
        </xdr:cNvPr>
        <xdr:cNvSpPr/>
      </xdr:nvSpPr>
      <xdr:spPr>
        <a:xfrm>
          <a:off x="0" y="9525"/>
          <a:ext cx="4608000" cy="432000"/>
        </a:xfrm>
        <a:prstGeom prst="rect">
          <a:avLst/>
        </a:prstGeom>
        <a:solidFill>
          <a:srgbClr val="0086F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28572</xdr:colOff>
      <xdr:row>0</xdr:row>
      <xdr:rowOff>38100</xdr:rowOff>
    </xdr:from>
    <xdr:to>
      <xdr:col>7</xdr:col>
      <xdr:colOff>333372</xdr:colOff>
      <xdr:row>2</xdr:row>
      <xdr:rowOff>47626</xdr:rowOff>
    </xdr:to>
    <xdr:sp macro="" textlink="">
      <xdr:nvSpPr>
        <xdr:cNvPr id="3" name="TextBox 2">
          <a:extLst>
            <a:ext uri="{FF2B5EF4-FFF2-40B4-BE49-F238E27FC236}">
              <a16:creationId xmlns:a16="http://schemas.microsoft.com/office/drawing/2014/main" id="{3A0D1560-0711-4B55-504D-E2E6A247B3EC}"/>
            </a:ext>
          </a:extLst>
        </xdr:cNvPr>
        <xdr:cNvSpPr txBox="1"/>
      </xdr:nvSpPr>
      <xdr:spPr>
        <a:xfrm>
          <a:off x="28572" y="38100"/>
          <a:ext cx="4572000" cy="390526"/>
        </a:xfrm>
        <a:prstGeom prst="rect">
          <a:avLst/>
        </a:prstGeom>
        <a:solidFill>
          <a:srgbClr val="0086F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400" b="1">
              <a:solidFill>
                <a:schemeClr val="bg1"/>
              </a:solidFill>
            </a:rPr>
            <a:t>DIABETES RISK ANALYSIS</a:t>
          </a:r>
          <a:r>
            <a:rPr lang="en-IN" sz="1400" b="1" baseline="0">
              <a:solidFill>
                <a:schemeClr val="bg1"/>
              </a:solidFill>
            </a:rPr>
            <a:t> DASHBOARD          - KEY INSIGHTS</a:t>
          </a:r>
          <a:endParaRPr lang="en-IN" sz="1400" b="1">
            <a:solidFill>
              <a:schemeClr val="bg1"/>
            </a:solidFill>
          </a:endParaRPr>
        </a:p>
      </xdr:txBody>
    </xdr:sp>
    <xdr:clientData/>
  </xdr:twoCellAnchor>
  <xdr:twoCellAnchor editAs="oneCell">
    <xdr:from>
      <xdr:col>4</xdr:col>
      <xdr:colOff>514350</xdr:colOff>
      <xdr:row>0</xdr:row>
      <xdr:rowOff>28575</xdr:rowOff>
    </xdr:from>
    <xdr:to>
      <xdr:col>5</xdr:col>
      <xdr:colOff>264750</xdr:colOff>
      <xdr:row>2</xdr:row>
      <xdr:rowOff>7575</xdr:rowOff>
    </xdr:to>
    <xdr:pic>
      <xdr:nvPicPr>
        <xdr:cNvPr id="4" name="Picture 3">
          <a:extLst>
            <a:ext uri="{FF2B5EF4-FFF2-40B4-BE49-F238E27FC236}">
              <a16:creationId xmlns:a16="http://schemas.microsoft.com/office/drawing/2014/main" id="{090C30D9-BCB7-4AE2-9B96-9EC4F561A7E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52750" y="28575"/>
          <a:ext cx="360000" cy="360000"/>
        </a:xfrm>
        <a:prstGeom prst="rect">
          <a:avLst/>
        </a:prstGeom>
      </xdr:spPr>
    </xdr:pic>
    <xdr:clientData/>
  </xdr:twoCellAnchor>
  <xdr:twoCellAnchor>
    <xdr:from>
      <xdr:col>0</xdr:col>
      <xdr:colOff>0</xdr:colOff>
      <xdr:row>2</xdr:row>
      <xdr:rowOff>66675</xdr:rowOff>
    </xdr:from>
    <xdr:to>
      <xdr:col>1</xdr:col>
      <xdr:colOff>409200</xdr:colOff>
      <xdr:row>33</xdr:row>
      <xdr:rowOff>86775</xdr:rowOff>
    </xdr:to>
    <xdr:sp macro="" textlink="">
      <xdr:nvSpPr>
        <xdr:cNvPr id="5" name="Rectangle 4">
          <a:extLst>
            <a:ext uri="{FF2B5EF4-FFF2-40B4-BE49-F238E27FC236}">
              <a16:creationId xmlns:a16="http://schemas.microsoft.com/office/drawing/2014/main" id="{B6946EED-85D2-8B09-A9A7-09D72DA10548}"/>
            </a:ext>
          </a:extLst>
        </xdr:cNvPr>
        <xdr:cNvSpPr/>
      </xdr:nvSpPr>
      <xdr:spPr>
        <a:xfrm>
          <a:off x="0" y="447675"/>
          <a:ext cx="1018800" cy="5925600"/>
        </a:xfrm>
        <a:prstGeom prst="rect">
          <a:avLst/>
        </a:prstGeom>
        <a:solidFill>
          <a:srgbClr val="0086F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323850</xdr:colOff>
      <xdr:row>4</xdr:row>
      <xdr:rowOff>38100</xdr:rowOff>
    </xdr:from>
    <xdr:to>
      <xdr:col>1</xdr:col>
      <xdr:colOff>74250</xdr:colOff>
      <xdr:row>6</xdr:row>
      <xdr:rowOff>17100</xdr:rowOff>
    </xdr:to>
    <xdr:pic>
      <xdr:nvPicPr>
        <xdr:cNvPr id="6" name="Picture 5">
          <a:hlinkClick xmlns:r="http://schemas.openxmlformats.org/officeDocument/2006/relationships" r:id="rId2" tooltip="OVERVIEW"/>
          <a:extLst>
            <a:ext uri="{FF2B5EF4-FFF2-40B4-BE49-F238E27FC236}">
              <a16:creationId xmlns:a16="http://schemas.microsoft.com/office/drawing/2014/main" id="{543BBE41-4D43-41F4-B3B2-8CC8042787A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23850" y="800100"/>
          <a:ext cx="360000" cy="360000"/>
        </a:xfrm>
        <a:prstGeom prst="rect">
          <a:avLst/>
        </a:prstGeom>
      </xdr:spPr>
    </xdr:pic>
    <xdr:clientData/>
  </xdr:twoCellAnchor>
  <xdr:twoCellAnchor editAs="oneCell">
    <xdr:from>
      <xdr:col>0</xdr:col>
      <xdr:colOff>342900</xdr:colOff>
      <xdr:row>8</xdr:row>
      <xdr:rowOff>95250</xdr:rowOff>
    </xdr:from>
    <xdr:to>
      <xdr:col>1</xdr:col>
      <xdr:colOff>93300</xdr:colOff>
      <xdr:row>10</xdr:row>
      <xdr:rowOff>74250</xdr:rowOff>
    </xdr:to>
    <xdr:pic>
      <xdr:nvPicPr>
        <xdr:cNvPr id="7" name="Picture 6">
          <a:hlinkClick xmlns:r="http://schemas.openxmlformats.org/officeDocument/2006/relationships" r:id="rId4" tooltip="ANALYSIS1"/>
          <a:extLst>
            <a:ext uri="{FF2B5EF4-FFF2-40B4-BE49-F238E27FC236}">
              <a16:creationId xmlns:a16="http://schemas.microsoft.com/office/drawing/2014/main" id="{842B4201-5417-4250-82CA-6B4A45721F9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42900" y="1619250"/>
          <a:ext cx="360000" cy="360000"/>
        </a:xfrm>
        <a:prstGeom prst="rect">
          <a:avLst/>
        </a:prstGeom>
      </xdr:spPr>
    </xdr:pic>
    <xdr:clientData/>
  </xdr:twoCellAnchor>
  <xdr:twoCellAnchor editAs="oneCell">
    <xdr:from>
      <xdr:col>0</xdr:col>
      <xdr:colOff>323850</xdr:colOff>
      <xdr:row>13</xdr:row>
      <xdr:rowOff>95250</xdr:rowOff>
    </xdr:from>
    <xdr:to>
      <xdr:col>1</xdr:col>
      <xdr:colOff>74250</xdr:colOff>
      <xdr:row>15</xdr:row>
      <xdr:rowOff>74250</xdr:rowOff>
    </xdr:to>
    <xdr:pic>
      <xdr:nvPicPr>
        <xdr:cNvPr id="8" name="Picture 7">
          <a:hlinkClick xmlns:r="http://schemas.openxmlformats.org/officeDocument/2006/relationships" r:id="rId6" tooltip="ANALYSIS2"/>
          <a:extLst>
            <a:ext uri="{FF2B5EF4-FFF2-40B4-BE49-F238E27FC236}">
              <a16:creationId xmlns:a16="http://schemas.microsoft.com/office/drawing/2014/main" id="{9C38F495-C856-4771-B8B7-5EF825452E3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23850" y="2571750"/>
          <a:ext cx="360000" cy="360000"/>
        </a:xfrm>
        <a:prstGeom prst="rect">
          <a:avLst/>
        </a:prstGeom>
      </xdr:spPr>
    </xdr:pic>
    <xdr:clientData/>
  </xdr:twoCellAnchor>
  <xdr:twoCellAnchor editAs="oneCell">
    <xdr:from>
      <xdr:col>0</xdr:col>
      <xdr:colOff>333375</xdr:colOff>
      <xdr:row>18</xdr:row>
      <xdr:rowOff>47625</xdr:rowOff>
    </xdr:from>
    <xdr:to>
      <xdr:col>1</xdr:col>
      <xdr:colOff>83775</xdr:colOff>
      <xdr:row>20</xdr:row>
      <xdr:rowOff>26625</xdr:rowOff>
    </xdr:to>
    <xdr:pic>
      <xdr:nvPicPr>
        <xdr:cNvPr id="9" name="Picture 8">
          <a:hlinkClick xmlns:r="http://schemas.openxmlformats.org/officeDocument/2006/relationships" r:id="rId8" tooltip="TREND ANALYSIS"/>
          <a:extLst>
            <a:ext uri="{FF2B5EF4-FFF2-40B4-BE49-F238E27FC236}">
              <a16:creationId xmlns:a16="http://schemas.microsoft.com/office/drawing/2014/main" id="{7A163C82-506F-4000-BA95-DAA01984682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33375" y="3476625"/>
          <a:ext cx="360000" cy="360000"/>
        </a:xfrm>
        <a:prstGeom prst="rect">
          <a:avLst/>
        </a:prstGeom>
      </xdr:spPr>
    </xdr:pic>
    <xdr:clientData/>
  </xdr:twoCellAnchor>
  <xdr:twoCellAnchor editAs="oneCell">
    <xdr:from>
      <xdr:col>0</xdr:col>
      <xdr:colOff>304800</xdr:colOff>
      <xdr:row>23</xdr:row>
      <xdr:rowOff>76200</xdr:rowOff>
    </xdr:from>
    <xdr:to>
      <xdr:col>1</xdr:col>
      <xdr:colOff>55200</xdr:colOff>
      <xdr:row>25</xdr:row>
      <xdr:rowOff>55200</xdr:rowOff>
    </xdr:to>
    <xdr:pic>
      <xdr:nvPicPr>
        <xdr:cNvPr id="10" name="Picture 9">
          <a:hlinkClick xmlns:r="http://schemas.openxmlformats.org/officeDocument/2006/relationships" r:id="rId10" tooltip="KEY INSIGHTS"/>
          <a:extLst>
            <a:ext uri="{FF2B5EF4-FFF2-40B4-BE49-F238E27FC236}">
              <a16:creationId xmlns:a16="http://schemas.microsoft.com/office/drawing/2014/main" id="{FB1DF876-6DCF-47DA-8681-5ED92758ABD5}"/>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04800" y="4457700"/>
          <a:ext cx="360000" cy="360000"/>
        </a:xfrm>
        <a:prstGeom prst="rect">
          <a:avLst/>
        </a:prstGeom>
      </xdr:spPr>
    </xdr:pic>
    <xdr:clientData/>
  </xdr:twoCellAnchor>
  <xdr:twoCellAnchor editAs="oneCell">
    <xdr:from>
      <xdr:col>0</xdr:col>
      <xdr:colOff>295275</xdr:colOff>
      <xdr:row>29</xdr:row>
      <xdr:rowOff>38100</xdr:rowOff>
    </xdr:from>
    <xdr:to>
      <xdr:col>1</xdr:col>
      <xdr:colOff>45675</xdr:colOff>
      <xdr:row>31</xdr:row>
      <xdr:rowOff>17100</xdr:rowOff>
    </xdr:to>
    <xdr:pic>
      <xdr:nvPicPr>
        <xdr:cNvPr id="11" name="Picture 10">
          <a:hlinkClick xmlns:r="http://schemas.openxmlformats.org/officeDocument/2006/relationships" r:id="rId12" tooltip="DATA DICTIONARY"/>
          <a:extLst>
            <a:ext uri="{FF2B5EF4-FFF2-40B4-BE49-F238E27FC236}">
              <a16:creationId xmlns:a16="http://schemas.microsoft.com/office/drawing/2014/main" id="{6A5A3FF0-27D1-43A4-9738-BEAE781E8403}"/>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95275" y="5562600"/>
          <a:ext cx="360000" cy="360000"/>
        </a:xfrm>
        <a:prstGeom prst="rect">
          <a:avLst/>
        </a:prstGeom>
      </xdr:spPr>
    </xdr:pic>
    <xdr:clientData/>
  </xdr:twoCellAnchor>
  <xdr:twoCellAnchor>
    <xdr:from>
      <xdr:col>1</xdr:col>
      <xdr:colOff>438148</xdr:colOff>
      <xdr:row>3</xdr:row>
      <xdr:rowOff>9525</xdr:rowOff>
    </xdr:from>
    <xdr:to>
      <xdr:col>20</xdr:col>
      <xdr:colOff>519748</xdr:colOff>
      <xdr:row>8</xdr:row>
      <xdr:rowOff>137025</xdr:rowOff>
    </xdr:to>
    <xdr:sp macro="" textlink="">
      <xdr:nvSpPr>
        <xdr:cNvPr id="12" name="Rectangle: Rounded Corners 11">
          <a:extLst>
            <a:ext uri="{FF2B5EF4-FFF2-40B4-BE49-F238E27FC236}">
              <a16:creationId xmlns:a16="http://schemas.microsoft.com/office/drawing/2014/main" id="{4AB97A25-8959-6626-76B1-5796F13AA90D}"/>
            </a:ext>
          </a:extLst>
        </xdr:cNvPr>
        <xdr:cNvSpPr/>
      </xdr:nvSpPr>
      <xdr:spPr>
        <a:xfrm>
          <a:off x="1047748" y="581025"/>
          <a:ext cx="11664000" cy="1080000"/>
        </a:xfrm>
        <a:prstGeom prst="roundRect">
          <a:avLst/>
        </a:prstGeom>
        <a:solidFill>
          <a:srgbClr val="0B93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IN" sz="1100" b="1">
            <a:solidFill>
              <a:schemeClr val="bg1"/>
            </a:solidFill>
          </a:endParaRPr>
        </a:p>
        <a:p>
          <a:pPr algn="l"/>
          <a:r>
            <a:rPr lang="en-IN" sz="1400" b="1">
              <a:solidFill>
                <a:schemeClr val="bg1"/>
              </a:solidFill>
            </a:rPr>
            <a:t>Highest outcome which is 92 falls under the Blood</a:t>
          </a:r>
          <a:r>
            <a:rPr lang="en-IN" sz="1400" b="1" baseline="0">
              <a:solidFill>
                <a:schemeClr val="bg1"/>
              </a:solidFill>
            </a:rPr>
            <a:t> Pressure of 64-73 that means Blood Pressure has not the vital role in Diabetes</a:t>
          </a:r>
          <a:endParaRPr lang="en-IN" sz="1400" b="1">
            <a:solidFill>
              <a:schemeClr val="bg1"/>
            </a:solidFill>
          </a:endParaRPr>
        </a:p>
      </xdr:txBody>
    </xdr:sp>
    <xdr:clientData/>
  </xdr:twoCellAnchor>
  <xdr:twoCellAnchor editAs="oneCell">
    <xdr:from>
      <xdr:col>1</xdr:col>
      <xdr:colOff>533400</xdr:colOff>
      <xdr:row>3</xdr:row>
      <xdr:rowOff>85725</xdr:rowOff>
    </xdr:from>
    <xdr:to>
      <xdr:col>2</xdr:col>
      <xdr:colOff>355800</xdr:colOff>
      <xdr:row>5</xdr:row>
      <xdr:rowOff>136725</xdr:rowOff>
    </xdr:to>
    <xdr:pic>
      <xdr:nvPicPr>
        <xdr:cNvPr id="14" name="Picture 13">
          <a:extLst>
            <a:ext uri="{FF2B5EF4-FFF2-40B4-BE49-F238E27FC236}">
              <a16:creationId xmlns:a16="http://schemas.microsoft.com/office/drawing/2014/main" id="{CD556325-EF1B-62E7-1056-4D953676CCE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43000" y="657225"/>
          <a:ext cx="432000" cy="432000"/>
        </a:xfrm>
        <a:prstGeom prst="rect">
          <a:avLst/>
        </a:prstGeom>
      </xdr:spPr>
    </xdr:pic>
    <xdr:clientData/>
  </xdr:twoCellAnchor>
  <xdr:twoCellAnchor>
    <xdr:from>
      <xdr:col>1</xdr:col>
      <xdr:colOff>438149</xdr:colOff>
      <xdr:row>15</xdr:row>
      <xdr:rowOff>95250</xdr:rowOff>
    </xdr:from>
    <xdr:to>
      <xdr:col>20</xdr:col>
      <xdr:colOff>519749</xdr:colOff>
      <xdr:row>21</xdr:row>
      <xdr:rowOff>32250</xdr:rowOff>
    </xdr:to>
    <xdr:sp macro="" textlink="">
      <xdr:nvSpPr>
        <xdr:cNvPr id="16" name="Rectangle: Rounded Corners 15">
          <a:extLst>
            <a:ext uri="{FF2B5EF4-FFF2-40B4-BE49-F238E27FC236}">
              <a16:creationId xmlns:a16="http://schemas.microsoft.com/office/drawing/2014/main" id="{5C960B66-CB03-4932-8C7D-D47C38882AEE}"/>
            </a:ext>
          </a:extLst>
        </xdr:cNvPr>
        <xdr:cNvSpPr/>
      </xdr:nvSpPr>
      <xdr:spPr>
        <a:xfrm>
          <a:off x="1047749" y="2952750"/>
          <a:ext cx="11664000" cy="1080000"/>
        </a:xfrm>
        <a:prstGeom prst="roundRect">
          <a:avLst/>
        </a:prstGeom>
        <a:solidFill>
          <a:srgbClr val="0B93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IN" sz="1100" b="1">
            <a:solidFill>
              <a:schemeClr val="bg1"/>
            </a:solidFill>
          </a:endParaRPr>
        </a:p>
        <a:p>
          <a:pPr algn="l"/>
          <a:r>
            <a:rPr lang="en-IN" sz="1400" b="1">
              <a:solidFill>
                <a:schemeClr val="bg1"/>
              </a:solidFill>
            </a:rPr>
            <a:t>BMI</a:t>
          </a:r>
          <a:r>
            <a:rPr lang="en-IN" sz="1400" b="1" baseline="0">
              <a:solidFill>
                <a:schemeClr val="bg1"/>
              </a:solidFill>
            </a:rPr>
            <a:t> of between 28-37 has highest rate to convert to diabetes outcome</a:t>
          </a:r>
          <a:endParaRPr lang="en-IN" sz="1400" b="1">
            <a:solidFill>
              <a:schemeClr val="bg1"/>
            </a:solidFill>
          </a:endParaRPr>
        </a:p>
      </xdr:txBody>
    </xdr:sp>
    <xdr:clientData/>
  </xdr:twoCellAnchor>
  <xdr:twoCellAnchor editAs="oneCell">
    <xdr:from>
      <xdr:col>1</xdr:col>
      <xdr:colOff>495300</xdr:colOff>
      <xdr:row>15</xdr:row>
      <xdr:rowOff>133350</xdr:rowOff>
    </xdr:from>
    <xdr:to>
      <xdr:col>2</xdr:col>
      <xdr:colOff>317700</xdr:colOff>
      <xdr:row>17</xdr:row>
      <xdr:rowOff>184350</xdr:rowOff>
    </xdr:to>
    <xdr:pic>
      <xdr:nvPicPr>
        <xdr:cNvPr id="18" name="Picture 17">
          <a:extLst>
            <a:ext uri="{FF2B5EF4-FFF2-40B4-BE49-F238E27FC236}">
              <a16:creationId xmlns:a16="http://schemas.microsoft.com/office/drawing/2014/main" id="{5F3E05A1-B128-ACF1-1347-F3369F6F78F1}"/>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104900" y="2990850"/>
          <a:ext cx="432000" cy="4320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19050</xdr:rowOff>
    </xdr:from>
    <xdr:to>
      <xdr:col>8</xdr:col>
      <xdr:colOff>19200</xdr:colOff>
      <xdr:row>2</xdr:row>
      <xdr:rowOff>70050</xdr:rowOff>
    </xdr:to>
    <xdr:sp macro="" textlink="">
      <xdr:nvSpPr>
        <xdr:cNvPr id="2" name="Rectangle 1">
          <a:extLst>
            <a:ext uri="{FF2B5EF4-FFF2-40B4-BE49-F238E27FC236}">
              <a16:creationId xmlns:a16="http://schemas.microsoft.com/office/drawing/2014/main" id="{8837951A-D4DE-A6F2-8EC6-B2E5496C3F1D}"/>
            </a:ext>
          </a:extLst>
        </xdr:cNvPr>
        <xdr:cNvSpPr/>
      </xdr:nvSpPr>
      <xdr:spPr>
        <a:xfrm>
          <a:off x="0" y="19050"/>
          <a:ext cx="4896000" cy="432000"/>
        </a:xfrm>
        <a:prstGeom prst="rect">
          <a:avLst/>
        </a:prstGeom>
        <a:solidFill>
          <a:srgbClr val="0078D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28575</xdr:rowOff>
    </xdr:from>
    <xdr:to>
      <xdr:col>8</xdr:col>
      <xdr:colOff>19200</xdr:colOff>
      <xdr:row>2</xdr:row>
      <xdr:rowOff>57151</xdr:rowOff>
    </xdr:to>
    <xdr:sp macro="" textlink="">
      <xdr:nvSpPr>
        <xdr:cNvPr id="3" name="TextBox 2">
          <a:extLst>
            <a:ext uri="{FF2B5EF4-FFF2-40B4-BE49-F238E27FC236}">
              <a16:creationId xmlns:a16="http://schemas.microsoft.com/office/drawing/2014/main" id="{21992FD0-A71B-8F23-50C0-BB60B71CE258}"/>
            </a:ext>
          </a:extLst>
        </xdr:cNvPr>
        <xdr:cNvSpPr txBox="1"/>
      </xdr:nvSpPr>
      <xdr:spPr>
        <a:xfrm>
          <a:off x="0" y="28575"/>
          <a:ext cx="4896000" cy="409576"/>
        </a:xfrm>
        <a:prstGeom prst="rect">
          <a:avLst/>
        </a:prstGeom>
        <a:solidFill>
          <a:srgbClr val="0078D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400" b="1">
              <a:solidFill>
                <a:schemeClr val="bg1"/>
              </a:solidFill>
            </a:rPr>
            <a:t>DIABETES RISK ANALYSIS DASHBOARD           -  DATA DICTIONARY</a:t>
          </a:r>
        </a:p>
      </xdr:txBody>
    </xdr:sp>
    <xdr:clientData/>
  </xdr:twoCellAnchor>
  <xdr:twoCellAnchor editAs="oneCell">
    <xdr:from>
      <xdr:col>4</xdr:col>
      <xdr:colOff>495300</xdr:colOff>
      <xdr:row>0</xdr:row>
      <xdr:rowOff>57150</xdr:rowOff>
    </xdr:from>
    <xdr:to>
      <xdr:col>4</xdr:col>
      <xdr:colOff>855300</xdr:colOff>
      <xdr:row>2</xdr:row>
      <xdr:rowOff>36150</xdr:rowOff>
    </xdr:to>
    <xdr:pic>
      <xdr:nvPicPr>
        <xdr:cNvPr id="4" name="Picture 3">
          <a:extLst>
            <a:ext uri="{FF2B5EF4-FFF2-40B4-BE49-F238E27FC236}">
              <a16:creationId xmlns:a16="http://schemas.microsoft.com/office/drawing/2014/main" id="{B1D9738C-EF48-45D6-A681-96CD7F4BAAF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33700" y="57150"/>
          <a:ext cx="360000" cy="360000"/>
        </a:xfrm>
        <a:prstGeom prst="rect">
          <a:avLst/>
        </a:prstGeom>
      </xdr:spPr>
    </xdr:pic>
    <xdr:clientData/>
  </xdr:twoCellAnchor>
  <xdr:twoCellAnchor>
    <xdr:from>
      <xdr:col>0</xdr:col>
      <xdr:colOff>0</xdr:colOff>
      <xdr:row>2</xdr:row>
      <xdr:rowOff>76199</xdr:rowOff>
    </xdr:from>
    <xdr:to>
      <xdr:col>1</xdr:col>
      <xdr:colOff>409200</xdr:colOff>
      <xdr:row>33</xdr:row>
      <xdr:rowOff>96299</xdr:rowOff>
    </xdr:to>
    <xdr:sp macro="" textlink="">
      <xdr:nvSpPr>
        <xdr:cNvPr id="5" name="Rectangle 4">
          <a:extLst>
            <a:ext uri="{FF2B5EF4-FFF2-40B4-BE49-F238E27FC236}">
              <a16:creationId xmlns:a16="http://schemas.microsoft.com/office/drawing/2014/main" id="{EF0DDE0A-5DD6-5BB5-B77C-5121EDAFB54D}"/>
            </a:ext>
          </a:extLst>
        </xdr:cNvPr>
        <xdr:cNvSpPr/>
      </xdr:nvSpPr>
      <xdr:spPr>
        <a:xfrm>
          <a:off x="0" y="457199"/>
          <a:ext cx="1018800" cy="5925600"/>
        </a:xfrm>
        <a:prstGeom prst="rect">
          <a:avLst/>
        </a:prstGeom>
        <a:solidFill>
          <a:srgbClr val="0078D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295275</xdr:colOff>
      <xdr:row>3</xdr:row>
      <xdr:rowOff>180975</xdr:rowOff>
    </xdr:from>
    <xdr:to>
      <xdr:col>1</xdr:col>
      <xdr:colOff>45675</xdr:colOff>
      <xdr:row>5</xdr:row>
      <xdr:rowOff>159975</xdr:rowOff>
    </xdr:to>
    <xdr:pic>
      <xdr:nvPicPr>
        <xdr:cNvPr id="6" name="Picture 5">
          <a:hlinkClick xmlns:r="http://schemas.openxmlformats.org/officeDocument/2006/relationships" r:id="rId2" tooltip="OVERVIEW"/>
          <a:extLst>
            <a:ext uri="{FF2B5EF4-FFF2-40B4-BE49-F238E27FC236}">
              <a16:creationId xmlns:a16="http://schemas.microsoft.com/office/drawing/2014/main" id="{E89D2CDF-3DE9-4760-B5F7-E6D083AD5C3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5275" y="752475"/>
          <a:ext cx="360000" cy="360000"/>
        </a:xfrm>
        <a:prstGeom prst="rect">
          <a:avLst/>
        </a:prstGeom>
      </xdr:spPr>
    </xdr:pic>
    <xdr:clientData/>
  </xdr:twoCellAnchor>
  <xdr:twoCellAnchor editAs="oneCell">
    <xdr:from>
      <xdr:col>0</xdr:col>
      <xdr:colOff>314325</xdr:colOff>
      <xdr:row>8</xdr:row>
      <xdr:rowOff>161925</xdr:rowOff>
    </xdr:from>
    <xdr:to>
      <xdr:col>1</xdr:col>
      <xdr:colOff>64725</xdr:colOff>
      <xdr:row>10</xdr:row>
      <xdr:rowOff>140925</xdr:rowOff>
    </xdr:to>
    <xdr:pic>
      <xdr:nvPicPr>
        <xdr:cNvPr id="7" name="Picture 6">
          <a:hlinkClick xmlns:r="http://schemas.openxmlformats.org/officeDocument/2006/relationships" r:id="rId4" tooltip="ANALYSIS1"/>
          <a:extLst>
            <a:ext uri="{FF2B5EF4-FFF2-40B4-BE49-F238E27FC236}">
              <a16:creationId xmlns:a16="http://schemas.microsoft.com/office/drawing/2014/main" id="{54832B54-8D69-4B75-8D6F-51904F13CE2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14325" y="1695450"/>
          <a:ext cx="360000" cy="360000"/>
        </a:xfrm>
        <a:prstGeom prst="rect">
          <a:avLst/>
        </a:prstGeom>
      </xdr:spPr>
    </xdr:pic>
    <xdr:clientData/>
  </xdr:twoCellAnchor>
  <xdr:twoCellAnchor editAs="oneCell">
    <xdr:from>
      <xdr:col>0</xdr:col>
      <xdr:colOff>285750</xdr:colOff>
      <xdr:row>14</xdr:row>
      <xdr:rowOff>19050</xdr:rowOff>
    </xdr:from>
    <xdr:to>
      <xdr:col>1</xdr:col>
      <xdr:colOff>36150</xdr:colOff>
      <xdr:row>15</xdr:row>
      <xdr:rowOff>188550</xdr:rowOff>
    </xdr:to>
    <xdr:pic>
      <xdr:nvPicPr>
        <xdr:cNvPr id="8" name="Picture 7">
          <a:hlinkClick xmlns:r="http://schemas.openxmlformats.org/officeDocument/2006/relationships" r:id="rId6" tooltip="ANALYSIS2"/>
          <a:extLst>
            <a:ext uri="{FF2B5EF4-FFF2-40B4-BE49-F238E27FC236}">
              <a16:creationId xmlns:a16="http://schemas.microsoft.com/office/drawing/2014/main" id="{866EB139-2122-466D-8793-EA573D599AA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85750" y="2695575"/>
          <a:ext cx="360000" cy="360000"/>
        </a:xfrm>
        <a:prstGeom prst="rect">
          <a:avLst/>
        </a:prstGeom>
      </xdr:spPr>
    </xdr:pic>
    <xdr:clientData/>
  </xdr:twoCellAnchor>
  <xdr:twoCellAnchor editAs="oneCell">
    <xdr:from>
      <xdr:col>0</xdr:col>
      <xdr:colOff>314325</xdr:colOff>
      <xdr:row>18</xdr:row>
      <xdr:rowOff>123825</xdr:rowOff>
    </xdr:from>
    <xdr:to>
      <xdr:col>1</xdr:col>
      <xdr:colOff>64725</xdr:colOff>
      <xdr:row>20</xdr:row>
      <xdr:rowOff>102825</xdr:rowOff>
    </xdr:to>
    <xdr:pic>
      <xdr:nvPicPr>
        <xdr:cNvPr id="9" name="Picture 8">
          <a:hlinkClick xmlns:r="http://schemas.openxmlformats.org/officeDocument/2006/relationships" r:id="rId8" tooltip="TREND ANALYSIS"/>
          <a:extLst>
            <a:ext uri="{FF2B5EF4-FFF2-40B4-BE49-F238E27FC236}">
              <a16:creationId xmlns:a16="http://schemas.microsoft.com/office/drawing/2014/main" id="{C6ED8AF9-7ACC-46A4-8095-59B4B971860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14325" y="3562350"/>
          <a:ext cx="360000" cy="360000"/>
        </a:xfrm>
        <a:prstGeom prst="rect">
          <a:avLst/>
        </a:prstGeom>
      </xdr:spPr>
    </xdr:pic>
    <xdr:clientData/>
  </xdr:twoCellAnchor>
  <xdr:twoCellAnchor editAs="oneCell">
    <xdr:from>
      <xdr:col>0</xdr:col>
      <xdr:colOff>314325</xdr:colOff>
      <xdr:row>24</xdr:row>
      <xdr:rowOff>9525</xdr:rowOff>
    </xdr:from>
    <xdr:to>
      <xdr:col>1</xdr:col>
      <xdr:colOff>64725</xdr:colOff>
      <xdr:row>25</xdr:row>
      <xdr:rowOff>179025</xdr:rowOff>
    </xdr:to>
    <xdr:pic>
      <xdr:nvPicPr>
        <xdr:cNvPr id="10" name="Picture 9">
          <a:hlinkClick xmlns:r="http://schemas.openxmlformats.org/officeDocument/2006/relationships" r:id="rId10" tooltip="KEY INSIGHTS"/>
          <a:extLst>
            <a:ext uri="{FF2B5EF4-FFF2-40B4-BE49-F238E27FC236}">
              <a16:creationId xmlns:a16="http://schemas.microsoft.com/office/drawing/2014/main" id="{AAAD38AE-499A-434F-90A2-9212D337CA2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14325" y="4591050"/>
          <a:ext cx="360000" cy="360000"/>
        </a:xfrm>
        <a:prstGeom prst="rect">
          <a:avLst/>
        </a:prstGeom>
      </xdr:spPr>
    </xdr:pic>
    <xdr:clientData/>
  </xdr:twoCellAnchor>
  <xdr:twoCellAnchor editAs="oneCell">
    <xdr:from>
      <xdr:col>0</xdr:col>
      <xdr:colOff>323850</xdr:colOff>
      <xdr:row>28</xdr:row>
      <xdr:rowOff>133350</xdr:rowOff>
    </xdr:from>
    <xdr:to>
      <xdr:col>1</xdr:col>
      <xdr:colOff>74250</xdr:colOff>
      <xdr:row>30</xdr:row>
      <xdr:rowOff>112350</xdr:rowOff>
    </xdr:to>
    <xdr:pic>
      <xdr:nvPicPr>
        <xdr:cNvPr id="11" name="Picture 10">
          <a:hlinkClick xmlns:r="http://schemas.openxmlformats.org/officeDocument/2006/relationships" r:id="rId12" tooltip="DATA DICTIONARY"/>
          <a:extLst>
            <a:ext uri="{FF2B5EF4-FFF2-40B4-BE49-F238E27FC236}">
              <a16:creationId xmlns:a16="http://schemas.microsoft.com/office/drawing/2014/main" id="{524E065C-1A58-4D54-B031-19976CE83D68}"/>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23850" y="5476875"/>
          <a:ext cx="360000" cy="3600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3</xdr:col>
      <xdr:colOff>438150</xdr:colOff>
      <xdr:row>3</xdr:row>
      <xdr:rowOff>66675</xdr:rowOff>
    </xdr:from>
    <xdr:to>
      <xdr:col>11</xdr:col>
      <xdr:colOff>133350</xdr:colOff>
      <xdr:row>17</xdr:row>
      <xdr:rowOff>142875</xdr:rowOff>
    </xdr:to>
    <xdr:graphicFrame macro="">
      <xdr:nvGraphicFramePr>
        <xdr:cNvPr id="2" name="Chart 1">
          <a:extLst>
            <a:ext uri="{FF2B5EF4-FFF2-40B4-BE49-F238E27FC236}">
              <a16:creationId xmlns:a16="http://schemas.microsoft.com/office/drawing/2014/main" id="{293D826E-5163-2F2C-A209-AE316090EA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4</xdr:col>
      <xdr:colOff>276225</xdr:colOff>
      <xdr:row>2</xdr:row>
      <xdr:rowOff>123825</xdr:rowOff>
    </xdr:from>
    <xdr:to>
      <xdr:col>11</xdr:col>
      <xdr:colOff>581025</xdr:colOff>
      <xdr:row>17</xdr:row>
      <xdr:rowOff>9525</xdr:rowOff>
    </xdr:to>
    <xdr:graphicFrame macro="">
      <xdr:nvGraphicFramePr>
        <xdr:cNvPr id="2" name="Chart 1">
          <a:extLst>
            <a:ext uri="{FF2B5EF4-FFF2-40B4-BE49-F238E27FC236}">
              <a16:creationId xmlns:a16="http://schemas.microsoft.com/office/drawing/2014/main" id="{14D948D4-C8C2-41A2-39D6-C4AAED866C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342900</xdr:colOff>
      <xdr:row>2</xdr:row>
      <xdr:rowOff>171450</xdr:rowOff>
    </xdr:from>
    <xdr:to>
      <xdr:col>11</xdr:col>
      <xdr:colOff>38100</xdr:colOff>
      <xdr:row>17</xdr:row>
      <xdr:rowOff>57150</xdr:rowOff>
    </xdr:to>
    <xdr:graphicFrame macro="">
      <xdr:nvGraphicFramePr>
        <xdr:cNvPr id="2" name="Chart 1">
          <a:extLst>
            <a:ext uri="{FF2B5EF4-FFF2-40B4-BE49-F238E27FC236}">
              <a16:creationId xmlns:a16="http://schemas.microsoft.com/office/drawing/2014/main" id="{A231FF2B-BC39-4615-A027-2B250F660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371475</xdr:colOff>
      <xdr:row>4</xdr:row>
      <xdr:rowOff>133350</xdr:rowOff>
    </xdr:from>
    <xdr:to>
      <xdr:col>13</xdr:col>
      <xdr:colOff>66675</xdr:colOff>
      <xdr:row>19</xdr:row>
      <xdr:rowOff>19050</xdr:rowOff>
    </xdr:to>
    <xdr:graphicFrame macro="">
      <xdr:nvGraphicFramePr>
        <xdr:cNvPr id="2" name="Chart 1">
          <a:extLst>
            <a:ext uri="{FF2B5EF4-FFF2-40B4-BE49-F238E27FC236}">
              <a16:creationId xmlns:a16="http://schemas.microsoft.com/office/drawing/2014/main" id="{AB80A2E9-F078-B204-E304-BEC672EAB6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2</xdr:col>
      <xdr:colOff>104775</xdr:colOff>
      <xdr:row>4</xdr:row>
      <xdr:rowOff>133350</xdr:rowOff>
    </xdr:from>
    <xdr:to>
      <xdr:col>9</xdr:col>
      <xdr:colOff>409575</xdr:colOff>
      <xdr:row>19</xdr:row>
      <xdr:rowOff>19050</xdr:rowOff>
    </xdr:to>
    <xdr:graphicFrame macro="">
      <xdr:nvGraphicFramePr>
        <xdr:cNvPr id="2" name="Chart 1">
          <a:extLst>
            <a:ext uri="{FF2B5EF4-FFF2-40B4-BE49-F238E27FC236}">
              <a16:creationId xmlns:a16="http://schemas.microsoft.com/office/drawing/2014/main" id="{F082FB83-95AA-67BA-48F2-F0A847DE0D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5</xdr:col>
      <xdr:colOff>600075</xdr:colOff>
      <xdr:row>3</xdr:row>
      <xdr:rowOff>38100</xdr:rowOff>
    </xdr:from>
    <xdr:to>
      <xdr:col>13</xdr:col>
      <xdr:colOff>295275</xdr:colOff>
      <xdr:row>17</xdr:row>
      <xdr:rowOff>114300</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73AB1A91-423E-6DB3-D492-1F22924C5E4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686300" y="60960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228600</xdr:colOff>
      <xdr:row>3</xdr:row>
      <xdr:rowOff>0</xdr:rowOff>
    </xdr:from>
    <xdr:to>
      <xdr:col>9</xdr:col>
      <xdr:colOff>423000</xdr:colOff>
      <xdr:row>13</xdr:row>
      <xdr:rowOff>39000</xdr:rowOff>
    </xdr:to>
    <xdr:graphicFrame macro="">
      <xdr:nvGraphicFramePr>
        <xdr:cNvPr id="2" name="Chart 1">
          <a:extLst>
            <a:ext uri="{FF2B5EF4-FFF2-40B4-BE49-F238E27FC236}">
              <a16:creationId xmlns:a16="http://schemas.microsoft.com/office/drawing/2014/main" id="{50E65790-CF0C-1134-3E68-269076428E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2</xdr:col>
      <xdr:colOff>600075</xdr:colOff>
      <xdr:row>1</xdr:row>
      <xdr:rowOff>138112</xdr:rowOff>
    </xdr:from>
    <xdr:to>
      <xdr:col>6</xdr:col>
      <xdr:colOff>87675</xdr:colOff>
      <xdr:row>13</xdr:row>
      <xdr:rowOff>12112</xdr:rowOff>
    </xdr:to>
    <xdr:graphicFrame macro="">
      <xdr:nvGraphicFramePr>
        <xdr:cNvPr id="2" name="Chart 1">
          <a:extLst>
            <a:ext uri="{FF2B5EF4-FFF2-40B4-BE49-F238E27FC236}">
              <a16:creationId xmlns:a16="http://schemas.microsoft.com/office/drawing/2014/main" id="{51E102A4-9905-B13E-9179-DEA626BA9A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95250</xdr:colOff>
      <xdr:row>3</xdr:row>
      <xdr:rowOff>109537</xdr:rowOff>
    </xdr:from>
    <xdr:to>
      <xdr:col>10</xdr:col>
      <xdr:colOff>400050</xdr:colOff>
      <xdr:row>17</xdr:row>
      <xdr:rowOff>185737</xdr:rowOff>
    </xdr:to>
    <xdr:graphicFrame macro="">
      <xdr:nvGraphicFramePr>
        <xdr:cNvPr id="2" name="Chart 1">
          <a:extLst>
            <a:ext uri="{FF2B5EF4-FFF2-40B4-BE49-F238E27FC236}">
              <a16:creationId xmlns:a16="http://schemas.microsoft.com/office/drawing/2014/main" id="{3AB8F9CD-35EB-F3E2-87AA-ED23511B58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409575</xdr:colOff>
      <xdr:row>2</xdr:row>
      <xdr:rowOff>61912</xdr:rowOff>
    </xdr:from>
    <xdr:to>
      <xdr:col>11</xdr:col>
      <xdr:colOff>104775</xdr:colOff>
      <xdr:row>16</xdr:row>
      <xdr:rowOff>138112</xdr:rowOff>
    </xdr:to>
    <xdr:graphicFrame macro="">
      <xdr:nvGraphicFramePr>
        <xdr:cNvPr id="2" name="Chart 1">
          <a:extLst>
            <a:ext uri="{FF2B5EF4-FFF2-40B4-BE49-F238E27FC236}">
              <a16:creationId xmlns:a16="http://schemas.microsoft.com/office/drawing/2014/main" id="{4FFE1C2C-1DA7-DD6C-903A-B6A7EC09E9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2</xdr:col>
      <xdr:colOff>485775</xdr:colOff>
      <xdr:row>3</xdr:row>
      <xdr:rowOff>33337</xdr:rowOff>
    </xdr:from>
    <xdr:to>
      <xdr:col>10</xdr:col>
      <xdr:colOff>180975</xdr:colOff>
      <xdr:row>17</xdr:row>
      <xdr:rowOff>109537</xdr:rowOff>
    </xdr:to>
    <xdr:graphicFrame macro="">
      <xdr:nvGraphicFramePr>
        <xdr:cNvPr id="2" name="Chart 1">
          <a:extLst>
            <a:ext uri="{FF2B5EF4-FFF2-40B4-BE49-F238E27FC236}">
              <a16:creationId xmlns:a16="http://schemas.microsoft.com/office/drawing/2014/main" id="{AA5F5949-0715-BDC6-0C8B-73164A52E9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4</xdr:col>
      <xdr:colOff>180975</xdr:colOff>
      <xdr:row>1</xdr:row>
      <xdr:rowOff>185737</xdr:rowOff>
    </xdr:from>
    <xdr:to>
      <xdr:col>11</xdr:col>
      <xdr:colOff>485775</xdr:colOff>
      <xdr:row>16</xdr:row>
      <xdr:rowOff>71437</xdr:rowOff>
    </xdr:to>
    <xdr:graphicFrame macro="">
      <xdr:nvGraphicFramePr>
        <xdr:cNvPr id="3" name="Chart 2">
          <a:extLst>
            <a:ext uri="{FF2B5EF4-FFF2-40B4-BE49-F238E27FC236}">
              <a16:creationId xmlns:a16="http://schemas.microsoft.com/office/drawing/2014/main" id="{0495B3DA-75EE-3569-25D0-02EB503F04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581025</xdr:colOff>
      <xdr:row>2</xdr:row>
      <xdr:rowOff>109537</xdr:rowOff>
    </xdr:from>
    <xdr:to>
      <xdr:col>11</xdr:col>
      <xdr:colOff>276225</xdr:colOff>
      <xdr:row>16</xdr:row>
      <xdr:rowOff>185737</xdr:rowOff>
    </xdr:to>
    <xdr:graphicFrame macro="">
      <xdr:nvGraphicFramePr>
        <xdr:cNvPr id="2" name="Chart 1">
          <a:extLst>
            <a:ext uri="{FF2B5EF4-FFF2-40B4-BE49-F238E27FC236}">
              <a16:creationId xmlns:a16="http://schemas.microsoft.com/office/drawing/2014/main" id="{ECCA7866-C9EC-3DE3-FD86-7C6D27FCF3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226.057079976854" createdVersion="8" refreshedVersion="8" minRefreshableVersion="3" recordCount="768" xr:uid="{E09D2112-5BA8-4EEC-A100-FAF9D3CB67A5}">
  <cacheSource type="worksheet">
    <worksheetSource name="Table2"/>
  </cacheSource>
  <cacheFields count="12">
    <cacheField name="Pregnancies" numFmtId="0">
      <sharedItems containsSemiMixedTypes="0" containsString="0" containsNumber="1" containsInteger="1" minValue="1" maxValue="17" count="16">
        <n v="6"/>
        <n v="1"/>
        <n v="8"/>
        <n v="4"/>
        <n v="5"/>
        <n v="3"/>
        <n v="10"/>
        <n v="2"/>
        <n v="7"/>
        <n v="9"/>
        <n v="11"/>
        <n v="13"/>
        <n v="15"/>
        <n v="17"/>
        <n v="12"/>
        <n v="14"/>
      </sharedItems>
    </cacheField>
    <cacheField name="Glucose" numFmtId="0">
      <sharedItems containsSemiMixedTypes="0" containsString="0" containsNumber="1" containsInteger="1" minValue="44" maxValue="199" count="135">
        <n v="148"/>
        <n v="85"/>
        <n v="183"/>
        <n v="89"/>
        <n v="137"/>
        <n v="116"/>
        <n v="78"/>
        <n v="115"/>
        <n v="197"/>
        <n v="125"/>
        <n v="110"/>
        <n v="168"/>
        <n v="139"/>
        <n v="189"/>
        <n v="166"/>
        <n v="100"/>
        <n v="118"/>
        <n v="107"/>
        <n v="103"/>
        <n v="126"/>
        <n v="99"/>
        <n v="196"/>
        <n v="119"/>
        <n v="143"/>
        <n v="147"/>
        <n v="97"/>
        <n v="145"/>
        <n v="117"/>
        <n v="109"/>
        <n v="158"/>
        <n v="88"/>
        <n v="92"/>
        <n v="122"/>
        <n v="138"/>
        <n v="102"/>
        <n v="90"/>
        <n v="111"/>
        <n v="180"/>
        <n v="133"/>
        <n v="106"/>
        <n v="171"/>
        <n v="159"/>
        <n v="146"/>
        <n v="71"/>
        <n v="105"/>
        <n v="101"/>
        <n v="176"/>
        <n v="150"/>
        <n v="73"/>
        <n v="187"/>
        <n v="84"/>
        <n v="44"/>
        <n v="141"/>
        <n v="114"/>
        <n v="95"/>
        <n v="129"/>
        <n v="79"/>
        <n v="121"/>
        <n v="62"/>
        <n v="131"/>
        <n v="112"/>
        <n v="113"/>
        <n v="74"/>
        <n v="83"/>
        <n v="136"/>
        <n v="80"/>
        <n v="123"/>
        <n v="81"/>
        <n v="134"/>
        <n v="142"/>
        <n v="144"/>
        <n v="93"/>
        <n v="163"/>
        <n v="151"/>
        <n v="96"/>
        <n v="155"/>
        <n v="76"/>
        <n v="160"/>
        <n v="124"/>
        <n v="162"/>
        <n v="132"/>
        <n v="120"/>
        <n v="173"/>
        <n v="170"/>
        <n v="128"/>
        <n v="108"/>
        <n v="154"/>
        <n v="57"/>
        <n v="156"/>
        <n v="153"/>
        <n v="188"/>
        <n v="152"/>
        <n v="104"/>
        <n v="87"/>
        <n v="75"/>
        <n v="179"/>
        <n v="130"/>
        <n v="194"/>
        <n v="181"/>
        <n v="135"/>
        <n v="184"/>
        <n v="140"/>
        <n v="177"/>
        <n v="164"/>
        <n v="91"/>
        <n v="165"/>
        <n v="86"/>
        <n v="193"/>
        <n v="191"/>
        <n v="161"/>
        <n v="167"/>
        <n v="77"/>
        <n v="182"/>
        <n v="157"/>
        <n v="178"/>
        <n v="61"/>
        <n v="98"/>
        <n v="127"/>
        <n v="82"/>
        <n v="72"/>
        <n v="172"/>
        <n v="94"/>
        <n v="175"/>
        <n v="195"/>
        <n v="68"/>
        <n v="186"/>
        <n v="198"/>
        <n v="67"/>
        <n v="174"/>
        <n v="199"/>
        <n v="56"/>
        <n v="169"/>
        <n v="149"/>
        <n v="65"/>
        <n v="190"/>
      </sharedItems>
      <fieldGroup base="1">
        <rangePr startNum="44" endNum="199" groupInterval="10"/>
        <groupItems count="18">
          <s v="&lt;44"/>
          <s v="44-53"/>
          <s v="54-63"/>
          <s v="64-73"/>
          <s v="74-83"/>
          <s v="84-93"/>
          <s v="94-103"/>
          <s v="104-113"/>
          <s v="114-123"/>
          <s v="124-133"/>
          <s v="134-143"/>
          <s v="144-153"/>
          <s v="154-163"/>
          <s v="164-173"/>
          <s v="174-183"/>
          <s v="184-193"/>
          <s v="194-203"/>
          <s v="&gt;204"/>
        </groupItems>
      </fieldGroup>
    </cacheField>
    <cacheField name="BloodPressure" numFmtId="0">
      <sharedItems containsSemiMixedTypes="0" containsString="0" containsNumber="1" containsInteger="1" minValue="24" maxValue="122" count="47">
        <n v="72"/>
        <n v="66"/>
        <n v="64"/>
        <n v="40"/>
        <n v="74"/>
        <n v="50"/>
        <n v="69"/>
        <n v="70"/>
        <n v="96"/>
        <n v="92"/>
        <n v="80"/>
        <n v="60"/>
        <n v="84"/>
        <n v="30"/>
        <n v="88"/>
        <n v="90"/>
        <n v="94"/>
        <n v="76"/>
        <n v="82"/>
        <n v="75"/>
        <n v="58"/>
        <n v="78"/>
        <n v="68"/>
        <n v="110"/>
        <n v="56"/>
        <n v="62"/>
        <n v="85"/>
        <n v="86"/>
        <n v="48"/>
        <n v="44"/>
        <n v="65"/>
        <n v="108"/>
        <n v="55"/>
        <n v="122"/>
        <n v="54"/>
        <n v="52"/>
        <n v="98"/>
        <n v="104"/>
        <n v="95"/>
        <n v="46"/>
        <n v="102"/>
        <n v="100"/>
        <n v="61"/>
        <n v="24"/>
        <n v="38"/>
        <n v="106"/>
        <n v="114"/>
      </sharedItems>
      <fieldGroup base="2">
        <rangePr startNum="24" endNum="122" groupInterval="10"/>
        <groupItems count="12">
          <s v="&lt;24"/>
          <s v="24-33"/>
          <s v="34-43"/>
          <s v="44-53"/>
          <s v="54-63"/>
          <s v="64-73"/>
          <s v="74-83"/>
          <s v="84-93"/>
          <s v="94-103"/>
          <s v="104-113"/>
          <s v="114-123"/>
          <s v="&gt;124"/>
        </groupItems>
      </fieldGroup>
    </cacheField>
    <cacheField name="SkinThickness" numFmtId="0">
      <sharedItems containsSemiMixedTypes="0" containsString="0" containsNumber="1" containsInteger="1" minValue="7" maxValue="99" count="50">
        <n v="35"/>
        <n v="29"/>
        <n v="21"/>
        <n v="23"/>
        <n v="32"/>
        <n v="45"/>
        <n v="19"/>
        <n v="47"/>
        <n v="38"/>
        <n v="30"/>
        <n v="41"/>
        <n v="33"/>
        <n v="26"/>
        <n v="15"/>
        <n v="36"/>
        <n v="11"/>
        <n v="31"/>
        <n v="37"/>
        <n v="42"/>
        <n v="25"/>
        <n v="18"/>
        <n v="24"/>
        <n v="39"/>
        <n v="27"/>
        <n v="34"/>
        <n v="10"/>
        <n v="60"/>
        <n v="13"/>
        <n v="20"/>
        <n v="22"/>
        <n v="28"/>
        <n v="54"/>
        <n v="40"/>
        <n v="51"/>
        <n v="56"/>
        <n v="14"/>
        <n v="17"/>
        <n v="50"/>
        <n v="44"/>
        <n v="12"/>
        <n v="46"/>
        <n v="16"/>
        <n v="7"/>
        <n v="52"/>
        <n v="43"/>
        <n v="48"/>
        <n v="8"/>
        <n v="49"/>
        <n v="63"/>
        <n v="99"/>
      </sharedItems>
      <fieldGroup base="3">
        <rangePr startNum="7" endNum="99" groupInterval="10"/>
        <groupItems count="12">
          <s v="&lt;7"/>
          <s v="7-16"/>
          <s v="17-26"/>
          <s v="27-36"/>
          <s v="37-46"/>
          <s v="47-56"/>
          <s v="57-66"/>
          <s v="67-76"/>
          <s v="77-86"/>
          <s v="87-96"/>
          <s v="97-106"/>
          <s v="&gt;107"/>
        </groupItems>
      </fieldGroup>
    </cacheField>
    <cacheField name="Insulin" numFmtId="0">
      <sharedItems containsSemiMixedTypes="0" containsString="0" containsNumber="1" containsInteger="1" minValue="14" maxValue="846" count="186">
        <n v="80"/>
        <n v="94"/>
        <n v="168"/>
        <n v="88"/>
        <n v="543"/>
        <n v="846"/>
        <n v="175"/>
        <n v="230"/>
        <n v="83"/>
        <n v="96"/>
        <n v="235"/>
        <n v="146"/>
        <n v="115"/>
        <n v="140"/>
        <n v="110"/>
        <n v="245"/>
        <n v="54"/>
        <n v="192"/>
        <n v="207"/>
        <n v="70"/>
        <n v="240"/>
        <n v="82"/>
        <n v="36"/>
        <n v="23"/>
        <n v="300"/>
        <n v="342"/>
        <n v="304"/>
        <n v="142"/>
        <n v="128"/>
        <n v="38"/>
        <n v="100"/>
        <n v="90"/>
        <n v="270"/>
        <n v="71"/>
        <n v="125"/>
        <n v="176"/>
        <n v="48"/>
        <n v="64"/>
        <n v="228"/>
        <n v="76"/>
        <n v="220"/>
        <n v="40"/>
        <n v="152"/>
        <n v="18"/>
        <n v="135"/>
        <n v="495"/>
        <n v="37"/>
        <n v="51"/>
        <n v="99"/>
        <n v="145"/>
        <n v="225"/>
        <n v="49"/>
        <n v="50"/>
        <n v="92"/>
        <n v="325"/>
        <n v="63"/>
        <n v="284"/>
        <n v="119"/>
        <n v="204"/>
        <n v="155"/>
        <n v="485"/>
        <n v="53"/>
        <n v="114"/>
        <n v="105"/>
        <n v="285"/>
        <n v="156"/>
        <n v="78"/>
        <n v="130"/>
        <n v="55"/>
        <n v="58"/>
        <n v="160"/>
        <n v="210"/>
        <n v="318"/>
        <n v="44"/>
        <n v="190"/>
        <n v="280"/>
        <n v="87"/>
        <n v="271"/>
        <n v="129"/>
        <n v="120"/>
        <n v="478"/>
        <n v="56"/>
        <n v="32"/>
        <n v="744"/>
        <n v="370"/>
        <n v="45"/>
        <n v="194"/>
        <n v="680"/>
        <n v="402"/>
        <n v="258"/>
        <n v="375"/>
        <n v="150"/>
        <n v="67"/>
        <n v="57"/>
        <n v="116"/>
        <n v="278"/>
        <n v="122"/>
        <n v="545"/>
        <n v="75"/>
        <n v="74"/>
        <n v="182"/>
        <n v="360"/>
        <n v="215"/>
        <n v="184"/>
        <n v="42"/>
        <n v="132"/>
        <n v="148"/>
        <n v="180"/>
        <n v="205"/>
        <n v="85"/>
        <n v="231"/>
        <n v="29"/>
        <n v="68"/>
        <n v="52"/>
        <n v="255"/>
        <n v="171"/>
        <n v="73"/>
        <n v="108"/>
        <n v="43"/>
        <n v="167"/>
        <n v="249"/>
        <n v="293"/>
        <n v="66"/>
        <n v="465"/>
        <n v="89"/>
        <n v="158"/>
        <n v="84"/>
        <n v="72"/>
        <n v="59"/>
        <n v="81"/>
        <n v="196"/>
        <n v="415"/>
        <n v="275"/>
        <n v="165"/>
        <n v="579"/>
        <n v="310"/>
        <n v="61"/>
        <n v="474"/>
        <n v="170"/>
        <n v="277"/>
        <n v="60"/>
        <n v="14"/>
        <n v="95"/>
        <n v="237"/>
        <n v="191"/>
        <n v="328"/>
        <n v="250"/>
        <n v="480"/>
        <n v="265"/>
        <n v="193"/>
        <n v="79"/>
        <n v="86"/>
        <n v="326"/>
        <n v="188"/>
        <n v="106"/>
        <n v="65"/>
        <n v="166"/>
        <n v="274"/>
        <n v="77"/>
        <n v="126"/>
        <n v="330"/>
        <n v="600"/>
        <n v="185"/>
        <n v="25"/>
        <n v="41"/>
        <n v="272"/>
        <n v="321"/>
        <n v="144"/>
        <n v="15"/>
        <n v="183"/>
        <n v="91"/>
        <n v="46"/>
        <n v="440"/>
        <n v="159"/>
        <n v="540"/>
        <n v="200"/>
        <n v="335"/>
        <n v="387"/>
        <n v="22"/>
        <n v="291"/>
        <n v="392"/>
        <n v="178"/>
        <n v="127"/>
        <n v="510"/>
        <n v="16"/>
        <n v="112"/>
      </sharedItems>
      <fieldGroup base="4">
        <rangePr startNum="14" endNum="846" groupInterval="100"/>
        <groupItems count="11">
          <s v="&lt;14"/>
          <s v="14-113"/>
          <s v="114-213"/>
          <s v="214-313"/>
          <s v="314-413"/>
          <s v="414-513"/>
          <s v="514-613"/>
          <s v="614-713"/>
          <s v="714-813"/>
          <s v="814-913"/>
          <s v="&gt;914"/>
        </groupItems>
      </fieldGroup>
    </cacheField>
    <cacheField name="BMI" numFmtId="0">
      <sharedItems containsSemiMixedTypes="0" containsString="0" containsNumber="1" containsInteger="1" minValue="18" maxValue="67" count="39">
        <n v="34"/>
        <n v="27"/>
        <n v="23"/>
        <n v="28"/>
        <n v="43"/>
        <n v="26"/>
        <n v="31"/>
        <n v="35"/>
        <n v="30"/>
        <n v="32"/>
        <n v="38"/>
        <n v="46"/>
        <n v="39"/>
        <n v="40"/>
        <n v="29"/>
        <n v="37"/>
        <n v="22"/>
        <n v="36"/>
        <n v="25"/>
        <n v="20"/>
        <n v="24"/>
        <n v="33"/>
        <n v="45"/>
        <n v="42"/>
        <n v="19"/>
        <n v="47"/>
        <n v="49"/>
        <n v="50"/>
        <n v="53"/>
        <n v="55"/>
        <n v="21"/>
        <n v="41"/>
        <n v="48"/>
        <n v="44"/>
        <n v="67"/>
        <n v="52"/>
        <n v="18"/>
        <n v="59"/>
        <n v="57"/>
      </sharedItems>
      <fieldGroup base="5">
        <rangePr startNum="18" endNum="67" groupInterval="10"/>
        <groupItems count="7">
          <s v="&lt;18"/>
          <s v="18-27"/>
          <s v="28-37"/>
          <s v="38-47"/>
          <s v="48-57"/>
          <s v="58-67"/>
          <s v="&gt;68"/>
        </groupItems>
      </fieldGroup>
    </cacheField>
    <cacheField name="DiabetesPedigreeFunction" numFmtId="0">
      <sharedItems containsSemiMixedTypes="0" containsString="0" containsNumber="1" minValue="0.35099999999999998" maxValue="0.67200000000000004" count="3">
        <n v="0.627"/>
        <n v="0.35099999999999998"/>
        <n v="0.67200000000000004"/>
      </sharedItems>
      <fieldGroup base="6">
        <rangePr startNum="0.35099999999999998" endNum="0.67200000000000004" groupInterval="0.1"/>
        <groupItems count="6">
          <s v="&lt;0.351"/>
          <s v="0.351-0.451"/>
          <s v="0.451-0.551"/>
          <s v="0.551-0.651"/>
          <s v="0.651-0.751"/>
          <s v="&gt;0.751"/>
        </groupItems>
      </fieldGroup>
    </cacheField>
    <cacheField name="Age" numFmtId="0">
      <sharedItems containsSemiMixedTypes="0" containsString="0" containsNumber="1" containsInteger="1" minValue="21" maxValue="81" count="52">
        <n v="50"/>
        <n v="31"/>
        <n v="32"/>
        <n v="21"/>
        <n v="33"/>
        <n v="30"/>
        <n v="26"/>
        <n v="29"/>
        <n v="53"/>
        <n v="54"/>
        <n v="34"/>
        <n v="57"/>
        <n v="59"/>
        <n v="51"/>
        <n v="27"/>
        <n v="41"/>
        <n v="43"/>
        <n v="22"/>
        <n v="38"/>
        <n v="60"/>
        <n v="28"/>
        <n v="45"/>
        <n v="35"/>
        <n v="46"/>
        <n v="56"/>
        <n v="37"/>
        <n v="48"/>
        <n v="40"/>
        <n v="25"/>
        <n v="24"/>
        <n v="58"/>
        <n v="42"/>
        <n v="44"/>
        <n v="39"/>
        <n v="36"/>
        <n v="23"/>
        <n v="61"/>
        <n v="69"/>
        <n v="62"/>
        <n v="55"/>
        <n v="65"/>
        <n v="47"/>
        <n v="52"/>
        <n v="66"/>
        <n v="49"/>
        <n v="63"/>
        <n v="67"/>
        <n v="72"/>
        <n v="81"/>
        <n v="64"/>
        <n v="70"/>
        <n v="68"/>
      </sharedItems>
      <fieldGroup base="7">
        <rangePr startNum="21" endNum="81" groupInterval="10"/>
        <groupItems count="8">
          <s v="&lt;21"/>
          <s v="21-30"/>
          <s v="31-40"/>
          <s v="41-50"/>
          <s v="51-60"/>
          <s v="61-70"/>
          <s v="71-81"/>
          <s v="&gt;81"/>
        </groupItems>
      </fieldGroup>
    </cacheField>
    <cacheField name="Outcome" numFmtId="0">
      <sharedItems containsSemiMixedTypes="0" containsString="0" containsNumber="1" containsInteger="1" minValue="0" maxValue="1" count="2">
        <n v="1"/>
        <n v="0"/>
      </sharedItems>
    </cacheField>
    <cacheField name="BMI+Outcome" numFmtId="0">
      <sharedItems containsSemiMixedTypes="0" containsString="0" containsNumber="1" containsInteger="1" minValue="0" maxValue="1"/>
    </cacheField>
    <cacheField name="(BMI+Outcome) + Glucose" numFmtId="0">
      <sharedItems containsSemiMixedTypes="0" containsString="0" containsNumber="1" containsInteger="1" minValue="0" maxValue="1"/>
    </cacheField>
    <cacheField name="Glucose+Outcome"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4719317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8">
  <r>
    <x v="0"/>
    <x v="0"/>
    <x v="0"/>
    <x v="0"/>
    <x v="0"/>
    <x v="0"/>
    <x v="0"/>
    <x v="0"/>
    <x v="0"/>
    <n v="1"/>
    <n v="1"/>
    <n v="1"/>
  </r>
  <r>
    <x v="1"/>
    <x v="1"/>
    <x v="1"/>
    <x v="1"/>
    <x v="0"/>
    <x v="1"/>
    <x v="1"/>
    <x v="1"/>
    <x v="1"/>
    <n v="0"/>
    <n v="0"/>
    <n v="0"/>
  </r>
  <r>
    <x v="2"/>
    <x v="2"/>
    <x v="2"/>
    <x v="2"/>
    <x v="0"/>
    <x v="2"/>
    <x v="2"/>
    <x v="2"/>
    <x v="0"/>
    <n v="1"/>
    <n v="1"/>
    <n v="1"/>
  </r>
  <r>
    <x v="1"/>
    <x v="3"/>
    <x v="1"/>
    <x v="3"/>
    <x v="1"/>
    <x v="3"/>
    <x v="2"/>
    <x v="3"/>
    <x v="1"/>
    <n v="0"/>
    <n v="0"/>
    <n v="0"/>
  </r>
  <r>
    <x v="3"/>
    <x v="4"/>
    <x v="3"/>
    <x v="0"/>
    <x v="2"/>
    <x v="4"/>
    <x v="2"/>
    <x v="4"/>
    <x v="0"/>
    <n v="1"/>
    <n v="1"/>
    <n v="1"/>
  </r>
  <r>
    <x v="4"/>
    <x v="5"/>
    <x v="4"/>
    <x v="2"/>
    <x v="0"/>
    <x v="5"/>
    <x v="2"/>
    <x v="5"/>
    <x v="1"/>
    <n v="0"/>
    <n v="0"/>
    <n v="0"/>
  </r>
  <r>
    <x v="5"/>
    <x v="6"/>
    <x v="5"/>
    <x v="4"/>
    <x v="3"/>
    <x v="6"/>
    <x v="2"/>
    <x v="6"/>
    <x v="0"/>
    <n v="1"/>
    <n v="0"/>
    <n v="0"/>
  </r>
  <r>
    <x v="6"/>
    <x v="7"/>
    <x v="6"/>
    <x v="2"/>
    <x v="0"/>
    <x v="7"/>
    <x v="2"/>
    <x v="7"/>
    <x v="1"/>
    <n v="0"/>
    <n v="0"/>
    <n v="0"/>
  </r>
  <r>
    <x v="7"/>
    <x v="8"/>
    <x v="7"/>
    <x v="5"/>
    <x v="4"/>
    <x v="8"/>
    <x v="2"/>
    <x v="8"/>
    <x v="0"/>
    <n v="1"/>
    <n v="1"/>
    <n v="1"/>
  </r>
  <r>
    <x v="2"/>
    <x v="9"/>
    <x v="8"/>
    <x v="2"/>
    <x v="0"/>
    <x v="9"/>
    <x v="2"/>
    <x v="9"/>
    <x v="0"/>
    <n v="1"/>
    <n v="1"/>
    <n v="1"/>
  </r>
  <r>
    <x v="3"/>
    <x v="10"/>
    <x v="9"/>
    <x v="2"/>
    <x v="0"/>
    <x v="10"/>
    <x v="2"/>
    <x v="5"/>
    <x v="1"/>
    <n v="0"/>
    <n v="0"/>
    <n v="0"/>
  </r>
  <r>
    <x v="6"/>
    <x v="11"/>
    <x v="4"/>
    <x v="2"/>
    <x v="0"/>
    <x v="10"/>
    <x v="2"/>
    <x v="10"/>
    <x v="0"/>
    <n v="1"/>
    <n v="1"/>
    <n v="1"/>
  </r>
  <r>
    <x v="6"/>
    <x v="12"/>
    <x v="10"/>
    <x v="2"/>
    <x v="0"/>
    <x v="1"/>
    <x v="2"/>
    <x v="11"/>
    <x v="1"/>
    <n v="0"/>
    <n v="0"/>
    <n v="0"/>
  </r>
  <r>
    <x v="1"/>
    <x v="13"/>
    <x v="11"/>
    <x v="3"/>
    <x v="5"/>
    <x v="8"/>
    <x v="2"/>
    <x v="12"/>
    <x v="0"/>
    <n v="1"/>
    <n v="1"/>
    <n v="1"/>
  </r>
  <r>
    <x v="4"/>
    <x v="14"/>
    <x v="0"/>
    <x v="6"/>
    <x v="6"/>
    <x v="5"/>
    <x v="2"/>
    <x v="13"/>
    <x v="0"/>
    <n v="1"/>
    <n v="1"/>
    <n v="1"/>
  </r>
  <r>
    <x v="8"/>
    <x v="15"/>
    <x v="6"/>
    <x v="2"/>
    <x v="0"/>
    <x v="8"/>
    <x v="2"/>
    <x v="2"/>
    <x v="0"/>
    <n v="1"/>
    <n v="1"/>
    <n v="1"/>
  </r>
  <r>
    <x v="3"/>
    <x v="16"/>
    <x v="12"/>
    <x v="7"/>
    <x v="7"/>
    <x v="11"/>
    <x v="2"/>
    <x v="1"/>
    <x v="0"/>
    <n v="1"/>
    <n v="1"/>
    <n v="1"/>
  </r>
  <r>
    <x v="8"/>
    <x v="17"/>
    <x v="4"/>
    <x v="2"/>
    <x v="0"/>
    <x v="8"/>
    <x v="2"/>
    <x v="1"/>
    <x v="0"/>
    <n v="1"/>
    <n v="1"/>
    <n v="1"/>
  </r>
  <r>
    <x v="1"/>
    <x v="18"/>
    <x v="13"/>
    <x v="8"/>
    <x v="8"/>
    <x v="4"/>
    <x v="2"/>
    <x v="4"/>
    <x v="1"/>
    <n v="0"/>
    <n v="0"/>
    <n v="0"/>
  </r>
  <r>
    <x v="1"/>
    <x v="7"/>
    <x v="7"/>
    <x v="9"/>
    <x v="9"/>
    <x v="7"/>
    <x v="2"/>
    <x v="2"/>
    <x v="0"/>
    <n v="1"/>
    <n v="1"/>
    <n v="1"/>
  </r>
  <r>
    <x v="5"/>
    <x v="19"/>
    <x v="14"/>
    <x v="10"/>
    <x v="10"/>
    <x v="12"/>
    <x v="2"/>
    <x v="14"/>
    <x v="1"/>
    <n v="0"/>
    <n v="0"/>
    <n v="0"/>
  </r>
  <r>
    <x v="2"/>
    <x v="20"/>
    <x v="12"/>
    <x v="2"/>
    <x v="0"/>
    <x v="7"/>
    <x v="2"/>
    <x v="0"/>
    <x v="1"/>
    <n v="0"/>
    <n v="0"/>
    <n v="0"/>
  </r>
  <r>
    <x v="8"/>
    <x v="21"/>
    <x v="15"/>
    <x v="2"/>
    <x v="0"/>
    <x v="13"/>
    <x v="2"/>
    <x v="15"/>
    <x v="0"/>
    <n v="1"/>
    <n v="1"/>
    <n v="1"/>
  </r>
  <r>
    <x v="9"/>
    <x v="22"/>
    <x v="10"/>
    <x v="0"/>
    <x v="0"/>
    <x v="14"/>
    <x v="2"/>
    <x v="7"/>
    <x v="0"/>
    <n v="1"/>
    <n v="1"/>
    <n v="1"/>
  </r>
  <r>
    <x v="10"/>
    <x v="23"/>
    <x v="16"/>
    <x v="11"/>
    <x v="11"/>
    <x v="15"/>
    <x v="2"/>
    <x v="13"/>
    <x v="0"/>
    <n v="1"/>
    <n v="1"/>
    <n v="1"/>
  </r>
  <r>
    <x v="6"/>
    <x v="9"/>
    <x v="7"/>
    <x v="12"/>
    <x v="12"/>
    <x v="6"/>
    <x v="2"/>
    <x v="15"/>
    <x v="0"/>
    <n v="1"/>
    <n v="1"/>
    <n v="1"/>
  </r>
  <r>
    <x v="8"/>
    <x v="24"/>
    <x v="17"/>
    <x v="2"/>
    <x v="0"/>
    <x v="12"/>
    <x v="2"/>
    <x v="16"/>
    <x v="0"/>
    <n v="1"/>
    <n v="1"/>
    <n v="1"/>
  </r>
  <r>
    <x v="1"/>
    <x v="25"/>
    <x v="1"/>
    <x v="13"/>
    <x v="13"/>
    <x v="2"/>
    <x v="2"/>
    <x v="17"/>
    <x v="1"/>
    <n v="0"/>
    <n v="0"/>
    <n v="0"/>
  </r>
  <r>
    <x v="11"/>
    <x v="26"/>
    <x v="18"/>
    <x v="6"/>
    <x v="14"/>
    <x v="16"/>
    <x v="2"/>
    <x v="11"/>
    <x v="1"/>
    <n v="0"/>
    <n v="0"/>
    <n v="0"/>
  </r>
  <r>
    <x v="4"/>
    <x v="27"/>
    <x v="9"/>
    <x v="2"/>
    <x v="0"/>
    <x v="0"/>
    <x v="2"/>
    <x v="18"/>
    <x v="1"/>
    <n v="0"/>
    <n v="0"/>
    <n v="0"/>
  </r>
  <r>
    <x v="4"/>
    <x v="28"/>
    <x v="19"/>
    <x v="12"/>
    <x v="0"/>
    <x v="17"/>
    <x v="2"/>
    <x v="19"/>
    <x v="1"/>
    <n v="0"/>
    <n v="0"/>
    <n v="0"/>
  </r>
  <r>
    <x v="5"/>
    <x v="29"/>
    <x v="17"/>
    <x v="14"/>
    <x v="15"/>
    <x v="9"/>
    <x v="2"/>
    <x v="20"/>
    <x v="0"/>
    <n v="1"/>
    <n v="1"/>
    <n v="1"/>
  </r>
  <r>
    <x v="5"/>
    <x v="30"/>
    <x v="20"/>
    <x v="15"/>
    <x v="16"/>
    <x v="18"/>
    <x v="2"/>
    <x v="17"/>
    <x v="1"/>
    <n v="0"/>
    <n v="0"/>
    <n v="0"/>
  </r>
  <r>
    <x v="0"/>
    <x v="31"/>
    <x v="9"/>
    <x v="2"/>
    <x v="0"/>
    <x v="19"/>
    <x v="2"/>
    <x v="20"/>
    <x v="1"/>
    <n v="0"/>
    <n v="0"/>
    <n v="0"/>
  </r>
  <r>
    <x v="6"/>
    <x v="32"/>
    <x v="21"/>
    <x v="16"/>
    <x v="0"/>
    <x v="3"/>
    <x v="2"/>
    <x v="21"/>
    <x v="1"/>
    <n v="0"/>
    <n v="0"/>
    <n v="0"/>
  </r>
  <r>
    <x v="3"/>
    <x v="18"/>
    <x v="11"/>
    <x v="11"/>
    <x v="17"/>
    <x v="20"/>
    <x v="2"/>
    <x v="4"/>
    <x v="1"/>
    <n v="0"/>
    <n v="0"/>
    <n v="0"/>
  </r>
  <r>
    <x v="10"/>
    <x v="33"/>
    <x v="17"/>
    <x v="2"/>
    <x v="0"/>
    <x v="21"/>
    <x v="2"/>
    <x v="22"/>
    <x v="1"/>
    <n v="0"/>
    <n v="0"/>
    <n v="0"/>
  </r>
  <r>
    <x v="9"/>
    <x v="34"/>
    <x v="17"/>
    <x v="17"/>
    <x v="0"/>
    <x v="21"/>
    <x v="2"/>
    <x v="23"/>
    <x v="0"/>
    <n v="1"/>
    <n v="1"/>
    <n v="1"/>
  </r>
  <r>
    <x v="7"/>
    <x v="35"/>
    <x v="22"/>
    <x v="18"/>
    <x v="0"/>
    <x v="10"/>
    <x v="2"/>
    <x v="14"/>
    <x v="0"/>
    <n v="1"/>
    <n v="0"/>
    <n v="0"/>
  </r>
  <r>
    <x v="3"/>
    <x v="36"/>
    <x v="0"/>
    <x v="7"/>
    <x v="18"/>
    <x v="15"/>
    <x v="2"/>
    <x v="24"/>
    <x v="0"/>
    <n v="1"/>
    <n v="1"/>
    <n v="1"/>
  </r>
  <r>
    <x v="5"/>
    <x v="37"/>
    <x v="2"/>
    <x v="19"/>
    <x v="19"/>
    <x v="0"/>
    <x v="2"/>
    <x v="6"/>
    <x v="1"/>
    <n v="0"/>
    <n v="0"/>
    <n v="0"/>
  </r>
  <r>
    <x v="8"/>
    <x v="38"/>
    <x v="12"/>
    <x v="2"/>
    <x v="0"/>
    <x v="13"/>
    <x v="2"/>
    <x v="25"/>
    <x v="1"/>
    <n v="0"/>
    <n v="0"/>
    <n v="0"/>
  </r>
  <r>
    <x v="8"/>
    <x v="39"/>
    <x v="9"/>
    <x v="20"/>
    <x v="0"/>
    <x v="2"/>
    <x v="2"/>
    <x v="26"/>
    <x v="1"/>
    <n v="0"/>
    <n v="0"/>
    <n v="0"/>
  </r>
  <r>
    <x v="9"/>
    <x v="40"/>
    <x v="23"/>
    <x v="21"/>
    <x v="20"/>
    <x v="22"/>
    <x v="2"/>
    <x v="9"/>
    <x v="0"/>
    <n v="1"/>
    <n v="1"/>
    <n v="1"/>
  </r>
  <r>
    <x v="8"/>
    <x v="41"/>
    <x v="2"/>
    <x v="2"/>
    <x v="0"/>
    <x v="1"/>
    <x v="2"/>
    <x v="27"/>
    <x v="1"/>
    <n v="0"/>
    <n v="0"/>
    <n v="0"/>
  </r>
  <r>
    <x v="3"/>
    <x v="37"/>
    <x v="1"/>
    <x v="22"/>
    <x v="0"/>
    <x v="23"/>
    <x v="2"/>
    <x v="28"/>
    <x v="0"/>
    <n v="1"/>
    <n v="1"/>
    <n v="1"/>
  </r>
  <r>
    <x v="1"/>
    <x v="42"/>
    <x v="24"/>
    <x v="2"/>
    <x v="0"/>
    <x v="8"/>
    <x v="2"/>
    <x v="7"/>
    <x v="1"/>
    <n v="0"/>
    <n v="0"/>
    <n v="0"/>
  </r>
  <r>
    <x v="7"/>
    <x v="43"/>
    <x v="7"/>
    <x v="23"/>
    <x v="0"/>
    <x v="3"/>
    <x v="2"/>
    <x v="17"/>
    <x v="1"/>
    <n v="0"/>
    <n v="0"/>
    <n v="0"/>
  </r>
  <r>
    <x v="8"/>
    <x v="18"/>
    <x v="1"/>
    <x v="4"/>
    <x v="0"/>
    <x v="12"/>
    <x v="2"/>
    <x v="1"/>
    <x v="0"/>
    <n v="1"/>
    <n v="1"/>
    <n v="1"/>
  </r>
  <r>
    <x v="8"/>
    <x v="44"/>
    <x v="6"/>
    <x v="2"/>
    <x v="0"/>
    <x v="9"/>
    <x v="2"/>
    <x v="29"/>
    <x v="1"/>
    <n v="0"/>
    <n v="0"/>
    <n v="0"/>
  </r>
  <r>
    <x v="1"/>
    <x v="18"/>
    <x v="10"/>
    <x v="15"/>
    <x v="21"/>
    <x v="24"/>
    <x v="2"/>
    <x v="17"/>
    <x v="1"/>
    <n v="0"/>
    <n v="0"/>
    <n v="0"/>
  </r>
  <r>
    <x v="1"/>
    <x v="45"/>
    <x v="5"/>
    <x v="13"/>
    <x v="22"/>
    <x v="20"/>
    <x v="2"/>
    <x v="6"/>
    <x v="1"/>
    <n v="0"/>
    <n v="0"/>
    <n v="0"/>
  </r>
  <r>
    <x v="4"/>
    <x v="30"/>
    <x v="1"/>
    <x v="2"/>
    <x v="23"/>
    <x v="20"/>
    <x v="2"/>
    <x v="5"/>
    <x v="1"/>
    <n v="0"/>
    <n v="0"/>
    <n v="0"/>
  </r>
  <r>
    <x v="2"/>
    <x v="46"/>
    <x v="15"/>
    <x v="24"/>
    <x v="24"/>
    <x v="0"/>
    <x v="2"/>
    <x v="30"/>
    <x v="0"/>
    <n v="1"/>
    <n v="1"/>
    <n v="1"/>
  </r>
  <r>
    <x v="8"/>
    <x v="47"/>
    <x v="1"/>
    <x v="18"/>
    <x v="25"/>
    <x v="7"/>
    <x v="2"/>
    <x v="31"/>
    <x v="1"/>
    <n v="0"/>
    <n v="0"/>
    <n v="0"/>
  </r>
  <r>
    <x v="1"/>
    <x v="48"/>
    <x v="5"/>
    <x v="25"/>
    <x v="0"/>
    <x v="2"/>
    <x v="2"/>
    <x v="3"/>
    <x v="1"/>
    <n v="0"/>
    <n v="0"/>
    <n v="0"/>
  </r>
  <r>
    <x v="8"/>
    <x v="49"/>
    <x v="22"/>
    <x v="22"/>
    <x v="26"/>
    <x v="10"/>
    <x v="2"/>
    <x v="15"/>
    <x v="0"/>
    <n v="1"/>
    <n v="1"/>
    <n v="1"/>
  </r>
  <r>
    <x v="3"/>
    <x v="15"/>
    <x v="14"/>
    <x v="26"/>
    <x v="14"/>
    <x v="25"/>
    <x v="2"/>
    <x v="1"/>
    <x v="1"/>
    <n v="0"/>
    <n v="0"/>
    <n v="0"/>
  </r>
  <r>
    <x v="3"/>
    <x v="42"/>
    <x v="18"/>
    <x v="2"/>
    <x v="0"/>
    <x v="13"/>
    <x v="2"/>
    <x v="32"/>
    <x v="1"/>
    <n v="0"/>
    <n v="0"/>
    <n v="0"/>
  </r>
  <r>
    <x v="3"/>
    <x v="44"/>
    <x v="2"/>
    <x v="10"/>
    <x v="27"/>
    <x v="23"/>
    <x v="2"/>
    <x v="17"/>
    <x v="1"/>
    <n v="0"/>
    <n v="0"/>
    <n v="0"/>
  </r>
  <r>
    <x v="7"/>
    <x v="50"/>
    <x v="6"/>
    <x v="2"/>
    <x v="0"/>
    <x v="9"/>
    <x v="2"/>
    <x v="3"/>
    <x v="1"/>
    <n v="0"/>
    <n v="0"/>
    <n v="0"/>
  </r>
  <r>
    <x v="2"/>
    <x v="38"/>
    <x v="0"/>
    <x v="2"/>
    <x v="0"/>
    <x v="21"/>
    <x v="2"/>
    <x v="33"/>
    <x v="0"/>
    <n v="1"/>
    <n v="1"/>
    <n v="1"/>
  </r>
  <r>
    <x v="4"/>
    <x v="51"/>
    <x v="25"/>
    <x v="2"/>
    <x v="0"/>
    <x v="18"/>
    <x v="2"/>
    <x v="34"/>
    <x v="1"/>
    <n v="0"/>
    <n v="0"/>
    <n v="0"/>
  </r>
  <r>
    <x v="7"/>
    <x v="52"/>
    <x v="20"/>
    <x v="24"/>
    <x v="28"/>
    <x v="18"/>
    <x v="2"/>
    <x v="29"/>
    <x v="1"/>
    <n v="0"/>
    <n v="0"/>
    <n v="0"/>
  </r>
  <r>
    <x v="8"/>
    <x v="53"/>
    <x v="1"/>
    <x v="2"/>
    <x v="0"/>
    <x v="21"/>
    <x v="2"/>
    <x v="31"/>
    <x v="0"/>
    <n v="1"/>
    <n v="1"/>
    <n v="1"/>
  </r>
  <r>
    <x v="4"/>
    <x v="20"/>
    <x v="4"/>
    <x v="23"/>
    <x v="0"/>
    <x v="14"/>
    <x v="2"/>
    <x v="2"/>
    <x v="1"/>
    <n v="0"/>
    <n v="0"/>
    <n v="0"/>
  </r>
  <r>
    <x v="3"/>
    <x v="28"/>
    <x v="14"/>
    <x v="9"/>
    <x v="0"/>
    <x v="9"/>
    <x v="2"/>
    <x v="18"/>
    <x v="0"/>
    <n v="1"/>
    <n v="1"/>
    <n v="1"/>
  </r>
  <r>
    <x v="7"/>
    <x v="28"/>
    <x v="9"/>
    <x v="2"/>
    <x v="0"/>
    <x v="4"/>
    <x v="2"/>
    <x v="9"/>
    <x v="1"/>
    <n v="0"/>
    <n v="0"/>
    <n v="0"/>
  </r>
  <r>
    <x v="1"/>
    <x v="54"/>
    <x v="1"/>
    <x v="27"/>
    <x v="29"/>
    <x v="19"/>
    <x v="2"/>
    <x v="28"/>
    <x v="1"/>
    <n v="0"/>
    <n v="0"/>
    <n v="0"/>
  </r>
  <r>
    <x v="3"/>
    <x v="42"/>
    <x v="26"/>
    <x v="23"/>
    <x v="30"/>
    <x v="14"/>
    <x v="2"/>
    <x v="14"/>
    <x v="1"/>
    <n v="0"/>
    <n v="0"/>
    <n v="0"/>
  </r>
  <r>
    <x v="7"/>
    <x v="15"/>
    <x v="1"/>
    <x v="28"/>
    <x v="31"/>
    <x v="21"/>
    <x v="2"/>
    <x v="20"/>
    <x v="0"/>
    <n v="1"/>
    <n v="1"/>
    <n v="1"/>
  </r>
  <r>
    <x v="4"/>
    <x v="12"/>
    <x v="2"/>
    <x v="0"/>
    <x v="13"/>
    <x v="14"/>
    <x v="2"/>
    <x v="6"/>
    <x v="1"/>
    <n v="0"/>
    <n v="0"/>
    <n v="0"/>
  </r>
  <r>
    <x v="11"/>
    <x v="19"/>
    <x v="15"/>
    <x v="2"/>
    <x v="0"/>
    <x v="4"/>
    <x v="2"/>
    <x v="31"/>
    <x v="0"/>
    <n v="1"/>
    <n v="1"/>
    <n v="1"/>
  </r>
  <r>
    <x v="3"/>
    <x v="55"/>
    <x v="27"/>
    <x v="28"/>
    <x v="32"/>
    <x v="7"/>
    <x v="2"/>
    <x v="35"/>
    <x v="1"/>
    <n v="0"/>
    <n v="0"/>
    <n v="0"/>
  </r>
  <r>
    <x v="1"/>
    <x v="56"/>
    <x v="19"/>
    <x v="9"/>
    <x v="0"/>
    <x v="9"/>
    <x v="2"/>
    <x v="17"/>
    <x v="1"/>
    <n v="0"/>
    <n v="0"/>
    <n v="0"/>
  </r>
  <r>
    <x v="1"/>
    <x v="57"/>
    <x v="28"/>
    <x v="28"/>
    <x v="0"/>
    <x v="18"/>
    <x v="2"/>
    <x v="17"/>
    <x v="1"/>
    <n v="0"/>
    <n v="0"/>
    <n v="0"/>
  </r>
  <r>
    <x v="8"/>
    <x v="58"/>
    <x v="21"/>
    <x v="2"/>
    <x v="0"/>
    <x v="21"/>
    <x v="2"/>
    <x v="15"/>
    <x v="1"/>
    <n v="0"/>
    <n v="0"/>
    <n v="0"/>
  </r>
  <r>
    <x v="4"/>
    <x v="54"/>
    <x v="0"/>
    <x v="11"/>
    <x v="0"/>
    <x v="10"/>
    <x v="2"/>
    <x v="14"/>
    <x v="1"/>
    <n v="0"/>
    <n v="0"/>
    <n v="0"/>
  </r>
  <r>
    <x v="3"/>
    <x v="59"/>
    <x v="6"/>
    <x v="2"/>
    <x v="0"/>
    <x v="4"/>
    <x v="2"/>
    <x v="6"/>
    <x v="0"/>
    <n v="1"/>
    <n v="1"/>
    <n v="1"/>
  </r>
  <r>
    <x v="7"/>
    <x v="60"/>
    <x v="1"/>
    <x v="29"/>
    <x v="0"/>
    <x v="18"/>
    <x v="2"/>
    <x v="29"/>
    <x v="1"/>
    <n v="0"/>
    <n v="0"/>
    <n v="0"/>
  </r>
  <r>
    <x v="5"/>
    <x v="61"/>
    <x v="29"/>
    <x v="27"/>
    <x v="0"/>
    <x v="16"/>
    <x v="2"/>
    <x v="17"/>
    <x v="1"/>
    <n v="0"/>
    <n v="0"/>
    <n v="0"/>
  </r>
  <r>
    <x v="7"/>
    <x v="62"/>
    <x v="6"/>
    <x v="2"/>
    <x v="0"/>
    <x v="9"/>
    <x v="2"/>
    <x v="17"/>
    <x v="1"/>
    <n v="0"/>
    <n v="0"/>
    <n v="0"/>
  </r>
  <r>
    <x v="8"/>
    <x v="63"/>
    <x v="21"/>
    <x v="12"/>
    <x v="33"/>
    <x v="14"/>
    <x v="2"/>
    <x v="34"/>
    <x v="1"/>
    <n v="0"/>
    <n v="0"/>
    <n v="0"/>
  </r>
  <r>
    <x v="3"/>
    <x v="45"/>
    <x v="30"/>
    <x v="30"/>
    <x v="0"/>
    <x v="18"/>
    <x v="2"/>
    <x v="17"/>
    <x v="1"/>
    <n v="0"/>
    <n v="0"/>
    <n v="0"/>
  </r>
  <r>
    <x v="4"/>
    <x v="4"/>
    <x v="31"/>
    <x v="2"/>
    <x v="0"/>
    <x v="26"/>
    <x v="2"/>
    <x v="25"/>
    <x v="0"/>
    <n v="1"/>
    <n v="1"/>
    <n v="1"/>
  </r>
  <r>
    <x v="7"/>
    <x v="10"/>
    <x v="4"/>
    <x v="1"/>
    <x v="34"/>
    <x v="9"/>
    <x v="2"/>
    <x v="14"/>
    <x v="1"/>
    <n v="0"/>
    <n v="0"/>
    <n v="0"/>
  </r>
  <r>
    <x v="11"/>
    <x v="39"/>
    <x v="0"/>
    <x v="31"/>
    <x v="0"/>
    <x v="15"/>
    <x v="2"/>
    <x v="21"/>
    <x v="1"/>
    <n v="0"/>
    <n v="0"/>
    <n v="0"/>
  </r>
  <r>
    <x v="7"/>
    <x v="15"/>
    <x v="22"/>
    <x v="19"/>
    <x v="33"/>
    <x v="10"/>
    <x v="2"/>
    <x v="6"/>
    <x v="1"/>
    <n v="0"/>
    <n v="0"/>
    <n v="0"/>
  </r>
  <r>
    <x v="12"/>
    <x v="64"/>
    <x v="7"/>
    <x v="4"/>
    <x v="14"/>
    <x v="15"/>
    <x v="2"/>
    <x v="16"/>
    <x v="0"/>
    <n v="1"/>
    <n v="1"/>
    <n v="1"/>
  </r>
  <r>
    <x v="1"/>
    <x v="17"/>
    <x v="22"/>
    <x v="6"/>
    <x v="0"/>
    <x v="5"/>
    <x v="2"/>
    <x v="29"/>
    <x v="1"/>
    <n v="0"/>
    <n v="0"/>
    <n v="0"/>
  </r>
  <r>
    <x v="1"/>
    <x v="65"/>
    <x v="32"/>
    <x v="2"/>
    <x v="0"/>
    <x v="24"/>
    <x v="2"/>
    <x v="3"/>
    <x v="1"/>
    <n v="0"/>
    <n v="0"/>
    <n v="0"/>
  </r>
  <r>
    <x v="3"/>
    <x v="66"/>
    <x v="10"/>
    <x v="13"/>
    <x v="35"/>
    <x v="9"/>
    <x v="2"/>
    <x v="10"/>
    <x v="1"/>
    <n v="0"/>
    <n v="0"/>
    <n v="0"/>
  </r>
  <r>
    <x v="8"/>
    <x v="67"/>
    <x v="21"/>
    <x v="32"/>
    <x v="36"/>
    <x v="25"/>
    <x v="2"/>
    <x v="31"/>
    <x v="1"/>
    <n v="0"/>
    <n v="0"/>
    <n v="0"/>
  </r>
  <r>
    <x v="3"/>
    <x v="68"/>
    <x v="0"/>
    <x v="2"/>
    <x v="0"/>
    <x v="20"/>
    <x v="2"/>
    <x v="19"/>
    <x v="0"/>
    <n v="1"/>
    <n v="1"/>
    <n v="1"/>
  </r>
  <r>
    <x v="7"/>
    <x v="69"/>
    <x v="18"/>
    <x v="20"/>
    <x v="37"/>
    <x v="18"/>
    <x v="2"/>
    <x v="3"/>
    <x v="1"/>
    <n v="0"/>
    <n v="0"/>
    <n v="0"/>
  </r>
  <r>
    <x v="0"/>
    <x v="70"/>
    <x v="0"/>
    <x v="23"/>
    <x v="38"/>
    <x v="0"/>
    <x v="2"/>
    <x v="27"/>
    <x v="1"/>
    <n v="0"/>
    <n v="0"/>
    <n v="0"/>
  </r>
  <r>
    <x v="7"/>
    <x v="31"/>
    <x v="25"/>
    <x v="30"/>
    <x v="0"/>
    <x v="9"/>
    <x v="2"/>
    <x v="29"/>
    <x v="1"/>
    <n v="0"/>
    <n v="0"/>
    <n v="0"/>
  </r>
  <r>
    <x v="1"/>
    <x v="43"/>
    <x v="28"/>
    <x v="20"/>
    <x v="39"/>
    <x v="19"/>
    <x v="2"/>
    <x v="17"/>
    <x v="1"/>
    <n v="0"/>
    <n v="0"/>
    <n v="0"/>
  </r>
  <r>
    <x v="0"/>
    <x v="71"/>
    <x v="5"/>
    <x v="9"/>
    <x v="37"/>
    <x v="14"/>
    <x v="2"/>
    <x v="35"/>
    <x v="1"/>
    <n v="0"/>
    <n v="0"/>
    <n v="0"/>
  </r>
  <r>
    <x v="1"/>
    <x v="32"/>
    <x v="15"/>
    <x v="33"/>
    <x v="40"/>
    <x v="27"/>
    <x v="2"/>
    <x v="1"/>
    <x v="0"/>
    <n v="1"/>
    <n v="1"/>
    <n v="1"/>
  </r>
  <r>
    <x v="1"/>
    <x v="72"/>
    <x v="0"/>
    <x v="2"/>
    <x v="0"/>
    <x v="12"/>
    <x v="2"/>
    <x v="4"/>
    <x v="0"/>
    <n v="1"/>
    <n v="1"/>
    <n v="1"/>
  </r>
  <r>
    <x v="1"/>
    <x v="73"/>
    <x v="11"/>
    <x v="2"/>
    <x v="0"/>
    <x v="5"/>
    <x v="2"/>
    <x v="17"/>
    <x v="1"/>
    <n v="0"/>
    <n v="0"/>
    <n v="0"/>
  </r>
  <r>
    <x v="3"/>
    <x v="9"/>
    <x v="8"/>
    <x v="2"/>
    <x v="0"/>
    <x v="16"/>
    <x v="2"/>
    <x v="3"/>
    <x v="1"/>
    <n v="0"/>
    <n v="0"/>
    <n v="0"/>
  </r>
  <r>
    <x v="1"/>
    <x v="67"/>
    <x v="0"/>
    <x v="20"/>
    <x v="41"/>
    <x v="1"/>
    <x v="2"/>
    <x v="29"/>
    <x v="1"/>
    <n v="0"/>
    <n v="0"/>
    <n v="0"/>
  </r>
  <r>
    <x v="7"/>
    <x v="1"/>
    <x v="30"/>
    <x v="2"/>
    <x v="0"/>
    <x v="13"/>
    <x v="2"/>
    <x v="14"/>
    <x v="1"/>
    <n v="0"/>
    <n v="0"/>
    <n v="0"/>
  </r>
  <r>
    <x v="1"/>
    <x v="19"/>
    <x v="24"/>
    <x v="1"/>
    <x v="42"/>
    <x v="14"/>
    <x v="2"/>
    <x v="3"/>
    <x v="1"/>
    <n v="0"/>
    <n v="0"/>
    <n v="0"/>
  </r>
  <r>
    <x v="1"/>
    <x v="74"/>
    <x v="33"/>
    <x v="2"/>
    <x v="0"/>
    <x v="16"/>
    <x v="2"/>
    <x v="14"/>
    <x v="1"/>
    <n v="0"/>
    <n v="0"/>
    <n v="0"/>
  </r>
  <r>
    <x v="3"/>
    <x v="70"/>
    <x v="20"/>
    <x v="30"/>
    <x v="13"/>
    <x v="8"/>
    <x v="2"/>
    <x v="25"/>
    <x v="1"/>
    <n v="0"/>
    <n v="0"/>
    <n v="0"/>
  </r>
  <r>
    <x v="5"/>
    <x v="63"/>
    <x v="20"/>
    <x v="16"/>
    <x v="43"/>
    <x v="0"/>
    <x v="2"/>
    <x v="28"/>
    <x v="1"/>
    <n v="0"/>
    <n v="0"/>
    <n v="0"/>
  </r>
  <r>
    <x v="3"/>
    <x v="54"/>
    <x v="26"/>
    <x v="19"/>
    <x v="22"/>
    <x v="15"/>
    <x v="2"/>
    <x v="29"/>
    <x v="0"/>
    <n v="1"/>
    <n v="0"/>
    <n v="0"/>
  </r>
  <r>
    <x v="5"/>
    <x v="40"/>
    <x v="0"/>
    <x v="11"/>
    <x v="44"/>
    <x v="21"/>
    <x v="2"/>
    <x v="29"/>
    <x v="0"/>
    <n v="1"/>
    <n v="1"/>
    <n v="1"/>
  </r>
  <r>
    <x v="2"/>
    <x v="75"/>
    <x v="25"/>
    <x v="12"/>
    <x v="45"/>
    <x v="0"/>
    <x v="2"/>
    <x v="23"/>
    <x v="0"/>
    <n v="1"/>
    <n v="1"/>
    <n v="1"/>
  </r>
  <r>
    <x v="1"/>
    <x v="3"/>
    <x v="17"/>
    <x v="24"/>
    <x v="46"/>
    <x v="6"/>
    <x v="2"/>
    <x v="35"/>
    <x v="1"/>
    <n v="0"/>
    <n v="0"/>
    <n v="0"/>
  </r>
  <r>
    <x v="3"/>
    <x v="76"/>
    <x v="25"/>
    <x v="2"/>
    <x v="0"/>
    <x v="0"/>
    <x v="2"/>
    <x v="28"/>
    <x v="1"/>
    <n v="0"/>
    <n v="0"/>
    <n v="0"/>
  </r>
  <r>
    <x v="8"/>
    <x v="77"/>
    <x v="34"/>
    <x v="4"/>
    <x v="6"/>
    <x v="8"/>
    <x v="2"/>
    <x v="33"/>
    <x v="0"/>
    <n v="1"/>
    <n v="1"/>
    <n v="1"/>
  </r>
  <r>
    <x v="3"/>
    <x v="42"/>
    <x v="9"/>
    <x v="2"/>
    <x v="0"/>
    <x v="6"/>
    <x v="2"/>
    <x v="36"/>
    <x v="0"/>
    <n v="1"/>
    <n v="1"/>
    <n v="1"/>
  </r>
  <r>
    <x v="4"/>
    <x v="78"/>
    <x v="4"/>
    <x v="2"/>
    <x v="0"/>
    <x v="0"/>
    <x v="2"/>
    <x v="18"/>
    <x v="0"/>
    <n v="1"/>
    <n v="1"/>
    <n v="1"/>
  </r>
  <r>
    <x v="4"/>
    <x v="6"/>
    <x v="28"/>
    <x v="2"/>
    <x v="0"/>
    <x v="0"/>
    <x v="2"/>
    <x v="28"/>
    <x v="1"/>
    <n v="0"/>
    <n v="0"/>
    <n v="0"/>
  </r>
  <r>
    <x v="3"/>
    <x v="25"/>
    <x v="11"/>
    <x v="3"/>
    <x v="0"/>
    <x v="3"/>
    <x v="2"/>
    <x v="17"/>
    <x v="1"/>
    <n v="0"/>
    <n v="0"/>
    <n v="0"/>
  </r>
  <r>
    <x v="3"/>
    <x v="20"/>
    <x v="17"/>
    <x v="13"/>
    <x v="47"/>
    <x v="2"/>
    <x v="2"/>
    <x v="3"/>
    <x v="1"/>
    <n v="0"/>
    <n v="0"/>
    <n v="0"/>
  </r>
  <r>
    <x v="3"/>
    <x v="79"/>
    <x v="17"/>
    <x v="34"/>
    <x v="30"/>
    <x v="28"/>
    <x v="2"/>
    <x v="28"/>
    <x v="0"/>
    <n v="1"/>
    <n v="1"/>
    <n v="1"/>
  </r>
  <r>
    <x v="0"/>
    <x v="36"/>
    <x v="2"/>
    <x v="22"/>
    <x v="0"/>
    <x v="0"/>
    <x v="2"/>
    <x v="29"/>
    <x v="1"/>
    <n v="0"/>
    <n v="0"/>
    <n v="0"/>
  </r>
  <r>
    <x v="7"/>
    <x v="17"/>
    <x v="4"/>
    <x v="9"/>
    <x v="30"/>
    <x v="0"/>
    <x v="2"/>
    <x v="35"/>
    <x v="1"/>
    <n v="0"/>
    <n v="0"/>
    <n v="0"/>
  </r>
  <r>
    <x v="4"/>
    <x v="80"/>
    <x v="10"/>
    <x v="2"/>
    <x v="0"/>
    <x v="1"/>
    <x v="2"/>
    <x v="37"/>
    <x v="1"/>
    <n v="0"/>
    <n v="0"/>
    <n v="0"/>
  </r>
  <r>
    <x v="3"/>
    <x v="61"/>
    <x v="17"/>
    <x v="2"/>
    <x v="0"/>
    <x v="21"/>
    <x v="2"/>
    <x v="35"/>
    <x v="0"/>
    <n v="1"/>
    <n v="1"/>
    <n v="1"/>
  </r>
  <r>
    <x v="1"/>
    <x v="30"/>
    <x v="13"/>
    <x v="18"/>
    <x v="48"/>
    <x v="29"/>
    <x v="2"/>
    <x v="6"/>
    <x v="0"/>
    <n v="1"/>
    <n v="0"/>
    <n v="0"/>
  </r>
  <r>
    <x v="5"/>
    <x v="81"/>
    <x v="7"/>
    <x v="9"/>
    <x v="44"/>
    <x v="4"/>
    <x v="2"/>
    <x v="5"/>
    <x v="1"/>
    <n v="0"/>
    <n v="0"/>
    <n v="0"/>
  </r>
  <r>
    <x v="1"/>
    <x v="16"/>
    <x v="20"/>
    <x v="14"/>
    <x v="1"/>
    <x v="21"/>
    <x v="2"/>
    <x v="35"/>
    <x v="1"/>
    <n v="0"/>
    <n v="0"/>
    <n v="0"/>
  </r>
  <r>
    <x v="1"/>
    <x v="27"/>
    <x v="14"/>
    <x v="21"/>
    <x v="49"/>
    <x v="0"/>
    <x v="2"/>
    <x v="27"/>
    <x v="0"/>
    <n v="1"/>
    <n v="1"/>
    <n v="1"/>
  </r>
  <r>
    <x v="3"/>
    <x v="44"/>
    <x v="12"/>
    <x v="2"/>
    <x v="0"/>
    <x v="3"/>
    <x v="2"/>
    <x v="38"/>
    <x v="0"/>
    <n v="1"/>
    <n v="1"/>
    <n v="1"/>
  </r>
  <r>
    <x v="3"/>
    <x v="82"/>
    <x v="7"/>
    <x v="35"/>
    <x v="2"/>
    <x v="8"/>
    <x v="2"/>
    <x v="4"/>
    <x v="0"/>
    <n v="1"/>
    <n v="1"/>
    <n v="1"/>
  </r>
  <r>
    <x v="9"/>
    <x v="32"/>
    <x v="24"/>
    <x v="2"/>
    <x v="0"/>
    <x v="21"/>
    <x v="2"/>
    <x v="4"/>
    <x v="0"/>
    <n v="1"/>
    <n v="1"/>
    <n v="1"/>
  </r>
  <r>
    <x v="5"/>
    <x v="83"/>
    <x v="2"/>
    <x v="17"/>
    <x v="50"/>
    <x v="0"/>
    <x v="2"/>
    <x v="5"/>
    <x v="0"/>
    <n v="1"/>
    <n v="1"/>
    <n v="1"/>
  </r>
  <r>
    <x v="2"/>
    <x v="50"/>
    <x v="4"/>
    <x v="16"/>
    <x v="0"/>
    <x v="10"/>
    <x v="2"/>
    <x v="33"/>
    <x v="1"/>
    <n v="0"/>
    <n v="0"/>
    <n v="0"/>
  </r>
  <r>
    <x v="7"/>
    <x v="74"/>
    <x v="22"/>
    <x v="27"/>
    <x v="51"/>
    <x v="30"/>
    <x v="2"/>
    <x v="6"/>
    <x v="1"/>
    <n v="0"/>
    <n v="0"/>
    <n v="0"/>
  </r>
  <r>
    <x v="7"/>
    <x v="9"/>
    <x v="11"/>
    <x v="28"/>
    <x v="13"/>
    <x v="0"/>
    <x v="2"/>
    <x v="1"/>
    <x v="1"/>
    <n v="0"/>
    <n v="0"/>
    <n v="0"/>
  </r>
  <r>
    <x v="3"/>
    <x v="15"/>
    <x v="7"/>
    <x v="12"/>
    <x v="52"/>
    <x v="6"/>
    <x v="2"/>
    <x v="3"/>
    <x v="1"/>
    <n v="0"/>
    <n v="0"/>
    <n v="0"/>
  </r>
  <r>
    <x v="3"/>
    <x v="71"/>
    <x v="11"/>
    <x v="19"/>
    <x v="53"/>
    <x v="14"/>
    <x v="2"/>
    <x v="17"/>
    <x v="1"/>
    <n v="0"/>
    <n v="0"/>
    <n v="0"/>
  </r>
  <r>
    <x v="3"/>
    <x v="55"/>
    <x v="10"/>
    <x v="2"/>
    <x v="0"/>
    <x v="6"/>
    <x v="2"/>
    <x v="7"/>
    <x v="1"/>
    <n v="0"/>
    <n v="0"/>
    <n v="0"/>
  </r>
  <r>
    <x v="4"/>
    <x v="44"/>
    <x v="0"/>
    <x v="1"/>
    <x v="54"/>
    <x v="15"/>
    <x v="2"/>
    <x v="20"/>
    <x v="1"/>
    <n v="0"/>
    <n v="0"/>
    <n v="0"/>
  </r>
  <r>
    <x v="5"/>
    <x v="84"/>
    <x v="21"/>
    <x v="2"/>
    <x v="0"/>
    <x v="30"/>
    <x v="2"/>
    <x v="39"/>
    <x v="1"/>
    <n v="0"/>
    <n v="0"/>
    <n v="0"/>
  </r>
  <r>
    <x v="4"/>
    <x v="39"/>
    <x v="18"/>
    <x v="9"/>
    <x v="0"/>
    <x v="13"/>
    <x v="2"/>
    <x v="18"/>
    <x v="1"/>
    <n v="0"/>
    <n v="0"/>
    <n v="0"/>
  </r>
  <r>
    <x v="7"/>
    <x v="85"/>
    <x v="35"/>
    <x v="12"/>
    <x v="55"/>
    <x v="9"/>
    <x v="2"/>
    <x v="17"/>
    <x v="1"/>
    <n v="0"/>
    <n v="0"/>
    <n v="0"/>
  </r>
  <r>
    <x v="6"/>
    <x v="85"/>
    <x v="1"/>
    <x v="2"/>
    <x v="0"/>
    <x v="9"/>
    <x v="2"/>
    <x v="31"/>
    <x v="0"/>
    <n v="1"/>
    <n v="1"/>
    <n v="1"/>
  </r>
  <r>
    <x v="3"/>
    <x v="86"/>
    <x v="25"/>
    <x v="16"/>
    <x v="56"/>
    <x v="21"/>
    <x v="2"/>
    <x v="35"/>
    <x v="1"/>
    <n v="0"/>
    <n v="0"/>
    <n v="0"/>
  </r>
  <r>
    <x v="3"/>
    <x v="34"/>
    <x v="19"/>
    <x v="3"/>
    <x v="0"/>
    <x v="9"/>
    <x v="2"/>
    <x v="3"/>
    <x v="1"/>
    <n v="0"/>
    <n v="0"/>
    <n v="0"/>
  </r>
  <r>
    <x v="9"/>
    <x v="87"/>
    <x v="10"/>
    <x v="17"/>
    <x v="0"/>
    <x v="21"/>
    <x v="2"/>
    <x v="15"/>
    <x v="1"/>
    <n v="0"/>
    <n v="0"/>
    <n v="0"/>
  </r>
  <r>
    <x v="7"/>
    <x v="39"/>
    <x v="2"/>
    <x v="0"/>
    <x v="57"/>
    <x v="8"/>
    <x v="2"/>
    <x v="10"/>
    <x v="1"/>
    <n v="0"/>
    <n v="0"/>
    <n v="0"/>
  </r>
  <r>
    <x v="4"/>
    <x v="24"/>
    <x v="21"/>
    <x v="2"/>
    <x v="0"/>
    <x v="0"/>
    <x v="2"/>
    <x v="40"/>
    <x v="1"/>
    <n v="0"/>
    <n v="0"/>
    <n v="0"/>
  </r>
  <r>
    <x v="7"/>
    <x v="35"/>
    <x v="7"/>
    <x v="36"/>
    <x v="0"/>
    <x v="1"/>
    <x v="2"/>
    <x v="17"/>
    <x v="1"/>
    <n v="0"/>
    <n v="0"/>
    <n v="0"/>
  </r>
  <r>
    <x v="1"/>
    <x v="64"/>
    <x v="4"/>
    <x v="37"/>
    <x v="58"/>
    <x v="15"/>
    <x v="2"/>
    <x v="29"/>
    <x v="1"/>
    <n v="0"/>
    <n v="0"/>
    <n v="0"/>
  </r>
  <r>
    <x v="3"/>
    <x v="53"/>
    <x v="30"/>
    <x v="2"/>
    <x v="0"/>
    <x v="16"/>
    <x v="2"/>
    <x v="25"/>
    <x v="1"/>
    <n v="0"/>
    <n v="0"/>
    <n v="0"/>
  </r>
  <r>
    <x v="9"/>
    <x v="88"/>
    <x v="27"/>
    <x v="30"/>
    <x v="59"/>
    <x v="0"/>
    <x v="2"/>
    <x v="31"/>
    <x v="0"/>
    <n v="1"/>
    <n v="1"/>
    <n v="1"/>
  </r>
  <r>
    <x v="1"/>
    <x v="89"/>
    <x v="18"/>
    <x v="18"/>
    <x v="60"/>
    <x v="31"/>
    <x v="2"/>
    <x v="35"/>
    <x v="1"/>
    <n v="0"/>
    <n v="0"/>
    <n v="0"/>
  </r>
  <r>
    <x v="2"/>
    <x v="90"/>
    <x v="21"/>
    <x v="2"/>
    <x v="0"/>
    <x v="32"/>
    <x v="2"/>
    <x v="16"/>
    <x v="0"/>
    <n v="1"/>
    <n v="1"/>
    <n v="1"/>
  </r>
  <r>
    <x v="8"/>
    <x v="91"/>
    <x v="14"/>
    <x v="38"/>
    <x v="0"/>
    <x v="27"/>
    <x v="2"/>
    <x v="34"/>
    <x v="0"/>
    <n v="1"/>
    <n v="1"/>
    <n v="1"/>
  </r>
  <r>
    <x v="7"/>
    <x v="20"/>
    <x v="35"/>
    <x v="13"/>
    <x v="1"/>
    <x v="18"/>
    <x v="2"/>
    <x v="3"/>
    <x v="1"/>
    <n v="0"/>
    <n v="0"/>
    <n v="0"/>
  </r>
  <r>
    <x v="1"/>
    <x v="28"/>
    <x v="24"/>
    <x v="2"/>
    <x v="44"/>
    <x v="18"/>
    <x v="2"/>
    <x v="35"/>
    <x v="1"/>
    <n v="0"/>
    <n v="0"/>
    <n v="0"/>
  </r>
  <r>
    <x v="7"/>
    <x v="30"/>
    <x v="4"/>
    <x v="6"/>
    <x v="61"/>
    <x v="14"/>
    <x v="2"/>
    <x v="17"/>
    <x v="1"/>
    <n v="0"/>
    <n v="0"/>
    <n v="0"/>
  </r>
  <r>
    <x v="13"/>
    <x v="72"/>
    <x v="0"/>
    <x v="10"/>
    <x v="62"/>
    <x v="31"/>
    <x v="2"/>
    <x v="41"/>
    <x v="0"/>
    <n v="1"/>
    <n v="1"/>
    <n v="1"/>
  </r>
  <r>
    <x v="3"/>
    <x v="73"/>
    <x v="15"/>
    <x v="8"/>
    <x v="0"/>
    <x v="8"/>
    <x v="2"/>
    <x v="34"/>
    <x v="1"/>
    <n v="0"/>
    <n v="0"/>
    <n v="0"/>
  </r>
  <r>
    <x v="8"/>
    <x v="34"/>
    <x v="4"/>
    <x v="32"/>
    <x v="63"/>
    <x v="15"/>
    <x v="2"/>
    <x v="21"/>
    <x v="1"/>
    <n v="0"/>
    <n v="0"/>
    <n v="0"/>
  </r>
  <r>
    <x v="3"/>
    <x v="53"/>
    <x v="10"/>
    <x v="24"/>
    <x v="64"/>
    <x v="33"/>
    <x v="2"/>
    <x v="14"/>
    <x v="1"/>
    <n v="0"/>
    <n v="0"/>
    <n v="0"/>
  </r>
  <r>
    <x v="7"/>
    <x v="15"/>
    <x v="2"/>
    <x v="3"/>
    <x v="0"/>
    <x v="8"/>
    <x v="2"/>
    <x v="3"/>
    <x v="1"/>
    <n v="0"/>
    <n v="0"/>
    <n v="0"/>
  </r>
  <r>
    <x v="3"/>
    <x v="59"/>
    <x v="14"/>
    <x v="2"/>
    <x v="0"/>
    <x v="9"/>
    <x v="2"/>
    <x v="2"/>
    <x v="0"/>
    <n v="1"/>
    <n v="1"/>
    <n v="1"/>
  </r>
  <r>
    <x v="0"/>
    <x v="92"/>
    <x v="4"/>
    <x v="20"/>
    <x v="65"/>
    <x v="8"/>
    <x v="2"/>
    <x v="15"/>
    <x v="0"/>
    <n v="1"/>
    <n v="1"/>
    <n v="1"/>
  </r>
  <r>
    <x v="5"/>
    <x v="0"/>
    <x v="1"/>
    <x v="19"/>
    <x v="0"/>
    <x v="9"/>
    <x v="2"/>
    <x v="17"/>
    <x v="1"/>
    <n v="0"/>
    <n v="0"/>
    <n v="0"/>
  </r>
  <r>
    <x v="3"/>
    <x v="81"/>
    <x v="22"/>
    <x v="2"/>
    <x v="0"/>
    <x v="8"/>
    <x v="2"/>
    <x v="10"/>
    <x v="1"/>
    <n v="0"/>
    <n v="0"/>
    <n v="0"/>
  </r>
  <r>
    <x v="3"/>
    <x v="10"/>
    <x v="1"/>
    <x v="2"/>
    <x v="0"/>
    <x v="9"/>
    <x v="2"/>
    <x v="7"/>
    <x v="1"/>
    <n v="0"/>
    <n v="0"/>
    <n v="0"/>
  </r>
  <r>
    <x v="5"/>
    <x v="36"/>
    <x v="15"/>
    <x v="39"/>
    <x v="66"/>
    <x v="3"/>
    <x v="2"/>
    <x v="7"/>
    <x v="1"/>
    <n v="0"/>
    <n v="0"/>
    <n v="0"/>
  </r>
  <r>
    <x v="0"/>
    <x v="34"/>
    <x v="18"/>
    <x v="2"/>
    <x v="0"/>
    <x v="6"/>
    <x v="2"/>
    <x v="34"/>
    <x v="0"/>
    <n v="1"/>
    <n v="1"/>
    <n v="1"/>
  </r>
  <r>
    <x v="0"/>
    <x v="68"/>
    <x v="7"/>
    <x v="3"/>
    <x v="67"/>
    <x v="7"/>
    <x v="2"/>
    <x v="7"/>
    <x v="0"/>
    <n v="1"/>
    <n v="1"/>
    <n v="1"/>
  </r>
  <r>
    <x v="7"/>
    <x v="93"/>
    <x v="6"/>
    <x v="3"/>
    <x v="0"/>
    <x v="14"/>
    <x v="2"/>
    <x v="28"/>
    <x v="1"/>
    <n v="0"/>
    <n v="0"/>
    <n v="0"/>
  </r>
  <r>
    <x v="1"/>
    <x v="56"/>
    <x v="11"/>
    <x v="18"/>
    <x v="36"/>
    <x v="33"/>
    <x v="2"/>
    <x v="35"/>
    <x v="1"/>
    <n v="0"/>
    <n v="0"/>
    <n v="0"/>
  </r>
  <r>
    <x v="7"/>
    <x v="94"/>
    <x v="2"/>
    <x v="21"/>
    <x v="68"/>
    <x v="8"/>
    <x v="2"/>
    <x v="4"/>
    <x v="1"/>
    <n v="0"/>
    <n v="0"/>
    <n v="0"/>
  </r>
  <r>
    <x v="2"/>
    <x v="95"/>
    <x v="0"/>
    <x v="18"/>
    <x v="67"/>
    <x v="21"/>
    <x v="2"/>
    <x v="34"/>
    <x v="0"/>
    <n v="1"/>
    <n v="1"/>
    <n v="1"/>
  </r>
  <r>
    <x v="0"/>
    <x v="1"/>
    <x v="21"/>
    <x v="2"/>
    <x v="0"/>
    <x v="6"/>
    <x v="2"/>
    <x v="31"/>
    <x v="1"/>
    <n v="0"/>
    <n v="0"/>
    <n v="0"/>
  </r>
  <r>
    <x v="3"/>
    <x v="55"/>
    <x v="23"/>
    <x v="40"/>
    <x v="67"/>
    <x v="34"/>
    <x v="2"/>
    <x v="6"/>
    <x v="0"/>
    <n v="1"/>
    <n v="1"/>
    <n v="1"/>
  </r>
  <r>
    <x v="4"/>
    <x v="23"/>
    <x v="21"/>
    <x v="2"/>
    <x v="0"/>
    <x v="22"/>
    <x v="2"/>
    <x v="41"/>
    <x v="1"/>
    <n v="0"/>
    <n v="0"/>
    <n v="0"/>
  </r>
  <r>
    <x v="4"/>
    <x v="96"/>
    <x v="18"/>
    <x v="2"/>
    <x v="0"/>
    <x v="12"/>
    <x v="2"/>
    <x v="25"/>
    <x v="0"/>
    <n v="1"/>
    <n v="1"/>
    <n v="1"/>
  </r>
  <r>
    <x v="0"/>
    <x v="93"/>
    <x v="10"/>
    <x v="2"/>
    <x v="0"/>
    <x v="2"/>
    <x v="2"/>
    <x v="2"/>
    <x v="1"/>
    <n v="0"/>
    <n v="0"/>
    <n v="0"/>
  </r>
  <r>
    <x v="3"/>
    <x v="22"/>
    <x v="2"/>
    <x v="20"/>
    <x v="53"/>
    <x v="7"/>
    <x v="2"/>
    <x v="35"/>
    <x v="1"/>
    <n v="0"/>
    <n v="0"/>
    <n v="0"/>
  </r>
  <r>
    <x v="1"/>
    <x v="57"/>
    <x v="4"/>
    <x v="28"/>
    <x v="23"/>
    <x v="3"/>
    <x v="2"/>
    <x v="3"/>
    <x v="1"/>
    <n v="0"/>
    <n v="0"/>
    <n v="0"/>
  </r>
  <r>
    <x v="4"/>
    <x v="48"/>
    <x v="11"/>
    <x v="2"/>
    <x v="0"/>
    <x v="1"/>
    <x v="2"/>
    <x v="14"/>
    <x v="1"/>
    <n v="0"/>
    <n v="0"/>
    <n v="0"/>
  </r>
  <r>
    <x v="3"/>
    <x v="52"/>
    <x v="4"/>
    <x v="2"/>
    <x v="0"/>
    <x v="3"/>
    <x v="2"/>
    <x v="27"/>
    <x v="1"/>
    <n v="0"/>
    <n v="0"/>
    <n v="0"/>
  </r>
  <r>
    <x v="8"/>
    <x v="97"/>
    <x v="22"/>
    <x v="30"/>
    <x v="0"/>
    <x v="17"/>
    <x v="2"/>
    <x v="15"/>
    <x v="0"/>
    <n v="1"/>
    <n v="1"/>
    <n v="1"/>
  </r>
  <r>
    <x v="2"/>
    <x v="98"/>
    <x v="22"/>
    <x v="14"/>
    <x v="45"/>
    <x v="8"/>
    <x v="2"/>
    <x v="19"/>
    <x v="0"/>
    <n v="1"/>
    <n v="1"/>
    <n v="1"/>
  </r>
  <r>
    <x v="1"/>
    <x v="84"/>
    <x v="36"/>
    <x v="10"/>
    <x v="69"/>
    <x v="9"/>
    <x v="2"/>
    <x v="4"/>
    <x v="0"/>
    <n v="1"/>
    <n v="1"/>
    <n v="1"/>
  </r>
  <r>
    <x v="2"/>
    <x v="28"/>
    <x v="17"/>
    <x v="22"/>
    <x v="62"/>
    <x v="3"/>
    <x v="2"/>
    <x v="1"/>
    <x v="0"/>
    <n v="1"/>
    <n v="1"/>
    <n v="1"/>
  </r>
  <r>
    <x v="4"/>
    <x v="12"/>
    <x v="10"/>
    <x v="0"/>
    <x v="70"/>
    <x v="9"/>
    <x v="2"/>
    <x v="28"/>
    <x v="0"/>
    <n v="1"/>
    <n v="1"/>
    <n v="1"/>
  </r>
  <r>
    <x v="5"/>
    <x v="36"/>
    <x v="25"/>
    <x v="2"/>
    <x v="0"/>
    <x v="2"/>
    <x v="2"/>
    <x v="3"/>
    <x v="1"/>
    <n v="0"/>
    <n v="0"/>
    <n v="0"/>
  </r>
  <r>
    <x v="9"/>
    <x v="66"/>
    <x v="7"/>
    <x v="38"/>
    <x v="1"/>
    <x v="21"/>
    <x v="2"/>
    <x v="27"/>
    <x v="1"/>
    <n v="0"/>
    <n v="0"/>
    <n v="0"/>
  </r>
  <r>
    <x v="8"/>
    <x v="41"/>
    <x v="1"/>
    <x v="2"/>
    <x v="0"/>
    <x v="8"/>
    <x v="2"/>
    <x v="34"/>
    <x v="0"/>
    <n v="1"/>
    <n v="1"/>
    <n v="1"/>
  </r>
  <r>
    <x v="10"/>
    <x v="99"/>
    <x v="6"/>
    <x v="2"/>
    <x v="0"/>
    <x v="35"/>
    <x v="2"/>
    <x v="27"/>
    <x v="0"/>
    <n v="1"/>
    <n v="1"/>
    <n v="1"/>
  </r>
  <r>
    <x v="2"/>
    <x v="1"/>
    <x v="32"/>
    <x v="28"/>
    <x v="0"/>
    <x v="20"/>
    <x v="2"/>
    <x v="31"/>
    <x v="1"/>
    <n v="0"/>
    <n v="0"/>
    <n v="0"/>
  </r>
  <r>
    <x v="4"/>
    <x v="29"/>
    <x v="12"/>
    <x v="10"/>
    <x v="71"/>
    <x v="12"/>
    <x v="2"/>
    <x v="7"/>
    <x v="0"/>
    <n v="1"/>
    <n v="1"/>
    <n v="1"/>
  </r>
  <r>
    <x v="1"/>
    <x v="44"/>
    <x v="20"/>
    <x v="2"/>
    <x v="0"/>
    <x v="20"/>
    <x v="2"/>
    <x v="3"/>
    <x v="1"/>
    <n v="0"/>
    <n v="0"/>
    <n v="0"/>
  </r>
  <r>
    <x v="5"/>
    <x v="17"/>
    <x v="25"/>
    <x v="27"/>
    <x v="36"/>
    <x v="2"/>
    <x v="2"/>
    <x v="35"/>
    <x v="0"/>
    <n v="1"/>
    <n v="1"/>
    <n v="1"/>
  </r>
  <r>
    <x v="3"/>
    <x v="28"/>
    <x v="2"/>
    <x v="38"/>
    <x v="48"/>
    <x v="7"/>
    <x v="2"/>
    <x v="6"/>
    <x v="0"/>
    <n v="1"/>
    <n v="1"/>
    <n v="1"/>
  </r>
  <r>
    <x v="3"/>
    <x v="0"/>
    <x v="11"/>
    <x v="23"/>
    <x v="72"/>
    <x v="6"/>
    <x v="2"/>
    <x v="7"/>
    <x v="0"/>
    <n v="1"/>
    <n v="1"/>
    <n v="1"/>
  </r>
  <r>
    <x v="3"/>
    <x v="61"/>
    <x v="10"/>
    <x v="41"/>
    <x v="0"/>
    <x v="6"/>
    <x v="2"/>
    <x v="3"/>
    <x v="1"/>
    <n v="0"/>
    <n v="0"/>
    <n v="0"/>
  </r>
  <r>
    <x v="1"/>
    <x v="33"/>
    <x v="18"/>
    <x v="2"/>
    <x v="0"/>
    <x v="13"/>
    <x v="2"/>
    <x v="20"/>
    <x v="1"/>
    <n v="0"/>
    <n v="0"/>
    <n v="0"/>
  </r>
  <r>
    <x v="3"/>
    <x v="85"/>
    <x v="22"/>
    <x v="28"/>
    <x v="0"/>
    <x v="1"/>
    <x v="2"/>
    <x v="2"/>
    <x v="1"/>
    <n v="0"/>
    <n v="0"/>
    <n v="0"/>
  </r>
  <r>
    <x v="7"/>
    <x v="20"/>
    <x v="7"/>
    <x v="41"/>
    <x v="73"/>
    <x v="19"/>
    <x v="2"/>
    <x v="14"/>
    <x v="1"/>
    <n v="0"/>
    <n v="0"/>
    <n v="0"/>
  </r>
  <r>
    <x v="0"/>
    <x v="18"/>
    <x v="0"/>
    <x v="4"/>
    <x v="74"/>
    <x v="10"/>
    <x v="2"/>
    <x v="39"/>
    <x v="1"/>
    <n v="0"/>
    <n v="0"/>
    <n v="0"/>
  </r>
  <r>
    <x v="4"/>
    <x v="36"/>
    <x v="0"/>
    <x v="30"/>
    <x v="0"/>
    <x v="20"/>
    <x v="2"/>
    <x v="14"/>
    <x v="1"/>
    <n v="0"/>
    <n v="0"/>
    <n v="0"/>
  </r>
  <r>
    <x v="2"/>
    <x v="21"/>
    <x v="17"/>
    <x v="1"/>
    <x v="75"/>
    <x v="10"/>
    <x v="2"/>
    <x v="11"/>
    <x v="0"/>
    <n v="1"/>
    <n v="1"/>
    <n v="1"/>
  </r>
  <r>
    <x v="4"/>
    <x v="79"/>
    <x v="37"/>
    <x v="2"/>
    <x v="0"/>
    <x v="10"/>
    <x v="2"/>
    <x v="42"/>
    <x v="0"/>
    <n v="1"/>
    <n v="1"/>
    <n v="1"/>
  </r>
  <r>
    <x v="1"/>
    <x v="74"/>
    <x v="2"/>
    <x v="23"/>
    <x v="76"/>
    <x v="21"/>
    <x v="2"/>
    <x v="3"/>
    <x v="1"/>
    <n v="0"/>
    <n v="0"/>
    <n v="0"/>
  </r>
  <r>
    <x v="8"/>
    <x v="100"/>
    <x v="12"/>
    <x v="11"/>
    <x v="0"/>
    <x v="17"/>
    <x v="2"/>
    <x v="15"/>
    <x v="0"/>
    <n v="1"/>
    <n v="1"/>
    <n v="1"/>
  </r>
  <r>
    <x v="7"/>
    <x v="67"/>
    <x v="11"/>
    <x v="29"/>
    <x v="0"/>
    <x v="3"/>
    <x v="2"/>
    <x v="28"/>
    <x v="1"/>
    <n v="0"/>
    <n v="0"/>
    <n v="0"/>
  </r>
  <r>
    <x v="3"/>
    <x v="24"/>
    <x v="26"/>
    <x v="31"/>
    <x v="0"/>
    <x v="4"/>
    <x v="2"/>
    <x v="29"/>
    <x v="1"/>
    <n v="0"/>
    <n v="0"/>
    <n v="0"/>
  </r>
  <r>
    <x v="8"/>
    <x v="95"/>
    <x v="38"/>
    <x v="16"/>
    <x v="0"/>
    <x v="0"/>
    <x v="2"/>
    <x v="19"/>
    <x v="1"/>
    <n v="0"/>
    <n v="0"/>
    <n v="0"/>
  </r>
  <r>
    <x v="3"/>
    <x v="101"/>
    <x v="30"/>
    <x v="12"/>
    <x v="67"/>
    <x v="4"/>
    <x v="2"/>
    <x v="29"/>
    <x v="0"/>
    <n v="1"/>
    <n v="1"/>
    <n v="1"/>
  </r>
  <r>
    <x v="9"/>
    <x v="60"/>
    <x v="18"/>
    <x v="4"/>
    <x v="6"/>
    <x v="0"/>
    <x v="2"/>
    <x v="34"/>
    <x v="0"/>
    <n v="1"/>
    <n v="1"/>
    <n v="1"/>
  </r>
  <r>
    <x v="14"/>
    <x v="73"/>
    <x v="7"/>
    <x v="32"/>
    <x v="77"/>
    <x v="23"/>
    <x v="2"/>
    <x v="18"/>
    <x v="0"/>
    <n v="1"/>
    <n v="1"/>
    <n v="1"/>
  </r>
  <r>
    <x v="4"/>
    <x v="28"/>
    <x v="25"/>
    <x v="10"/>
    <x v="78"/>
    <x v="17"/>
    <x v="2"/>
    <x v="28"/>
    <x v="0"/>
    <n v="1"/>
    <n v="1"/>
    <n v="1"/>
  </r>
  <r>
    <x v="0"/>
    <x v="9"/>
    <x v="22"/>
    <x v="9"/>
    <x v="79"/>
    <x v="8"/>
    <x v="2"/>
    <x v="2"/>
    <x v="1"/>
    <n v="0"/>
    <n v="0"/>
    <n v="0"/>
  </r>
  <r>
    <x v="4"/>
    <x v="1"/>
    <x v="4"/>
    <x v="29"/>
    <x v="0"/>
    <x v="14"/>
    <x v="2"/>
    <x v="2"/>
    <x v="0"/>
    <n v="1"/>
    <n v="0"/>
    <n v="0"/>
  </r>
  <r>
    <x v="4"/>
    <x v="60"/>
    <x v="1"/>
    <x v="2"/>
    <x v="0"/>
    <x v="10"/>
    <x v="2"/>
    <x v="15"/>
    <x v="0"/>
    <n v="1"/>
    <n v="1"/>
    <n v="1"/>
  </r>
  <r>
    <x v="3"/>
    <x v="102"/>
    <x v="11"/>
    <x v="1"/>
    <x v="80"/>
    <x v="7"/>
    <x v="2"/>
    <x v="3"/>
    <x v="0"/>
    <n v="1"/>
    <n v="1"/>
    <n v="1"/>
  </r>
  <r>
    <x v="7"/>
    <x v="29"/>
    <x v="15"/>
    <x v="2"/>
    <x v="0"/>
    <x v="9"/>
    <x v="2"/>
    <x v="43"/>
    <x v="0"/>
    <n v="1"/>
    <n v="1"/>
    <n v="1"/>
  </r>
  <r>
    <x v="8"/>
    <x v="22"/>
    <x v="6"/>
    <x v="2"/>
    <x v="0"/>
    <x v="18"/>
    <x v="2"/>
    <x v="25"/>
    <x v="1"/>
    <n v="0"/>
    <n v="0"/>
    <n v="0"/>
  </r>
  <r>
    <x v="8"/>
    <x v="69"/>
    <x v="11"/>
    <x v="11"/>
    <x v="74"/>
    <x v="14"/>
    <x v="2"/>
    <x v="36"/>
    <x v="1"/>
    <n v="0"/>
    <n v="0"/>
    <n v="0"/>
  </r>
  <r>
    <x v="1"/>
    <x v="15"/>
    <x v="1"/>
    <x v="13"/>
    <x v="81"/>
    <x v="20"/>
    <x v="2"/>
    <x v="6"/>
    <x v="1"/>
    <n v="0"/>
    <n v="0"/>
    <n v="0"/>
  </r>
  <r>
    <x v="1"/>
    <x v="93"/>
    <x v="21"/>
    <x v="23"/>
    <x v="82"/>
    <x v="7"/>
    <x v="2"/>
    <x v="17"/>
    <x v="1"/>
    <n v="0"/>
    <n v="0"/>
    <n v="0"/>
  </r>
  <r>
    <x v="3"/>
    <x v="45"/>
    <x v="17"/>
    <x v="2"/>
    <x v="0"/>
    <x v="17"/>
    <x v="2"/>
    <x v="6"/>
    <x v="1"/>
    <n v="0"/>
    <n v="0"/>
    <n v="0"/>
  </r>
  <r>
    <x v="5"/>
    <x v="79"/>
    <x v="35"/>
    <x v="8"/>
    <x v="0"/>
    <x v="15"/>
    <x v="2"/>
    <x v="29"/>
    <x v="0"/>
    <n v="1"/>
    <n v="1"/>
    <n v="1"/>
  </r>
  <r>
    <x v="3"/>
    <x v="8"/>
    <x v="7"/>
    <x v="22"/>
    <x v="83"/>
    <x v="15"/>
    <x v="2"/>
    <x v="1"/>
    <x v="1"/>
    <n v="0"/>
    <n v="0"/>
    <n v="0"/>
  </r>
  <r>
    <x v="3"/>
    <x v="27"/>
    <x v="10"/>
    <x v="16"/>
    <x v="61"/>
    <x v="22"/>
    <x v="2"/>
    <x v="29"/>
    <x v="1"/>
    <n v="0"/>
    <n v="0"/>
    <n v="0"/>
  </r>
  <r>
    <x v="3"/>
    <x v="69"/>
    <x v="27"/>
    <x v="2"/>
    <x v="0"/>
    <x v="33"/>
    <x v="2"/>
    <x v="17"/>
    <x v="0"/>
    <n v="1"/>
    <n v="1"/>
    <n v="1"/>
  </r>
  <r>
    <x v="0"/>
    <x v="68"/>
    <x v="10"/>
    <x v="17"/>
    <x v="84"/>
    <x v="11"/>
    <x v="2"/>
    <x v="23"/>
    <x v="0"/>
    <n v="1"/>
    <n v="1"/>
    <n v="1"/>
  </r>
  <r>
    <x v="1"/>
    <x v="56"/>
    <x v="10"/>
    <x v="19"/>
    <x v="46"/>
    <x v="18"/>
    <x v="2"/>
    <x v="17"/>
    <x v="1"/>
    <n v="0"/>
    <n v="0"/>
    <n v="0"/>
  </r>
  <r>
    <x v="3"/>
    <x v="32"/>
    <x v="22"/>
    <x v="2"/>
    <x v="0"/>
    <x v="7"/>
    <x v="2"/>
    <x v="7"/>
    <x v="1"/>
    <n v="0"/>
    <n v="0"/>
    <n v="0"/>
  </r>
  <r>
    <x v="5"/>
    <x v="62"/>
    <x v="22"/>
    <x v="30"/>
    <x v="85"/>
    <x v="8"/>
    <x v="2"/>
    <x v="35"/>
    <x v="1"/>
    <n v="0"/>
    <n v="0"/>
    <n v="0"/>
  </r>
  <r>
    <x v="3"/>
    <x v="40"/>
    <x v="0"/>
    <x v="2"/>
    <x v="0"/>
    <x v="33"/>
    <x v="2"/>
    <x v="6"/>
    <x v="0"/>
    <n v="1"/>
    <n v="1"/>
    <n v="1"/>
  </r>
  <r>
    <x v="8"/>
    <x v="98"/>
    <x v="12"/>
    <x v="2"/>
    <x v="17"/>
    <x v="17"/>
    <x v="2"/>
    <x v="13"/>
    <x v="0"/>
    <n v="1"/>
    <n v="1"/>
    <n v="1"/>
  </r>
  <r>
    <x v="3"/>
    <x v="95"/>
    <x v="15"/>
    <x v="23"/>
    <x v="0"/>
    <x v="33"/>
    <x v="2"/>
    <x v="35"/>
    <x v="0"/>
    <n v="1"/>
    <n v="1"/>
    <n v="1"/>
  </r>
  <r>
    <x v="9"/>
    <x v="103"/>
    <x v="12"/>
    <x v="2"/>
    <x v="0"/>
    <x v="6"/>
    <x v="2"/>
    <x v="2"/>
    <x v="0"/>
    <n v="1"/>
    <n v="1"/>
    <n v="1"/>
  </r>
  <r>
    <x v="3"/>
    <x v="92"/>
    <x v="17"/>
    <x v="2"/>
    <x v="0"/>
    <x v="36"/>
    <x v="2"/>
    <x v="14"/>
    <x v="1"/>
    <n v="0"/>
    <n v="0"/>
    <n v="0"/>
  </r>
  <r>
    <x v="1"/>
    <x v="104"/>
    <x v="2"/>
    <x v="21"/>
    <x v="0"/>
    <x v="14"/>
    <x v="2"/>
    <x v="3"/>
    <x v="1"/>
    <n v="0"/>
    <n v="0"/>
    <n v="0"/>
  </r>
  <r>
    <x v="3"/>
    <x v="104"/>
    <x v="7"/>
    <x v="4"/>
    <x v="3"/>
    <x v="21"/>
    <x v="2"/>
    <x v="17"/>
    <x v="1"/>
    <n v="0"/>
    <n v="0"/>
    <n v="0"/>
  </r>
  <r>
    <x v="5"/>
    <x v="12"/>
    <x v="34"/>
    <x v="2"/>
    <x v="0"/>
    <x v="5"/>
    <x v="2"/>
    <x v="17"/>
    <x v="0"/>
    <n v="1"/>
    <n v="1"/>
    <n v="1"/>
  </r>
  <r>
    <x v="0"/>
    <x v="22"/>
    <x v="5"/>
    <x v="29"/>
    <x v="35"/>
    <x v="1"/>
    <x v="2"/>
    <x v="4"/>
    <x v="0"/>
    <n v="1"/>
    <n v="1"/>
    <n v="1"/>
  </r>
  <r>
    <x v="7"/>
    <x v="42"/>
    <x v="17"/>
    <x v="0"/>
    <x v="86"/>
    <x v="10"/>
    <x v="2"/>
    <x v="7"/>
    <x v="1"/>
    <n v="0"/>
    <n v="0"/>
    <n v="0"/>
  </r>
  <r>
    <x v="9"/>
    <x v="100"/>
    <x v="26"/>
    <x v="13"/>
    <x v="0"/>
    <x v="8"/>
    <x v="2"/>
    <x v="44"/>
    <x v="0"/>
    <n v="1"/>
    <n v="1"/>
    <n v="1"/>
  </r>
  <r>
    <x v="6"/>
    <x v="32"/>
    <x v="22"/>
    <x v="2"/>
    <x v="0"/>
    <x v="6"/>
    <x v="2"/>
    <x v="15"/>
    <x v="1"/>
    <n v="0"/>
    <n v="0"/>
    <n v="0"/>
  </r>
  <r>
    <x v="3"/>
    <x v="105"/>
    <x v="15"/>
    <x v="11"/>
    <x v="87"/>
    <x v="35"/>
    <x v="2"/>
    <x v="35"/>
    <x v="1"/>
    <n v="0"/>
    <n v="0"/>
    <n v="0"/>
  </r>
  <r>
    <x v="9"/>
    <x v="78"/>
    <x v="7"/>
    <x v="11"/>
    <x v="88"/>
    <x v="7"/>
    <x v="2"/>
    <x v="10"/>
    <x v="1"/>
    <n v="0"/>
    <n v="0"/>
    <n v="0"/>
  </r>
  <r>
    <x v="1"/>
    <x v="36"/>
    <x v="27"/>
    <x v="6"/>
    <x v="0"/>
    <x v="8"/>
    <x v="2"/>
    <x v="35"/>
    <x v="1"/>
    <n v="0"/>
    <n v="0"/>
    <n v="0"/>
  </r>
  <r>
    <x v="9"/>
    <x v="39"/>
    <x v="35"/>
    <x v="2"/>
    <x v="0"/>
    <x v="6"/>
    <x v="2"/>
    <x v="31"/>
    <x v="1"/>
    <n v="0"/>
    <n v="0"/>
    <n v="0"/>
  </r>
  <r>
    <x v="7"/>
    <x v="55"/>
    <x v="12"/>
    <x v="2"/>
    <x v="0"/>
    <x v="3"/>
    <x v="2"/>
    <x v="14"/>
    <x v="1"/>
    <n v="0"/>
    <n v="0"/>
    <n v="0"/>
  </r>
  <r>
    <x v="7"/>
    <x v="35"/>
    <x v="10"/>
    <x v="35"/>
    <x v="68"/>
    <x v="20"/>
    <x v="2"/>
    <x v="29"/>
    <x v="1"/>
    <n v="0"/>
    <n v="0"/>
    <n v="0"/>
  </r>
  <r>
    <x v="3"/>
    <x v="106"/>
    <x v="22"/>
    <x v="4"/>
    <x v="0"/>
    <x v="17"/>
    <x v="2"/>
    <x v="28"/>
    <x v="1"/>
    <n v="0"/>
    <n v="0"/>
    <n v="0"/>
  </r>
  <r>
    <x v="14"/>
    <x v="31"/>
    <x v="25"/>
    <x v="42"/>
    <x v="89"/>
    <x v="3"/>
    <x v="2"/>
    <x v="32"/>
    <x v="0"/>
    <n v="1"/>
    <n v="0"/>
    <n v="0"/>
  </r>
  <r>
    <x v="1"/>
    <x v="61"/>
    <x v="2"/>
    <x v="0"/>
    <x v="0"/>
    <x v="0"/>
    <x v="2"/>
    <x v="3"/>
    <x v="0"/>
    <n v="1"/>
    <n v="1"/>
    <n v="1"/>
  </r>
  <r>
    <x v="5"/>
    <x v="36"/>
    <x v="24"/>
    <x v="22"/>
    <x v="0"/>
    <x v="8"/>
    <x v="2"/>
    <x v="5"/>
    <x v="1"/>
    <n v="0"/>
    <n v="0"/>
    <n v="0"/>
  </r>
  <r>
    <x v="7"/>
    <x v="53"/>
    <x v="22"/>
    <x v="29"/>
    <x v="0"/>
    <x v="14"/>
    <x v="2"/>
    <x v="28"/>
    <x v="1"/>
    <n v="0"/>
    <n v="0"/>
    <n v="0"/>
  </r>
  <r>
    <x v="1"/>
    <x v="107"/>
    <x v="5"/>
    <x v="41"/>
    <x v="90"/>
    <x v="5"/>
    <x v="2"/>
    <x v="29"/>
    <x v="1"/>
    <n v="0"/>
    <n v="0"/>
    <n v="0"/>
  </r>
  <r>
    <x v="10"/>
    <x v="75"/>
    <x v="17"/>
    <x v="30"/>
    <x v="91"/>
    <x v="21"/>
    <x v="2"/>
    <x v="13"/>
    <x v="0"/>
    <n v="1"/>
    <n v="1"/>
    <n v="1"/>
  </r>
  <r>
    <x v="5"/>
    <x v="108"/>
    <x v="22"/>
    <x v="13"/>
    <x v="67"/>
    <x v="6"/>
    <x v="2"/>
    <x v="10"/>
    <x v="1"/>
    <n v="0"/>
    <n v="0"/>
    <n v="0"/>
  </r>
  <r>
    <x v="5"/>
    <x v="52"/>
    <x v="6"/>
    <x v="2"/>
    <x v="0"/>
    <x v="8"/>
    <x v="2"/>
    <x v="14"/>
    <x v="0"/>
    <n v="1"/>
    <n v="1"/>
    <n v="1"/>
  </r>
  <r>
    <x v="3"/>
    <x v="54"/>
    <x v="7"/>
    <x v="4"/>
    <x v="0"/>
    <x v="9"/>
    <x v="2"/>
    <x v="29"/>
    <x v="1"/>
    <n v="0"/>
    <n v="0"/>
    <n v="0"/>
  </r>
  <r>
    <x v="5"/>
    <x v="69"/>
    <x v="10"/>
    <x v="13"/>
    <x v="0"/>
    <x v="9"/>
    <x v="2"/>
    <x v="45"/>
    <x v="1"/>
    <n v="0"/>
    <n v="0"/>
    <n v="0"/>
  </r>
  <r>
    <x v="3"/>
    <x v="66"/>
    <x v="25"/>
    <x v="2"/>
    <x v="0"/>
    <x v="9"/>
    <x v="2"/>
    <x v="22"/>
    <x v="0"/>
    <n v="1"/>
    <n v="1"/>
    <n v="1"/>
  </r>
  <r>
    <x v="4"/>
    <x v="74"/>
    <x v="4"/>
    <x v="20"/>
    <x v="92"/>
    <x v="0"/>
    <x v="2"/>
    <x v="16"/>
    <x v="1"/>
    <n v="0"/>
    <n v="0"/>
    <n v="0"/>
  </r>
  <r>
    <x v="3"/>
    <x v="33"/>
    <x v="6"/>
    <x v="2"/>
    <x v="0"/>
    <x v="17"/>
    <x v="2"/>
    <x v="28"/>
    <x v="0"/>
    <n v="1"/>
    <n v="1"/>
    <n v="1"/>
  </r>
  <r>
    <x v="7"/>
    <x v="84"/>
    <x v="2"/>
    <x v="18"/>
    <x v="0"/>
    <x v="13"/>
    <x v="2"/>
    <x v="29"/>
    <x v="1"/>
    <n v="0"/>
    <n v="0"/>
    <n v="0"/>
  </r>
  <r>
    <x v="3"/>
    <x v="34"/>
    <x v="35"/>
    <x v="2"/>
    <x v="0"/>
    <x v="18"/>
    <x v="2"/>
    <x v="3"/>
    <x v="1"/>
    <n v="0"/>
    <n v="0"/>
    <n v="0"/>
  </r>
  <r>
    <x v="7"/>
    <x v="42"/>
    <x v="6"/>
    <x v="2"/>
    <x v="0"/>
    <x v="3"/>
    <x v="2"/>
    <x v="20"/>
    <x v="0"/>
    <n v="1"/>
    <n v="1"/>
    <n v="1"/>
  </r>
  <r>
    <x v="6"/>
    <x v="45"/>
    <x v="27"/>
    <x v="17"/>
    <x v="0"/>
    <x v="11"/>
    <x v="2"/>
    <x v="18"/>
    <x v="0"/>
    <n v="1"/>
    <n v="1"/>
    <n v="1"/>
  </r>
  <r>
    <x v="7"/>
    <x v="85"/>
    <x v="25"/>
    <x v="4"/>
    <x v="81"/>
    <x v="18"/>
    <x v="2"/>
    <x v="3"/>
    <x v="1"/>
    <n v="0"/>
    <n v="0"/>
    <n v="0"/>
  </r>
  <r>
    <x v="5"/>
    <x v="32"/>
    <x v="21"/>
    <x v="2"/>
    <x v="0"/>
    <x v="2"/>
    <x v="2"/>
    <x v="27"/>
    <x v="1"/>
    <n v="0"/>
    <n v="0"/>
    <n v="0"/>
  </r>
  <r>
    <x v="1"/>
    <x v="43"/>
    <x v="21"/>
    <x v="37"/>
    <x v="85"/>
    <x v="21"/>
    <x v="2"/>
    <x v="3"/>
    <x v="1"/>
    <n v="0"/>
    <n v="0"/>
    <n v="0"/>
  </r>
  <r>
    <x v="11"/>
    <x v="39"/>
    <x v="7"/>
    <x v="2"/>
    <x v="0"/>
    <x v="0"/>
    <x v="2"/>
    <x v="42"/>
    <x v="1"/>
    <n v="0"/>
    <n v="0"/>
    <n v="0"/>
  </r>
  <r>
    <x v="7"/>
    <x v="15"/>
    <x v="7"/>
    <x v="43"/>
    <x v="93"/>
    <x v="13"/>
    <x v="2"/>
    <x v="28"/>
    <x v="1"/>
    <n v="0"/>
    <n v="0"/>
    <n v="0"/>
  </r>
  <r>
    <x v="8"/>
    <x v="39"/>
    <x v="11"/>
    <x v="21"/>
    <x v="0"/>
    <x v="5"/>
    <x v="2"/>
    <x v="7"/>
    <x v="0"/>
    <n v="1"/>
    <n v="1"/>
    <n v="1"/>
  </r>
  <r>
    <x v="3"/>
    <x v="92"/>
    <x v="2"/>
    <x v="3"/>
    <x v="94"/>
    <x v="3"/>
    <x v="2"/>
    <x v="35"/>
    <x v="1"/>
    <n v="0"/>
    <n v="0"/>
    <n v="0"/>
  </r>
  <r>
    <x v="4"/>
    <x v="53"/>
    <x v="4"/>
    <x v="2"/>
    <x v="0"/>
    <x v="18"/>
    <x v="2"/>
    <x v="11"/>
    <x v="1"/>
    <n v="0"/>
    <n v="0"/>
    <n v="0"/>
  </r>
  <r>
    <x v="7"/>
    <x v="85"/>
    <x v="25"/>
    <x v="25"/>
    <x v="95"/>
    <x v="18"/>
    <x v="2"/>
    <x v="17"/>
    <x v="1"/>
    <n v="0"/>
    <n v="0"/>
    <n v="0"/>
  </r>
  <r>
    <x v="3"/>
    <x v="42"/>
    <x v="7"/>
    <x v="2"/>
    <x v="0"/>
    <x v="10"/>
    <x v="2"/>
    <x v="20"/>
    <x v="0"/>
    <n v="1"/>
    <n v="1"/>
    <n v="1"/>
  </r>
  <r>
    <x v="6"/>
    <x v="55"/>
    <x v="17"/>
    <x v="30"/>
    <x v="96"/>
    <x v="17"/>
    <x v="2"/>
    <x v="33"/>
    <x v="1"/>
    <n v="0"/>
    <n v="0"/>
    <n v="0"/>
  </r>
  <r>
    <x v="8"/>
    <x v="38"/>
    <x v="14"/>
    <x v="13"/>
    <x v="59"/>
    <x v="9"/>
    <x v="2"/>
    <x v="25"/>
    <x v="1"/>
    <n v="0"/>
    <n v="0"/>
    <n v="0"/>
  </r>
  <r>
    <x v="8"/>
    <x v="109"/>
    <x v="27"/>
    <x v="2"/>
    <x v="0"/>
    <x v="8"/>
    <x v="2"/>
    <x v="41"/>
    <x v="0"/>
    <n v="1"/>
    <n v="1"/>
    <n v="1"/>
  </r>
  <r>
    <x v="7"/>
    <x v="85"/>
    <x v="10"/>
    <x v="2"/>
    <x v="0"/>
    <x v="1"/>
    <x v="2"/>
    <x v="42"/>
    <x v="0"/>
    <n v="1"/>
    <n v="1"/>
    <n v="1"/>
  </r>
  <r>
    <x v="8"/>
    <x v="64"/>
    <x v="4"/>
    <x v="12"/>
    <x v="44"/>
    <x v="5"/>
    <x v="2"/>
    <x v="13"/>
    <x v="1"/>
    <n v="0"/>
    <n v="0"/>
    <n v="0"/>
  </r>
  <r>
    <x v="4"/>
    <x v="75"/>
    <x v="12"/>
    <x v="38"/>
    <x v="97"/>
    <x v="12"/>
    <x v="2"/>
    <x v="10"/>
    <x v="1"/>
    <n v="0"/>
    <n v="0"/>
    <n v="0"/>
  </r>
  <r>
    <x v="1"/>
    <x v="22"/>
    <x v="27"/>
    <x v="22"/>
    <x v="40"/>
    <x v="11"/>
    <x v="2"/>
    <x v="7"/>
    <x v="0"/>
    <n v="1"/>
    <n v="1"/>
    <n v="1"/>
  </r>
  <r>
    <x v="3"/>
    <x v="74"/>
    <x v="24"/>
    <x v="36"/>
    <x v="51"/>
    <x v="30"/>
    <x v="2"/>
    <x v="6"/>
    <x v="1"/>
    <n v="0"/>
    <n v="0"/>
    <n v="0"/>
  </r>
  <r>
    <x v="4"/>
    <x v="85"/>
    <x v="0"/>
    <x v="44"/>
    <x v="98"/>
    <x v="17"/>
    <x v="2"/>
    <x v="4"/>
    <x v="1"/>
    <n v="0"/>
    <n v="0"/>
    <n v="0"/>
  </r>
  <r>
    <x v="3"/>
    <x v="6"/>
    <x v="14"/>
    <x v="1"/>
    <x v="41"/>
    <x v="15"/>
    <x v="2"/>
    <x v="3"/>
    <x v="1"/>
    <n v="0"/>
    <n v="0"/>
    <n v="0"/>
  </r>
  <r>
    <x v="3"/>
    <x v="17"/>
    <x v="25"/>
    <x v="9"/>
    <x v="99"/>
    <x v="15"/>
    <x v="2"/>
    <x v="28"/>
    <x v="0"/>
    <n v="1"/>
    <n v="1"/>
    <n v="1"/>
  </r>
  <r>
    <x v="7"/>
    <x v="84"/>
    <x v="21"/>
    <x v="17"/>
    <x v="100"/>
    <x v="4"/>
    <x v="2"/>
    <x v="1"/>
    <x v="0"/>
    <n v="1"/>
    <n v="1"/>
    <n v="1"/>
  </r>
  <r>
    <x v="1"/>
    <x v="84"/>
    <x v="28"/>
    <x v="5"/>
    <x v="86"/>
    <x v="13"/>
    <x v="2"/>
    <x v="29"/>
    <x v="0"/>
    <n v="1"/>
    <n v="1"/>
    <n v="1"/>
  </r>
  <r>
    <x v="3"/>
    <x v="109"/>
    <x v="5"/>
    <x v="2"/>
    <x v="0"/>
    <x v="16"/>
    <x v="2"/>
    <x v="40"/>
    <x v="1"/>
    <n v="0"/>
    <n v="0"/>
    <n v="0"/>
  </r>
  <r>
    <x v="0"/>
    <x v="73"/>
    <x v="25"/>
    <x v="16"/>
    <x v="79"/>
    <x v="17"/>
    <x v="2"/>
    <x v="20"/>
    <x v="1"/>
    <n v="0"/>
    <n v="0"/>
    <n v="0"/>
  </r>
  <r>
    <x v="7"/>
    <x v="42"/>
    <x v="7"/>
    <x v="8"/>
    <x v="101"/>
    <x v="3"/>
    <x v="2"/>
    <x v="7"/>
    <x v="0"/>
    <n v="1"/>
    <n v="1"/>
    <n v="1"/>
  </r>
  <r>
    <x v="3"/>
    <x v="19"/>
    <x v="12"/>
    <x v="1"/>
    <x v="102"/>
    <x v="6"/>
    <x v="2"/>
    <x v="29"/>
    <x v="1"/>
    <n v="0"/>
    <n v="0"/>
    <n v="0"/>
  </r>
  <r>
    <x v="15"/>
    <x v="15"/>
    <x v="21"/>
    <x v="19"/>
    <x v="103"/>
    <x v="15"/>
    <x v="2"/>
    <x v="23"/>
    <x v="0"/>
    <n v="1"/>
    <n v="1"/>
    <n v="1"/>
  </r>
  <r>
    <x v="2"/>
    <x v="60"/>
    <x v="0"/>
    <x v="2"/>
    <x v="0"/>
    <x v="20"/>
    <x v="2"/>
    <x v="30"/>
    <x v="1"/>
    <n v="0"/>
    <n v="0"/>
    <n v="0"/>
  </r>
  <r>
    <x v="3"/>
    <x v="110"/>
    <x v="6"/>
    <x v="2"/>
    <x v="0"/>
    <x v="9"/>
    <x v="2"/>
    <x v="5"/>
    <x v="0"/>
    <n v="1"/>
    <n v="1"/>
    <n v="1"/>
  </r>
  <r>
    <x v="7"/>
    <x v="70"/>
    <x v="20"/>
    <x v="11"/>
    <x v="44"/>
    <x v="9"/>
    <x v="2"/>
    <x v="28"/>
    <x v="0"/>
    <n v="1"/>
    <n v="1"/>
    <n v="1"/>
  </r>
  <r>
    <x v="4"/>
    <x v="111"/>
    <x v="18"/>
    <x v="10"/>
    <x v="104"/>
    <x v="17"/>
    <x v="2"/>
    <x v="22"/>
    <x v="1"/>
    <n v="0"/>
    <n v="0"/>
    <n v="0"/>
  </r>
  <r>
    <x v="4"/>
    <x v="7"/>
    <x v="36"/>
    <x v="2"/>
    <x v="0"/>
    <x v="28"/>
    <x v="2"/>
    <x v="20"/>
    <x v="0"/>
    <n v="1"/>
    <n v="1"/>
    <n v="1"/>
  </r>
  <r>
    <x v="5"/>
    <x v="47"/>
    <x v="17"/>
    <x v="2"/>
    <x v="0"/>
    <x v="30"/>
    <x v="2"/>
    <x v="25"/>
    <x v="1"/>
    <n v="0"/>
    <n v="0"/>
    <n v="0"/>
  </r>
  <r>
    <x v="7"/>
    <x v="81"/>
    <x v="17"/>
    <x v="17"/>
    <x v="63"/>
    <x v="13"/>
    <x v="2"/>
    <x v="7"/>
    <x v="1"/>
    <n v="0"/>
    <n v="0"/>
    <n v="0"/>
  </r>
  <r>
    <x v="6"/>
    <x v="109"/>
    <x v="22"/>
    <x v="3"/>
    <x v="105"/>
    <x v="5"/>
    <x v="2"/>
    <x v="41"/>
    <x v="0"/>
    <n v="1"/>
    <n v="1"/>
    <n v="1"/>
  </r>
  <r>
    <x v="3"/>
    <x v="4"/>
    <x v="22"/>
    <x v="35"/>
    <x v="106"/>
    <x v="18"/>
    <x v="2"/>
    <x v="3"/>
    <x v="1"/>
    <n v="0"/>
    <n v="0"/>
    <n v="0"/>
  </r>
  <r>
    <x v="3"/>
    <x v="84"/>
    <x v="22"/>
    <x v="6"/>
    <x v="107"/>
    <x v="8"/>
    <x v="2"/>
    <x v="28"/>
    <x v="0"/>
    <n v="1"/>
    <n v="1"/>
    <n v="1"/>
  </r>
  <r>
    <x v="7"/>
    <x v="78"/>
    <x v="22"/>
    <x v="30"/>
    <x v="108"/>
    <x v="21"/>
    <x v="2"/>
    <x v="5"/>
    <x v="0"/>
    <n v="1"/>
    <n v="1"/>
    <n v="1"/>
  </r>
  <r>
    <x v="0"/>
    <x v="65"/>
    <x v="1"/>
    <x v="9"/>
    <x v="0"/>
    <x v="5"/>
    <x v="2"/>
    <x v="15"/>
    <x v="1"/>
    <n v="0"/>
    <n v="0"/>
    <n v="0"/>
  </r>
  <r>
    <x v="3"/>
    <x v="39"/>
    <x v="7"/>
    <x v="17"/>
    <x v="106"/>
    <x v="12"/>
    <x v="2"/>
    <x v="17"/>
    <x v="1"/>
    <n v="0"/>
    <n v="0"/>
    <n v="0"/>
  </r>
  <r>
    <x v="7"/>
    <x v="75"/>
    <x v="4"/>
    <x v="36"/>
    <x v="9"/>
    <x v="1"/>
    <x v="2"/>
    <x v="14"/>
    <x v="0"/>
    <n v="1"/>
    <n v="1"/>
    <n v="1"/>
  </r>
  <r>
    <x v="5"/>
    <x v="61"/>
    <x v="5"/>
    <x v="25"/>
    <x v="109"/>
    <x v="8"/>
    <x v="2"/>
    <x v="28"/>
    <x v="1"/>
    <n v="0"/>
    <n v="0"/>
    <n v="0"/>
  </r>
  <r>
    <x v="8"/>
    <x v="28"/>
    <x v="10"/>
    <x v="16"/>
    <x v="0"/>
    <x v="17"/>
    <x v="2"/>
    <x v="16"/>
    <x v="0"/>
    <n v="1"/>
    <n v="1"/>
    <n v="1"/>
  </r>
  <r>
    <x v="7"/>
    <x v="60"/>
    <x v="22"/>
    <x v="29"/>
    <x v="1"/>
    <x v="0"/>
    <x v="2"/>
    <x v="6"/>
    <x v="1"/>
    <n v="0"/>
    <n v="0"/>
    <n v="0"/>
  </r>
  <r>
    <x v="5"/>
    <x v="20"/>
    <x v="10"/>
    <x v="15"/>
    <x v="37"/>
    <x v="24"/>
    <x v="2"/>
    <x v="5"/>
    <x v="1"/>
    <n v="0"/>
    <n v="0"/>
    <n v="0"/>
  </r>
  <r>
    <x v="5"/>
    <x v="112"/>
    <x v="4"/>
    <x v="2"/>
    <x v="0"/>
    <x v="8"/>
    <x v="2"/>
    <x v="7"/>
    <x v="0"/>
    <n v="1"/>
    <n v="1"/>
    <n v="1"/>
  </r>
  <r>
    <x v="5"/>
    <x v="7"/>
    <x v="1"/>
    <x v="22"/>
    <x v="13"/>
    <x v="10"/>
    <x v="2"/>
    <x v="20"/>
    <x v="1"/>
    <n v="0"/>
    <n v="0"/>
    <n v="0"/>
  </r>
  <r>
    <x v="0"/>
    <x v="97"/>
    <x v="21"/>
    <x v="2"/>
    <x v="0"/>
    <x v="20"/>
    <x v="2"/>
    <x v="12"/>
    <x v="0"/>
    <n v="1"/>
    <n v="1"/>
    <n v="1"/>
  </r>
  <r>
    <x v="3"/>
    <x v="55"/>
    <x v="11"/>
    <x v="39"/>
    <x v="110"/>
    <x v="3"/>
    <x v="2"/>
    <x v="1"/>
    <x v="1"/>
    <n v="0"/>
    <n v="0"/>
    <n v="0"/>
  </r>
  <r>
    <x v="5"/>
    <x v="60"/>
    <x v="4"/>
    <x v="9"/>
    <x v="0"/>
    <x v="9"/>
    <x v="2"/>
    <x v="28"/>
    <x v="0"/>
    <n v="1"/>
    <n v="1"/>
    <n v="1"/>
  </r>
  <r>
    <x v="3"/>
    <x v="78"/>
    <x v="7"/>
    <x v="28"/>
    <x v="0"/>
    <x v="1"/>
    <x v="2"/>
    <x v="34"/>
    <x v="0"/>
    <n v="1"/>
    <n v="1"/>
    <n v="1"/>
  </r>
  <r>
    <x v="11"/>
    <x v="91"/>
    <x v="15"/>
    <x v="11"/>
    <x v="111"/>
    <x v="1"/>
    <x v="2"/>
    <x v="16"/>
    <x v="0"/>
    <n v="1"/>
    <n v="1"/>
    <n v="1"/>
  </r>
  <r>
    <x v="7"/>
    <x v="60"/>
    <x v="19"/>
    <x v="4"/>
    <x v="0"/>
    <x v="17"/>
    <x v="2"/>
    <x v="3"/>
    <x v="1"/>
    <n v="0"/>
    <n v="0"/>
    <n v="0"/>
  </r>
  <r>
    <x v="1"/>
    <x v="113"/>
    <x v="0"/>
    <x v="2"/>
    <x v="2"/>
    <x v="5"/>
    <x v="2"/>
    <x v="29"/>
    <x v="1"/>
    <n v="0"/>
    <n v="0"/>
    <n v="0"/>
  </r>
  <r>
    <x v="1"/>
    <x v="32"/>
    <x v="2"/>
    <x v="4"/>
    <x v="65"/>
    <x v="7"/>
    <x v="2"/>
    <x v="5"/>
    <x v="0"/>
    <n v="1"/>
    <n v="1"/>
    <n v="1"/>
  </r>
  <r>
    <x v="6"/>
    <x v="95"/>
    <x v="7"/>
    <x v="2"/>
    <x v="0"/>
    <x v="7"/>
    <x v="2"/>
    <x v="25"/>
    <x v="1"/>
    <n v="0"/>
    <n v="0"/>
    <n v="0"/>
  </r>
  <r>
    <x v="7"/>
    <x v="34"/>
    <x v="27"/>
    <x v="14"/>
    <x v="79"/>
    <x v="11"/>
    <x v="2"/>
    <x v="35"/>
    <x v="0"/>
    <n v="1"/>
    <n v="1"/>
    <n v="1"/>
  </r>
  <r>
    <x v="0"/>
    <x v="44"/>
    <x v="7"/>
    <x v="4"/>
    <x v="112"/>
    <x v="6"/>
    <x v="2"/>
    <x v="25"/>
    <x v="1"/>
    <n v="0"/>
    <n v="0"/>
    <n v="0"/>
  </r>
  <r>
    <x v="2"/>
    <x v="16"/>
    <x v="0"/>
    <x v="6"/>
    <x v="0"/>
    <x v="2"/>
    <x v="2"/>
    <x v="23"/>
    <x v="1"/>
    <n v="0"/>
    <n v="0"/>
    <n v="0"/>
  </r>
  <r>
    <x v="7"/>
    <x v="93"/>
    <x v="20"/>
    <x v="41"/>
    <x v="113"/>
    <x v="21"/>
    <x v="2"/>
    <x v="28"/>
    <x v="1"/>
    <n v="0"/>
    <n v="0"/>
    <n v="0"/>
  </r>
  <r>
    <x v="1"/>
    <x v="37"/>
    <x v="6"/>
    <x v="2"/>
    <x v="0"/>
    <x v="4"/>
    <x v="2"/>
    <x v="15"/>
    <x v="0"/>
    <n v="1"/>
    <n v="1"/>
    <n v="1"/>
  </r>
  <r>
    <x v="14"/>
    <x v="39"/>
    <x v="10"/>
    <x v="2"/>
    <x v="0"/>
    <x v="20"/>
    <x v="2"/>
    <x v="32"/>
    <x v="1"/>
    <n v="0"/>
    <n v="0"/>
    <n v="0"/>
  </r>
  <r>
    <x v="1"/>
    <x v="54"/>
    <x v="11"/>
    <x v="20"/>
    <x v="69"/>
    <x v="20"/>
    <x v="2"/>
    <x v="17"/>
    <x v="1"/>
    <n v="0"/>
    <n v="0"/>
    <n v="0"/>
  </r>
  <r>
    <x v="3"/>
    <x v="105"/>
    <x v="17"/>
    <x v="44"/>
    <x v="114"/>
    <x v="32"/>
    <x v="2"/>
    <x v="6"/>
    <x v="1"/>
    <n v="0"/>
    <n v="0"/>
    <n v="0"/>
  </r>
  <r>
    <x v="3"/>
    <x v="27"/>
    <x v="6"/>
    <x v="2"/>
    <x v="0"/>
    <x v="0"/>
    <x v="2"/>
    <x v="32"/>
    <x v="1"/>
    <n v="0"/>
    <n v="0"/>
    <n v="0"/>
  </r>
  <r>
    <x v="4"/>
    <x v="7"/>
    <x v="17"/>
    <x v="2"/>
    <x v="0"/>
    <x v="6"/>
    <x v="2"/>
    <x v="32"/>
    <x v="0"/>
    <n v="1"/>
    <n v="1"/>
    <n v="1"/>
  </r>
  <r>
    <x v="9"/>
    <x v="91"/>
    <x v="21"/>
    <x v="24"/>
    <x v="115"/>
    <x v="0"/>
    <x v="2"/>
    <x v="4"/>
    <x v="0"/>
    <n v="1"/>
    <n v="1"/>
    <n v="1"/>
  </r>
  <r>
    <x v="8"/>
    <x v="114"/>
    <x v="12"/>
    <x v="2"/>
    <x v="0"/>
    <x v="13"/>
    <x v="2"/>
    <x v="15"/>
    <x v="0"/>
    <n v="1"/>
    <n v="1"/>
    <n v="1"/>
  </r>
  <r>
    <x v="1"/>
    <x v="96"/>
    <x v="7"/>
    <x v="27"/>
    <x v="63"/>
    <x v="5"/>
    <x v="2"/>
    <x v="17"/>
    <x v="1"/>
    <n v="0"/>
    <n v="0"/>
    <n v="0"/>
  </r>
  <r>
    <x v="1"/>
    <x v="54"/>
    <x v="4"/>
    <x v="2"/>
    <x v="116"/>
    <x v="5"/>
    <x v="2"/>
    <x v="34"/>
    <x v="1"/>
    <n v="0"/>
    <n v="0"/>
    <n v="0"/>
  </r>
  <r>
    <x v="1"/>
    <x v="57"/>
    <x v="22"/>
    <x v="0"/>
    <x v="0"/>
    <x v="9"/>
    <x v="2"/>
    <x v="17"/>
    <x v="1"/>
    <n v="0"/>
    <n v="0"/>
    <n v="0"/>
  </r>
  <r>
    <x v="4"/>
    <x v="32"/>
    <x v="27"/>
    <x v="2"/>
    <x v="0"/>
    <x v="7"/>
    <x v="2"/>
    <x v="4"/>
    <x v="1"/>
    <n v="0"/>
    <n v="0"/>
    <n v="0"/>
  </r>
  <r>
    <x v="2"/>
    <x v="54"/>
    <x v="0"/>
    <x v="2"/>
    <x v="0"/>
    <x v="15"/>
    <x v="2"/>
    <x v="11"/>
    <x v="1"/>
    <n v="0"/>
    <n v="0"/>
    <n v="0"/>
  </r>
  <r>
    <x v="2"/>
    <x v="19"/>
    <x v="14"/>
    <x v="14"/>
    <x v="117"/>
    <x v="10"/>
    <x v="2"/>
    <x v="44"/>
    <x v="1"/>
    <n v="0"/>
    <n v="0"/>
    <n v="0"/>
  </r>
  <r>
    <x v="1"/>
    <x v="12"/>
    <x v="39"/>
    <x v="6"/>
    <x v="8"/>
    <x v="14"/>
    <x v="2"/>
    <x v="17"/>
    <x v="1"/>
    <n v="0"/>
    <n v="0"/>
    <n v="0"/>
  </r>
  <r>
    <x v="5"/>
    <x v="5"/>
    <x v="6"/>
    <x v="2"/>
    <x v="0"/>
    <x v="20"/>
    <x v="2"/>
    <x v="35"/>
    <x v="1"/>
    <n v="0"/>
    <n v="0"/>
    <n v="0"/>
  </r>
  <r>
    <x v="5"/>
    <x v="20"/>
    <x v="25"/>
    <x v="6"/>
    <x v="99"/>
    <x v="16"/>
    <x v="2"/>
    <x v="6"/>
    <x v="1"/>
    <n v="0"/>
    <n v="0"/>
    <n v="0"/>
  </r>
  <r>
    <x v="4"/>
    <x v="57"/>
    <x v="10"/>
    <x v="4"/>
    <x v="0"/>
    <x v="31"/>
    <x v="2"/>
    <x v="25"/>
    <x v="0"/>
    <n v="1"/>
    <n v="1"/>
    <n v="1"/>
  </r>
  <r>
    <x v="3"/>
    <x v="31"/>
    <x v="10"/>
    <x v="2"/>
    <x v="0"/>
    <x v="23"/>
    <x v="2"/>
    <x v="7"/>
    <x v="1"/>
    <n v="0"/>
    <n v="0"/>
    <n v="0"/>
  </r>
  <r>
    <x v="3"/>
    <x v="4"/>
    <x v="12"/>
    <x v="2"/>
    <x v="0"/>
    <x v="6"/>
    <x v="2"/>
    <x v="5"/>
    <x v="1"/>
    <n v="0"/>
    <n v="0"/>
    <n v="0"/>
  </r>
  <r>
    <x v="5"/>
    <x v="115"/>
    <x v="18"/>
    <x v="30"/>
    <x v="0"/>
    <x v="0"/>
    <x v="2"/>
    <x v="23"/>
    <x v="1"/>
    <n v="0"/>
    <n v="0"/>
    <n v="0"/>
  </r>
  <r>
    <x v="1"/>
    <x v="35"/>
    <x v="25"/>
    <x v="39"/>
    <x v="118"/>
    <x v="1"/>
    <x v="2"/>
    <x v="29"/>
    <x v="1"/>
    <n v="0"/>
    <n v="0"/>
    <n v="0"/>
  </r>
  <r>
    <x v="5"/>
    <x v="35"/>
    <x v="21"/>
    <x v="2"/>
    <x v="0"/>
    <x v="4"/>
    <x v="2"/>
    <x v="3"/>
    <x v="1"/>
    <n v="0"/>
    <n v="0"/>
    <n v="0"/>
  </r>
  <r>
    <x v="9"/>
    <x v="105"/>
    <x v="14"/>
    <x v="2"/>
    <x v="0"/>
    <x v="8"/>
    <x v="2"/>
    <x v="44"/>
    <x v="0"/>
    <n v="1"/>
    <n v="1"/>
    <n v="1"/>
  </r>
  <r>
    <x v="1"/>
    <x v="9"/>
    <x v="5"/>
    <x v="32"/>
    <x v="119"/>
    <x v="21"/>
    <x v="2"/>
    <x v="20"/>
    <x v="0"/>
    <n v="1"/>
    <n v="1"/>
    <n v="1"/>
  </r>
  <r>
    <x v="11"/>
    <x v="55"/>
    <x v="6"/>
    <x v="9"/>
    <x v="0"/>
    <x v="13"/>
    <x v="2"/>
    <x v="32"/>
    <x v="0"/>
    <n v="1"/>
    <n v="1"/>
    <n v="1"/>
  </r>
  <r>
    <x v="14"/>
    <x v="30"/>
    <x v="4"/>
    <x v="32"/>
    <x v="16"/>
    <x v="7"/>
    <x v="2"/>
    <x v="26"/>
    <x v="1"/>
    <n v="0"/>
    <n v="0"/>
    <n v="0"/>
  </r>
  <r>
    <x v="1"/>
    <x v="21"/>
    <x v="17"/>
    <x v="14"/>
    <x v="120"/>
    <x v="17"/>
    <x v="2"/>
    <x v="7"/>
    <x v="0"/>
    <n v="1"/>
    <n v="1"/>
    <n v="1"/>
  </r>
  <r>
    <x v="4"/>
    <x v="13"/>
    <x v="2"/>
    <x v="11"/>
    <x v="54"/>
    <x v="6"/>
    <x v="2"/>
    <x v="7"/>
    <x v="0"/>
    <n v="1"/>
    <n v="1"/>
    <n v="1"/>
  </r>
  <r>
    <x v="4"/>
    <x v="29"/>
    <x v="7"/>
    <x v="2"/>
    <x v="0"/>
    <x v="8"/>
    <x v="2"/>
    <x v="45"/>
    <x v="1"/>
    <n v="0"/>
    <n v="0"/>
    <n v="0"/>
  </r>
  <r>
    <x v="4"/>
    <x v="18"/>
    <x v="31"/>
    <x v="17"/>
    <x v="0"/>
    <x v="12"/>
    <x v="2"/>
    <x v="40"/>
    <x v="1"/>
    <n v="0"/>
    <n v="0"/>
    <n v="0"/>
  </r>
  <r>
    <x v="3"/>
    <x v="42"/>
    <x v="21"/>
    <x v="2"/>
    <x v="0"/>
    <x v="10"/>
    <x v="2"/>
    <x v="46"/>
    <x v="0"/>
    <n v="1"/>
    <n v="1"/>
    <n v="1"/>
  </r>
  <r>
    <x v="3"/>
    <x v="24"/>
    <x v="4"/>
    <x v="19"/>
    <x v="121"/>
    <x v="7"/>
    <x v="2"/>
    <x v="5"/>
    <x v="1"/>
    <n v="0"/>
    <n v="0"/>
    <n v="0"/>
  </r>
  <r>
    <x v="4"/>
    <x v="20"/>
    <x v="34"/>
    <x v="30"/>
    <x v="8"/>
    <x v="0"/>
    <x v="2"/>
    <x v="5"/>
    <x v="1"/>
    <n v="0"/>
    <n v="0"/>
    <n v="0"/>
  </r>
  <r>
    <x v="0"/>
    <x v="78"/>
    <x v="0"/>
    <x v="2"/>
    <x v="0"/>
    <x v="3"/>
    <x v="2"/>
    <x v="7"/>
    <x v="0"/>
    <n v="1"/>
    <n v="1"/>
    <n v="1"/>
  </r>
  <r>
    <x v="3"/>
    <x v="45"/>
    <x v="2"/>
    <x v="36"/>
    <x v="0"/>
    <x v="30"/>
    <x v="2"/>
    <x v="3"/>
    <x v="1"/>
    <n v="0"/>
    <n v="0"/>
    <n v="0"/>
  </r>
  <r>
    <x v="5"/>
    <x v="67"/>
    <x v="27"/>
    <x v="41"/>
    <x v="122"/>
    <x v="3"/>
    <x v="2"/>
    <x v="17"/>
    <x v="1"/>
    <n v="0"/>
    <n v="0"/>
    <n v="0"/>
  </r>
  <r>
    <x v="1"/>
    <x v="38"/>
    <x v="40"/>
    <x v="30"/>
    <x v="13"/>
    <x v="21"/>
    <x v="2"/>
    <x v="21"/>
    <x v="0"/>
    <n v="1"/>
    <n v="1"/>
    <n v="1"/>
  </r>
  <r>
    <x v="5"/>
    <x v="82"/>
    <x v="18"/>
    <x v="45"/>
    <x v="123"/>
    <x v="10"/>
    <x v="2"/>
    <x v="28"/>
    <x v="0"/>
    <n v="1"/>
    <n v="1"/>
    <n v="1"/>
  </r>
  <r>
    <x v="3"/>
    <x v="16"/>
    <x v="2"/>
    <x v="3"/>
    <x v="124"/>
    <x v="9"/>
    <x v="2"/>
    <x v="3"/>
    <x v="1"/>
    <n v="0"/>
    <n v="0"/>
    <n v="0"/>
  </r>
  <r>
    <x v="3"/>
    <x v="50"/>
    <x v="2"/>
    <x v="29"/>
    <x v="122"/>
    <x v="17"/>
    <x v="2"/>
    <x v="3"/>
    <x v="1"/>
    <n v="0"/>
    <n v="0"/>
    <n v="0"/>
  </r>
  <r>
    <x v="7"/>
    <x v="44"/>
    <x v="20"/>
    <x v="32"/>
    <x v="1"/>
    <x v="7"/>
    <x v="2"/>
    <x v="28"/>
    <x v="1"/>
    <n v="0"/>
    <n v="0"/>
    <n v="0"/>
  </r>
  <r>
    <x v="7"/>
    <x v="32"/>
    <x v="35"/>
    <x v="44"/>
    <x v="125"/>
    <x v="17"/>
    <x v="2"/>
    <x v="20"/>
    <x v="1"/>
    <n v="0"/>
    <n v="0"/>
    <n v="0"/>
  </r>
  <r>
    <x v="14"/>
    <x v="101"/>
    <x v="18"/>
    <x v="44"/>
    <x v="54"/>
    <x v="12"/>
    <x v="2"/>
    <x v="30"/>
    <x v="0"/>
    <n v="1"/>
    <n v="1"/>
    <n v="1"/>
  </r>
  <r>
    <x v="3"/>
    <x v="116"/>
    <x v="18"/>
    <x v="13"/>
    <x v="126"/>
    <x v="18"/>
    <x v="2"/>
    <x v="17"/>
    <x v="1"/>
    <n v="0"/>
    <n v="0"/>
    <n v="0"/>
  </r>
  <r>
    <x v="1"/>
    <x v="93"/>
    <x v="11"/>
    <x v="17"/>
    <x v="98"/>
    <x v="15"/>
    <x v="2"/>
    <x v="17"/>
    <x v="1"/>
    <n v="0"/>
    <n v="0"/>
    <n v="0"/>
  </r>
  <r>
    <x v="3"/>
    <x v="88"/>
    <x v="19"/>
    <x v="2"/>
    <x v="0"/>
    <x v="32"/>
    <x v="2"/>
    <x v="2"/>
    <x v="0"/>
    <n v="1"/>
    <n v="1"/>
    <n v="1"/>
  </r>
  <r>
    <x v="3"/>
    <x v="71"/>
    <x v="41"/>
    <x v="22"/>
    <x v="127"/>
    <x v="4"/>
    <x v="2"/>
    <x v="22"/>
    <x v="1"/>
    <n v="0"/>
    <n v="0"/>
    <n v="0"/>
  </r>
  <r>
    <x v="1"/>
    <x v="17"/>
    <x v="0"/>
    <x v="9"/>
    <x v="21"/>
    <x v="6"/>
    <x v="2"/>
    <x v="29"/>
    <x v="1"/>
    <n v="0"/>
    <n v="0"/>
    <n v="0"/>
  </r>
  <r>
    <x v="3"/>
    <x v="44"/>
    <x v="22"/>
    <x v="29"/>
    <x v="0"/>
    <x v="19"/>
    <x v="2"/>
    <x v="17"/>
    <x v="1"/>
    <n v="0"/>
    <n v="0"/>
    <n v="0"/>
  </r>
  <r>
    <x v="1"/>
    <x v="28"/>
    <x v="11"/>
    <x v="46"/>
    <x v="100"/>
    <x v="18"/>
    <x v="2"/>
    <x v="3"/>
    <x v="1"/>
    <n v="0"/>
    <n v="0"/>
    <n v="0"/>
  </r>
  <r>
    <x v="1"/>
    <x v="35"/>
    <x v="25"/>
    <x v="20"/>
    <x v="128"/>
    <x v="18"/>
    <x v="2"/>
    <x v="28"/>
    <x v="1"/>
    <n v="0"/>
    <n v="0"/>
    <n v="0"/>
  </r>
  <r>
    <x v="1"/>
    <x v="9"/>
    <x v="7"/>
    <x v="21"/>
    <x v="14"/>
    <x v="20"/>
    <x v="2"/>
    <x v="28"/>
    <x v="1"/>
    <n v="0"/>
    <n v="0"/>
    <n v="0"/>
  </r>
  <r>
    <x v="1"/>
    <x v="22"/>
    <x v="34"/>
    <x v="27"/>
    <x v="52"/>
    <x v="16"/>
    <x v="2"/>
    <x v="29"/>
    <x v="1"/>
    <n v="0"/>
    <n v="0"/>
    <n v="0"/>
  </r>
  <r>
    <x v="4"/>
    <x v="5"/>
    <x v="4"/>
    <x v="1"/>
    <x v="0"/>
    <x v="9"/>
    <x v="2"/>
    <x v="22"/>
    <x v="0"/>
    <n v="1"/>
    <n v="1"/>
    <n v="1"/>
  </r>
  <r>
    <x v="2"/>
    <x v="44"/>
    <x v="41"/>
    <x v="14"/>
    <x v="0"/>
    <x v="4"/>
    <x v="2"/>
    <x v="21"/>
    <x v="0"/>
    <n v="1"/>
    <n v="1"/>
    <n v="1"/>
  </r>
  <r>
    <x v="4"/>
    <x v="70"/>
    <x v="18"/>
    <x v="12"/>
    <x v="64"/>
    <x v="9"/>
    <x v="2"/>
    <x v="30"/>
    <x v="0"/>
    <n v="1"/>
    <n v="1"/>
    <n v="1"/>
  </r>
  <r>
    <x v="5"/>
    <x v="15"/>
    <x v="22"/>
    <x v="3"/>
    <x v="129"/>
    <x v="9"/>
    <x v="2"/>
    <x v="20"/>
    <x v="1"/>
    <n v="0"/>
    <n v="0"/>
    <n v="0"/>
  </r>
  <r>
    <x v="1"/>
    <x v="15"/>
    <x v="1"/>
    <x v="1"/>
    <x v="130"/>
    <x v="9"/>
    <x v="2"/>
    <x v="31"/>
    <x v="1"/>
    <n v="0"/>
    <n v="0"/>
    <n v="0"/>
  </r>
  <r>
    <x v="4"/>
    <x v="14"/>
    <x v="17"/>
    <x v="2"/>
    <x v="0"/>
    <x v="11"/>
    <x v="2"/>
    <x v="14"/>
    <x v="0"/>
    <n v="1"/>
    <n v="1"/>
    <n v="1"/>
  </r>
  <r>
    <x v="1"/>
    <x v="59"/>
    <x v="2"/>
    <x v="35"/>
    <x v="131"/>
    <x v="20"/>
    <x v="2"/>
    <x v="3"/>
    <x v="1"/>
    <n v="0"/>
    <n v="0"/>
    <n v="0"/>
  </r>
  <r>
    <x v="3"/>
    <x v="5"/>
    <x v="0"/>
    <x v="39"/>
    <x v="76"/>
    <x v="16"/>
    <x v="2"/>
    <x v="25"/>
    <x v="1"/>
    <n v="0"/>
    <n v="0"/>
    <n v="0"/>
  </r>
  <r>
    <x v="3"/>
    <x v="29"/>
    <x v="21"/>
    <x v="2"/>
    <x v="0"/>
    <x v="21"/>
    <x v="2"/>
    <x v="1"/>
    <x v="0"/>
    <n v="1"/>
    <n v="1"/>
    <n v="1"/>
  </r>
  <r>
    <x v="7"/>
    <x v="117"/>
    <x v="20"/>
    <x v="21"/>
    <x v="132"/>
    <x v="3"/>
    <x v="2"/>
    <x v="28"/>
    <x v="1"/>
    <n v="0"/>
    <n v="0"/>
    <n v="0"/>
  </r>
  <r>
    <x v="5"/>
    <x v="74"/>
    <x v="24"/>
    <x v="24"/>
    <x v="12"/>
    <x v="18"/>
    <x v="2"/>
    <x v="33"/>
    <x v="1"/>
    <n v="0"/>
    <n v="0"/>
    <n v="0"/>
  </r>
  <r>
    <x v="3"/>
    <x v="59"/>
    <x v="1"/>
    <x v="32"/>
    <x v="0"/>
    <x v="0"/>
    <x v="2"/>
    <x v="17"/>
    <x v="0"/>
    <n v="1"/>
    <n v="1"/>
    <n v="1"/>
  </r>
  <r>
    <x v="5"/>
    <x v="118"/>
    <x v="7"/>
    <x v="2"/>
    <x v="0"/>
    <x v="30"/>
    <x v="2"/>
    <x v="28"/>
    <x v="1"/>
    <n v="0"/>
    <n v="0"/>
    <n v="0"/>
  </r>
  <r>
    <x v="5"/>
    <x v="107"/>
    <x v="7"/>
    <x v="16"/>
    <x v="0"/>
    <x v="7"/>
    <x v="2"/>
    <x v="28"/>
    <x v="0"/>
    <n v="1"/>
    <n v="1"/>
    <n v="1"/>
  </r>
  <r>
    <x v="3"/>
    <x v="54"/>
    <x v="2"/>
    <x v="2"/>
    <x v="0"/>
    <x v="9"/>
    <x v="2"/>
    <x v="1"/>
    <x v="0"/>
    <n v="1"/>
    <n v="0"/>
    <n v="0"/>
  </r>
  <r>
    <x v="0"/>
    <x v="4"/>
    <x v="42"/>
    <x v="2"/>
    <x v="0"/>
    <x v="20"/>
    <x v="2"/>
    <x v="39"/>
    <x v="1"/>
    <n v="0"/>
    <n v="0"/>
    <n v="0"/>
  </r>
  <r>
    <x v="4"/>
    <x v="64"/>
    <x v="12"/>
    <x v="10"/>
    <x v="3"/>
    <x v="7"/>
    <x v="2"/>
    <x v="22"/>
    <x v="0"/>
    <n v="1"/>
    <n v="1"/>
    <n v="1"/>
  </r>
  <r>
    <x v="9"/>
    <x v="119"/>
    <x v="21"/>
    <x v="19"/>
    <x v="0"/>
    <x v="9"/>
    <x v="2"/>
    <x v="18"/>
    <x v="1"/>
    <n v="0"/>
    <n v="0"/>
    <n v="0"/>
  </r>
  <r>
    <x v="4"/>
    <x v="11"/>
    <x v="2"/>
    <x v="2"/>
    <x v="0"/>
    <x v="21"/>
    <x v="2"/>
    <x v="15"/>
    <x v="0"/>
    <n v="1"/>
    <n v="1"/>
    <n v="1"/>
  </r>
  <r>
    <x v="7"/>
    <x v="66"/>
    <x v="28"/>
    <x v="4"/>
    <x v="133"/>
    <x v="23"/>
    <x v="2"/>
    <x v="6"/>
    <x v="1"/>
    <n v="0"/>
    <n v="0"/>
    <n v="0"/>
  </r>
  <r>
    <x v="3"/>
    <x v="7"/>
    <x v="0"/>
    <x v="2"/>
    <x v="0"/>
    <x v="14"/>
    <x v="2"/>
    <x v="23"/>
    <x v="0"/>
    <n v="1"/>
    <n v="1"/>
    <n v="1"/>
  </r>
  <r>
    <x v="3"/>
    <x v="45"/>
    <x v="25"/>
    <x v="2"/>
    <x v="0"/>
    <x v="16"/>
    <x v="2"/>
    <x v="28"/>
    <x v="1"/>
    <n v="0"/>
    <n v="0"/>
    <n v="0"/>
  </r>
  <r>
    <x v="2"/>
    <x v="8"/>
    <x v="4"/>
    <x v="2"/>
    <x v="0"/>
    <x v="5"/>
    <x v="2"/>
    <x v="33"/>
    <x v="0"/>
    <n v="1"/>
    <n v="1"/>
    <n v="1"/>
  </r>
  <r>
    <x v="1"/>
    <x v="120"/>
    <x v="22"/>
    <x v="47"/>
    <x v="134"/>
    <x v="23"/>
    <x v="2"/>
    <x v="20"/>
    <x v="0"/>
    <n v="1"/>
    <n v="1"/>
    <n v="1"/>
  </r>
  <r>
    <x v="0"/>
    <x v="34"/>
    <x v="15"/>
    <x v="22"/>
    <x v="0"/>
    <x v="17"/>
    <x v="2"/>
    <x v="20"/>
    <x v="1"/>
    <n v="0"/>
    <n v="0"/>
    <n v="0"/>
  </r>
  <r>
    <x v="1"/>
    <x v="60"/>
    <x v="0"/>
    <x v="9"/>
    <x v="35"/>
    <x v="0"/>
    <x v="2"/>
    <x v="28"/>
    <x v="1"/>
    <n v="0"/>
    <n v="0"/>
    <n v="0"/>
  </r>
  <r>
    <x v="1"/>
    <x v="23"/>
    <x v="12"/>
    <x v="3"/>
    <x v="135"/>
    <x v="23"/>
    <x v="2"/>
    <x v="17"/>
    <x v="1"/>
    <n v="0"/>
    <n v="0"/>
    <n v="0"/>
  </r>
  <r>
    <x v="1"/>
    <x v="23"/>
    <x v="4"/>
    <x v="29"/>
    <x v="136"/>
    <x v="5"/>
    <x v="2"/>
    <x v="3"/>
    <x v="1"/>
    <n v="0"/>
    <n v="0"/>
    <n v="0"/>
  </r>
  <r>
    <x v="3"/>
    <x v="33"/>
    <x v="11"/>
    <x v="0"/>
    <x v="119"/>
    <x v="7"/>
    <x v="2"/>
    <x v="3"/>
    <x v="0"/>
    <n v="1"/>
    <n v="1"/>
    <n v="1"/>
  </r>
  <r>
    <x v="5"/>
    <x v="82"/>
    <x v="12"/>
    <x v="11"/>
    <x v="137"/>
    <x v="17"/>
    <x v="2"/>
    <x v="17"/>
    <x v="0"/>
    <n v="1"/>
    <n v="1"/>
    <n v="1"/>
  </r>
  <r>
    <x v="1"/>
    <x v="25"/>
    <x v="22"/>
    <x v="2"/>
    <x v="0"/>
    <x v="1"/>
    <x v="2"/>
    <x v="17"/>
    <x v="1"/>
    <n v="0"/>
    <n v="0"/>
    <n v="0"/>
  </r>
  <r>
    <x v="3"/>
    <x v="70"/>
    <x v="18"/>
    <x v="4"/>
    <x v="0"/>
    <x v="10"/>
    <x v="2"/>
    <x v="25"/>
    <x v="0"/>
    <n v="1"/>
    <n v="1"/>
    <n v="1"/>
  </r>
  <r>
    <x v="1"/>
    <x v="63"/>
    <x v="22"/>
    <x v="2"/>
    <x v="0"/>
    <x v="36"/>
    <x v="2"/>
    <x v="14"/>
    <x v="1"/>
    <n v="0"/>
    <n v="0"/>
    <n v="0"/>
  </r>
  <r>
    <x v="5"/>
    <x v="55"/>
    <x v="2"/>
    <x v="1"/>
    <x v="12"/>
    <x v="5"/>
    <x v="2"/>
    <x v="20"/>
    <x v="0"/>
    <n v="1"/>
    <n v="1"/>
    <n v="1"/>
  </r>
  <r>
    <x v="1"/>
    <x v="22"/>
    <x v="14"/>
    <x v="10"/>
    <x v="138"/>
    <x v="22"/>
    <x v="2"/>
    <x v="6"/>
    <x v="1"/>
    <n v="0"/>
    <n v="0"/>
    <n v="0"/>
  </r>
  <r>
    <x v="7"/>
    <x v="121"/>
    <x v="22"/>
    <x v="20"/>
    <x v="39"/>
    <x v="5"/>
    <x v="2"/>
    <x v="3"/>
    <x v="1"/>
    <n v="0"/>
    <n v="0"/>
    <n v="0"/>
  </r>
  <r>
    <x v="3"/>
    <x v="34"/>
    <x v="2"/>
    <x v="40"/>
    <x v="66"/>
    <x v="31"/>
    <x v="2"/>
    <x v="3"/>
    <x v="1"/>
    <n v="0"/>
    <n v="0"/>
    <n v="0"/>
  </r>
  <r>
    <x v="7"/>
    <x v="7"/>
    <x v="2"/>
    <x v="29"/>
    <x v="0"/>
    <x v="6"/>
    <x v="2"/>
    <x v="3"/>
    <x v="1"/>
    <n v="0"/>
    <n v="0"/>
    <n v="0"/>
  </r>
  <r>
    <x v="2"/>
    <x v="73"/>
    <x v="21"/>
    <x v="4"/>
    <x v="71"/>
    <x v="4"/>
    <x v="2"/>
    <x v="34"/>
    <x v="0"/>
    <n v="1"/>
    <n v="1"/>
    <n v="1"/>
  </r>
  <r>
    <x v="3"/>
    <x v="100"/>
    <x v="21"/>
    <x v="22"/>
    <x v="139"/>
    <x v="15"/>
    <x v="2"/>
    <x v="1"/>
    <x v="0"/>
    <n v="1"/>
    <n v="1"/>
    <n v="1"/>
  </r>
  <r>
    <x v="3"/>
    <x v="121"/>
    <x v="6"/>
    <x v="2"/>
    <x v="0"/>
    <x v="9"/>
    <x v="2"/>
    <x v="28"/>
    <x v="1"/>
    <n v="0"/>
    <n v="0"/>
    <n v="0"/>
  </r>
  <r>
    <x v="1"/>
    <x v="98"/>
    <x v="2"/>
    <x v="9"/>
    <x v="107"/>
    <x v="0"/>
    <x v="2"/>
    <x v="18"/>
    <x v="0"/>
    <n v="1"/>
    <n v="1"/>
    <n v="1"/>
  </r>
  <r>
    <x v="3"/>
    <x v="99"/>
    <x v="16"/>
    <x v="40"/>
    <x v="49"/>
    <x v="31"/>
    <x v="2"/>
    <x v="6"/>
    <x v="1"/>
    <n v="0"/>
    <n v="0"/>
    <n v="0"/>
  </r>
  <r>
    <x v="1"/>
    <x v="54"/>
    <x v="18"/>
    <x v="19"/>
    <x v="107"/>
    <x v="7"/>
    <x v="2"/>
    <x v="16"/>
    <x v="0"/>
    <n v="1"/>
    <n v="0"/>
    <n v="0"/>
  </r>
  <r>
    <x v="7"/>
    <x v="20"/>
    <x v="6"/>
    <x v="2"/>
    <x v="0"/>
    <x v="16"/>
    <x v="2"/>
    <x v="35"/>
    <x v="1"/>
    <n v="0"/>
    <n v="0"/>
    <n v="0"/>
  </r>
  <r>
    <x v="5"/>
    <x v="3"/>
    <x v="4"/>
    <x v="41"/>
    <x v="109"/>
    <x v="8"/>
    <x v="2"/>
    <x v="18"/>
    <x v="1"/>
    <n v="0"/>
    <n v="0"/>
    <n v="0"/>
  </r>
  <r>
    <x v="1"/>
    <x v="65"/>
    <x v="4"/>
    <x v="15"/>
    <x v="140"/>
    <x v="8"/>
    <x v="2"/>
    <x v="17"/>
    <x v="1"/>
    <n v="0"/>
    <n v="0"/>
    <n v="0"/>
  </r>
  <r>
    <x v="7"/>
    <x v="12"/>
    <x v="19"/>
    <x v="2"/>
    <x v="0"/>
    <x v="5"/>
    <x v="2"/>
    <x v="7"/>
    <x v="1"/>
    <n v="0"/>
    <n v="0"/>
    <n v="0"/>
  </r>
  <r>
    <x v="1"/>
    <x v="35"/>
    <x v="22"/>
    <x v="46"/>
    <x v="0"/>
    <x v="20"/>
    <x v="2"/>
    <x v="34"/>
    <x v="1"/>
    <n v="0"/>
    <n v="0"/>
    <n v="0"/>
  </r>
  <r>
    <x v="3"/>
    <x v="52"/>
    <x v="6"/>
    <x v="2"/>
    <x v="0"/>
    <x v="23"/>
    <x v="2"/>
    <x v="7"/>
    <x v="0"/>
    <n v="1"/>
    <n v="1"/>
    <n v="1"/>
  </r>
  <r>
    <x v="14"/>
    <x v="101"/>
    <x v="26"/>
    <x v="11"/>
    <x v="0"/>
    <x v="15"/>
    <x v="2"/>
    <x v="15"/>
    <x v="1"/>
    <n v="0"/>
    <n v="0"/>
    <n v="0"/>
  </r>
  <r>
    <x v="4"/>
    <x v="24"/>
    <x v="19"/>
    <x v="2"/>
    <x v="0"/>
    <x v="8"/>
    <x v="2"/>
    <x v="20"/>
    <x v="1"/>
    <n v="0"/>
    <n v="0"/>
    <n v="0"/>
  </r>
  <r>
    <x v="1"/>
    <x v="25"/>
    <x v="7"/>
    <x v="13"/>
    <x v="0"/>
    <x v="36"/>
    <x v="2"/>
    <x v="3"/>
    <x v="1"/>
    <n v="0"/>
    <n v="0"/>
    <n v="0"/>
  </r>
  <r>
    <x v="0"/>
    <x v="17"/>
    <x v="14"/>
    <x v="2"/>
    <x v="0"/>
    <x v="15"/>
    <x v="2"/>
    <x v="1"/>
    <x v="1"/>
    <n v="0"/>
    <n v="0"/>
    <n v="0"/>
  </r>
  <r>
    <x v="3"/>
    <x v="13"/>
    <x v="37"/>
    <x v="19"/>
    <x v="0"/>
    <x v="0"/>
    <x v="2"/>
    <x v="15"/>
    <x v="0"/>
    <n v="1"/>
    <n v="1"/>
    <n v="1"/>
  </r>
  <r>
    <x v="7"/>
    <x v="63"/>
    <x v="1"/>
    <x v="3"/>
    <x v="52"/>
    <x v="9"/>
    <x v="2"/>
    <x v="17"/>
    <x v="1"/>
    <n v="0"/>
    <n v="0"/>
    <n v="0"/>
  </r>
  <r>
    <x v="3"/>
    <x v="27"/>
    <x v="2"/>
    <x v="23"/>
    <x v="79"/>
    <x v="21"/>
    <x v="2"/>
    <x v="29"/>
    <x v="1"/>
    <n v="0"/>
    <n v="0"/>
    <n v="0"/>
  </r>
  <r>
    <x v="2"/>
    <x v="85"/>
    <x v="7"/>
    <x v="2"/>
    <x v="0"/>
    <x v="8"/>
    <x v="2"/>
    <x v="4"/>
    <x v="0"/>
    <n v="1"/>
    <n v="1"/>
    <n v="1"/>
  </r>
  <r>
    <x v="3"/>
    <x v="27"/>
    <x v="25"/>
    <x v="39"/>
    <x v="0"/>
    <x v="8"/>
    <x v="2"/>
    <x v="5"/>
    <x v="0"/>
    <n v="1"/>
    <n v="1"/>
    <n v="1"/>
  </r>
  <r>
    <x v="3"/>
    <x v="37"/>
    <x v="21"/>
    <x v="48"/>
    <x v="141"/>
    <x v="37"/>
    <x v="2"/>
    <x v="28"/>
    <x v="0"/>
    <n v="1"/>
    <n v="1"/>
    <n v="1"/>
  </r>
  <r>
    <x v="1"/>
    <x v="15"/>
    <x v="0"/>
    <x v="39"/>
    <x v="19"/>
    <x v="18"/>
    <x v="2"/>
    <x v="20"/>
    <x v="1"/>
    <n v="0"/>
    <n v="0"/>
    <n v="0"/>
  </r>
  <r>
    <x v="3"/>
    <x v="54"/>
    <x v="10"/>
    <x v="5"/>
    <x v="53"/>
    <x v="17"/>
    <x v="2"/>
    <x v="6"/>
    <x v="1"/>
    <n v="0"/>
    <n v="0"/>
    <n v="0"/>
  </r>
  <r>
    <x v="3"/>
    <x v="92"/>
    <x v="2"/>
    <x v="17"/>
    <x v="37"/>
    <x v="0"/>
    <x v="2"/>
    <x v="17"/>
    <x v="0"/>
    <n v="1"/>
    <n v="1"/>
    <n v="1"/>
  </r>
  <r>
    <x v="3"/>
    <x v="81"/>
    <x v="4"/>
    <x v="20"/>
    <x v="55"/>
    <x v="8"/>
    <x v="2"/>
    <x v="6"/>
    <x v="1"/>
    <n v="0"/>
    <n v="0"/>
    <n v="0"/>
  </r>
  <r>
    <x v="1"/>
    <x v="118"/>
    <x v="2"/>
    <x v="27"/>
    <x v="142"/>
    <x v="30"/>
    <x v="2"/>
    <x v="35"/>
    <x v="1"/>
    <n v="0"/>
    <n v="0"/>
    <n v="0"/>
  </r>
  <r>
    <x v="7"/>
    <x v="68"/>
    <x v="7"/>
    <x v="2"/>
    <x v="0"/>
    <x v="14"/>
    <x v="2"/>
    <x v="35"/>
    <x v="0"/>
    <n v="1"/>
    <n v="1"/>
    <n v="1"/>
  </r>
  <r>
    <x v="3"/>
    <x v="104"/>
    <x v="22"/>
    <x v="4"/>
    <x v="71"/>
    <x v="13"/>
    <x v="2"/>
    <x v="28"/>
    <x v="1"/>
    <n v="0"/>
    <n v="0"/>
    <n v="0"/>
  </r>
  <r>
    <x v="7"/>
    <x v="22"/>
    <x v="6"/>
    <x v="2"/>
    <x v="0"/>
    <x v="19"/>
    <x v="2"/>
    <x v="47"/>
    <x v="1"/>
    <n v="0"/>
    <n v="0"/>
    <n v="0"/>
  </r>
  <r>
    <x v="7"/>
    <x v="15"/>
    <x v="34"/>
    <x v="30"/>
    <x v="63"/>
    <x v="10"/>
    <x v="2"/>
    <x v="29"/>
    <x v="1"/>
    <n v="0"/>
    <n v="0"/>
    <n v="0"/>
  </r>
  <r>
    <x v="15"/>
    <x v="122"/>
    <x v="25"/>
    <x v="9"/>
    <x v="0"/>
    <x v="0"/>
    <x v="2"/>
    <x v="18"/>
    <x v="0"/>
    <n v="1"/>
    <n v="1"/>
    <n v="1"/>
  </r>
  <r>
    <x v="1"/>
    <x v="99"/>
    <x v="34"/>
    <x v="2"/>
    <x v="0"/>
    <x v="1"/>
    <x v="2"/>
    <x v="38"/>
    <x v="1"/>
    <n v="0"/>
    <n v="0"/>
    <n v="0"/>
  </r>
  <r>
    <x v="4"/>
    <x v="106"/>
    <x v="22"/>
    <x v="30"/>
    <x v="33"/>
    <x v="8"/>
    <x v="2"/>
    <x v="29"/>
    <x v="1"/>
    <n v="0"/>
    <n v="0"/>
    <n v="0"/>
  </r>
  <r>
    <x v="6"/>
    <x v="0"/>
    <x v="12"/>
    <x v="45"/>
    <x v="143"/>
    <x v="10"/>
    <x v="2"/>
    <x v="13"/>
    <x v="0"/>
    <n v="1"/>
    <n v="1"/>
    <n v="1"/>
  </r>
  <r>
    <x v="9"/>
    <x v="68"/>
    <x v="4"/>
    <x v="11"/>
    <x v="140"/>
    <x v="5"/>
    <x v="2"/>
    <x v="48"/>
    <x v="1"/>
    <n v="0"/>
    <n v="0"/>
    <n v="0"/>
  </r>
  <r>
    <x v="9"/>
    <x v="81"/>
    <x v="0"/>
    <x v="29"/>
    <x v="81"/>
    <x v="30"/>
    <x v="2"/>
    <x v="26"/>
    <x v="1"/>
    <n v="0"/>
    <n v="0"/>
    <n v="0"/>
  </r>
  <r>
    <x v="1"/>
    <x v="43"/>
    <x v="25"/>
    <x v="2"/>
    <x v="0"/>
    <x v="16"/>
    <x v="2"/>
    <x v="6"/>
    <x v="1"/>
    <n v="0"/>
    <n v="0"/>
    <n v="0"/>
  </r>
  <r>
    <x v="2"/>
    <x v="62"/>
    <x v="7"/>
    <x v="32"/>
    <x v="51"/>
    <x v="7"/>
    <x v="2"/>
    <x v="33"/>
    <x v="1"/>
    <n v="0"/>
    <n v="0"/>
    <n v="0"/>
  </r>
  <r>
    <x v="4"/>
    <x v="30"/>
    <x v="21"/>
    <x v="9"/>
    <x v="0"/>
    <x v="3"/>
    <x v="2"/>
    <x v="25"/>
    <x v="1"/>
    <n v="0"/>
    <n v="0"/>
    <n v="0"/>
  </r>
  <r>
    <x v="6"/>
    <x v="7"/>
    <x v="36"/>
    <x v="2"/>
    <x v="0"/>
    <x v="20"/>
    <x v="2"/>
    <x v="10"/>
    <x v="1"/>
    <n v="0"/>
    <n v="0"/>
    <n v="0"/>
  </r>
  <r>
    <x v="3"/>
    <x v="78"/>
    <x v="24"/>
    <x v="27"/>
    <x v="63"/>
    <x v="16"/>
    <x v="2"/>
    <x v="3"/>
    <x v="1"/>
    <n v="0"/>
    <n v="0"/>
    <n v="0"/>
  </r>
  <r>
    <x v="3"/>
    <x v="62"/>
    <x v="35"/>
    <x v="25"/>
    <x v="22"/>
    <x v="3"/>
    <x v="2"/>
    <x v="17"/>
    <x v="1"/>
    <n v="0"/>
    <n v="0"/>
    <n v="0"/>
  </r>
  <r>
    <x v="3"/>
    <x v="25"/>
    <x v="2"/>
    <x v="14"/>
    <x v="30"/>
    <x v="15"/>
    <x v="2"/>
    <x v="28"/>
    <x v="1"/>
    <n v="0"/>
    <n v="0"/>
    <n v="0"/>
  </r>
  <r>
    <x v="2"/>
    <x v="81"/>
    <x v="6"/>
    <x v="2"/>
    <x v="0"/>
    <x v="8"/>
    <x v="2"/>
    <x v="18"/>
    <x v="0"/>
    <n v="1"/>
    <n v="1"/>
    <n v="1"/>
  </r>
  <r>
    <x v="0"/>
    <x v="86"/>
    <x v="21"/>
    <x v="10"/>
    <x v="13"/>
    <x v="11"/>
    <x v="2"/>
    <x v="14"/>
    <x v="1"/>
    <n v="0"/>
    <n v="0"/>
    <n v="0"/>
  </r>
  <r>
    <x v="1"/>
    <x v="70"/>
    <x v="18"/>
    <x v="32"/>
    <x v="0"/>
    <x v="31"/>
    <x v="2"/>
    <x v="20"/>
    <x v="1"/>
    <n v="0"/>
    <n v="0"/>
    <n v="0"/>
  </r>
  <r>
    <x v="3"/>
    <x v="4"/>
    <x v="7"/>
    <x v="8"/>
    <x v="0"/>
    <x v="21"/>
    <x v="2"/>
    <x v="17"/>
    <x v="1"/>
    <n v="0"/>
    <n v="0"/>
    <n v="0"/>
  </r>
  <r>
    <x v="3"/>
    <x v="22"/>
    <x v="1"/>
    <x v="23"/>
    <x v="0"/>
    <x v="12"/>
    <x v="2"/>
    <x v="17"/>
    <x v="1"/>
    <n v="0"/>
    <n v="0"/>
    <n v="0"/>
  </r>
  <r>
    <x v="8"/>
    <x v="64"/>
    <x v="15"/>
    <x v="2"/>
    <x v="0"/>
    <x v="8"/>
    <x v="2"/>
    <x v="0"/>
    <x v="1"/>
    <n v="0"/>
    <n v="0"/>
    <n v="0"/>
  </r>
  <r>
    <x v="3"/>
    <x v="53"/>
    <x v="2"/>
    <x v="2"/>
    <x v="0"/>
    <x v="14"/>
    <x v="2"/>
    <x v="29"/>
    <x v="1"/>
    <n v="0"/>
    <n v="0"/>
    <n v="0"/>
  </r>
  <r>
    <x v="3"/>
    <x v="4"/>
    <x v="12"/>
    <x v="23"/>
    <x v="0"/>
    <x v="1"/>
    <x v="2"/>
    <x v="12"/>
    <x v="1"/>
    <n v="0"/>
    <n v="0"/>
    <n v="0"/>
  </r>
  <r>
    <x v="7"/>
    <x v="44"/>
    <x v="10"/>
    <x v="5"/>
    <x v="144"/>
    <x v="0"/>
    <x v="2"/>
    <x v="7"/>
    <x v="0"/>
    <n v="1"/>
    <n v="1"/>
    <n v="1"/>
  </r>
  <r>
    <x v="8"/>
    <x v="53"/>
    <x v="17"/>
    <x v="36"/>
    <x v="14"/>
    <x v="20"/>
    <x v="2"/>
    <x v="1"/>
    <x v="1"/>
    <n v="0"/>
    <n v="0"/>
    <n v="0"/>
  </r>
  <r>
    <x v="2"/>
    <x v="19"/>
    <x v="4"/>
    <x v="8"/>
    <x v="98"/>
    <x v="5"/>
    <x v="2"/>
    <x v="33"/>
    <x v="1"/>
    <n v="0"/>
    <n v="0"/>
    <n v="0"/>
  </r>
  <r>
    <x v="3"/>
    <x v="80"/>
    <x v="27"/>
    <x v="16"/>
    <x v="0"/>
    <x v="3"/>
    <x v="2"/>
    <x v="45"/>
    <x v="1"/>
    <n v="0"/>
    <n v="0"/>
    <n v="0"/>
  </r>
  <r>
    <x v="5"/>
    <x v="29"/>
    <x v="7"/>
    <x v="9"/>
    <x v="145"/>
    <x v="17"/>
    <x v="2"/>
    <x v="22"/>
    <x v="0"/>
    <n v="1"/>
    <n v="1"/>
    <n v="1"/>
  </r>
  <r>
    <x v="3"/>
    <x v="66"/>
    <x v="14"/>
    <x v="17"/>
    <x v="0"/>
    <x v="7"/>
    <x v="2"/>
    <x v="7"/>
    <x v="1"/>
    <n v="0"/>
    <n v="0"/>
    <n v="0"/>
  </r>
  <r>
    <x v="3"/>
    <x v="1"/>
    <x v="20"/>
    <x v="29"/>
    <x v="51"/>
    <x v="3"/>
    <x v="2"/>
    <x v="20"/>
    <x v="1"/>
    <n v="0"/>
    <n v="0"/>
    <n v="0"/>
  </r>
  <r>
    <x v="3"/>
    <x v="50"/>
    <x v="18"/>
    <x v="16"/>
    <x v="34"/>
    <x v="10"/>
    <x v="2"/>
    <x v="35"/>
    <x v="1"/>
    <n v="0"/>
    <n v="0"/>
    <n v="0"/>
  </r>
  <r>
    <x v="3"/>
    <x v="26"/>
    <x v="6"/>
    <x v="2"/>
    <x v="0"/>
    <x v="33"/>
    <x v="2"/>
    <x v="1"/>
    <x v="0"/>
    <n v="1"/>
    <n v="1"/>
    <n v="1"/>
  </r>
  <r>
    <x v="3"/>
    <x v="99"/>
    <x v="22"/>
    <x v="18"/>
    <x v="146"/>
    <x v="23"/>
    <x v="2"/>
    <x v="29"/>
    <x v="0"/>
    <n v="1"/>
    <n v="1"/>
    <n v="1"/>
  </r>
  <r>
    <x v="1"/>
    <x v="12"/>
    <x v="25"/>
    <x v="10"/>
    <x v="147"/>
    <x v="31"/>
    <x v="2"/>
    <x v="3"/>
    <x v="1"/>
    <n v="0"/>
    <n v="0"/>
    <n v="0"/>
  </r>
  <r>
    <x v="3"/>
    <x v="82"/>
    <x v="21"/>
    <x v="4"/>
    <x v="148"/>
    <x v="11"/>
    <x v="2"/>
    <x v="30"/>
    <x v="1"/>
    <n v="0"/>
    <n v="0"/>
    <n v="0"/>
  </r>
  <r>
    <x v="3"/>
    <x v="20"/>
    <x v="0"/>
    <x v="36"/>
    <x v="0"/>
    <x v="5"/>
    <x v="2"/>
    <x v="20"/>
    <x v="1"/>
    <n v="0"/>
    <n v="0"/>
    <n v="0"/>
  </r>
  <r>
    <x v="2"/>
    <x v="97"/>
    <x v="10"/>
    <x v="2"/>
    <x v="0"/>
    <x v="5"/>
    <x v="2"/>
    <x v="46"/>
    <x v="1"/>
    <n v="0"/>
    <n v="0"/>
    <n v="0"/>
  </r>
  <r>
    <x v="7"/>
    <x v="63"/>
    <x v="30"/>
    <x v="30"/>
    <x v="122"/>
    <x v="15"/>
    <x v="2"/>
    <x v="29"/>
    <x v="1"/>
    <n v="0"/>
    <n v="0"/>
    <n v="0"/>
  </r>
  <r>
    <x v="7"/>
    <x v="3"/>
    <x v="15"/>
    <x v="9"/>
    <x v="0"/>
    <x v="0"/>
    <x v="2"/>
    <x v="31"/>
    <x v="1"/>
    <n v="0"/>
    <n v="0"/>
    <n v="0"/>
  </r>
  <r>
    <x v="3"/>
    <x v="20"/>
    <x v="22"/>
    <x v="8"/>
    <x v="0"/>
    <x v="21"/>
    <x v="2"/>
    <x v="4"/>
    <x v="1"/>
    <n v="0"/>
    <n v="0"/>
    <n v="0"/>
  </r>
  <r>
    <x v="3"/>
    <x v="9"/>
    <x v="7"/>
    <x v="20"/>
    <x v="96"/>
    <x v="14"/>
    <x v="2"/>
    <x v="21"/>
    <x v="0"/>
    <n v="1"/>
    <n v="1"/>
    <n v="1"/>
  </r>
  <r>
    <x v="5"/>
    <x v="65"/>
    <x v="6"/>
    <x v="2"/>
    <x v="0"/>
    <x v="9"/>
    <x v="2"/>
    <x v="17"/>
    <x v="1"/>
    <n v="0"/>
    <n v="0"/>
    <n v="0"/>
  </r>
  <r>
    <x v="0"/>
    <x v="14"/>
    <x v="4"/>
    <x v="2"/>
    <x v="0"/>
    <x v="1"/>
    <x v="2"/>
    <x v="43"/>
    <x v="1"/>
    <n v="0"/>
    <n v="0"/>
    <n v="0"/>
  </r>
  <r>
    <x v="4"/>
    <x v="10"/>
    <x v="22"/>
    <x v="2"/>
    <x v="0"/>
    <x v="5"/>
    <x v="2"/>
    <x v="5"/>
    <x v="1"/>
    <n v="0"/>
    <n v="0"/>
    <n v="0"/>
  </r>
  <r>
    <x v="7"/>
    <x v="67"/>
    <x v="0"/>
    <x v="13"/>
    <x v="39"/>
    <x v="8"/>
    <x v="2"/>
    <x v="28"/>
    <x v="1"/>
    <n v="0"/>
    <n v="0"/>
    <n v="0"/>
  </r>
  <r>
    <x v="8"/>
    <x v="123"/>
    <x v="7"/>
    <x v="11"/>
    <x v="49"/>
    <x v="18"/>
    <x v="2"/>
    <x v="39"/>
    <x v="0"/>
    <n v="1"/>
    <n v="1"/>
    <n v="1"/>
  </r>
  <r>
    <x v="0"/>
    <x v="86"/>
    <x v="4"/>
    <x v="4"/>
    <x v="149"/>
    <x v="14"/>
    <x v="2"/>
    <x v="33"/>
    <x v="1"/>
    <n v="0"/>
    <n v="0"/>
    <n v="0"/>
  </r>
  <r>
    <x v="7"/>
    <x v="27"/>
    <x v="15"/>
    <x v="6"/>
    <x v="33"/>
    <x v="18"/>
    <x v="2"/>
    <x v="3"/>
    <x v="1"/>
    <n v="0"/>
    <n v="0"/>
    <n v="0"/>
  </r>
  <r>
    <x v="5"/>
    <x v="50"/>
    <x v="0"/>
    <x v="4"/>
    <x v="0"/>
    <x v="15"/>
    <x v="2"/>
    <x v="20"/>
    <x v="1"/>
    <n v="0"/>
    <n v="0"/>
    <n v="0"/>
  </r>
  <r>
    <x v="0"/>
    <x v="57"/>
    <x v="22"/>
    <x v="10"/>
    <x v="0"/>
    <x v="12"/>
    <x v="2"/>
    <x v="15"/>
    <x v="0"/>
    <n v="1"/>
    <n v="1"/>
    <n v="1"/>
  </r>
  <r>
    <x v="8"/>
    <x v="121"/>
    <x v="2"/>
    <x v="19"/>
    <x v="150"/>
    <x v="21"/>
    <x v="2"/>
    <x v="15"/>
    <x v="1"/>
    <n v="0"/>
    <n v="0"/>
    <n v="0"/>
  </r>
  <r>
    <x v="5"/>
    <x v="74"/>
    <x v="21"/>
    <x v="22"/>
    <x v="0"/>
    <x v="15"/>
    <x v="2"/>
    <x v="27"/>
    <x v="1"/>
    <n v="0"/>
    <n v="0"/>
    <n v="0"/>
  </r>
  <r>
    <x v="6"/>
    <x v="94"/>
    <x v="18"/>
    <x v="2"/>
    <x v="0"/>
    <x v="21"/>
    <x v="2"/>
    <x v="18"/>
    <x v="1"/>
    <n v="0"/>
    <n v="0"/>
    <n v="0"/>
  </r>
  <r>
    <x v="3"/>
    <x v="37"/>
    <x v="15"/>
    <x v="12"/>
    <x v="31"/>
    <x v="17"/>
    <x v="2"/>
    <x v="22"/>
    <x v="0"/>
    <n v="1"/>
    <n v="1"/>
    <n v="1"/>
  </r>
  <r>
    <x v="1"/>
    <x v="96"/>
    <x v="11"/>
    <x v="3"/>
    <x v="138"/>
    <x v="14"/>
    <x v="2"/>
    <x v="3"/>
    <x v="1"/>
    <n v="0"/>
    <n v="0"/>
    <n v="0"/>
  </r>
  <r>
    <x v="7"/>
    <x v="50"/>
    <x v="5"/>
    <x v="3"/>
    <x v="39"/>
    <x v="8"/>
    <x v="2"/>
    <x v="3"/>
    <x v="1"/>
    <n v="0"/>
    <n v="0"/>
    <n v="0"/>
  </r>
  <r>
    <x v="2"/>
    <x v="81"/>
    <x v="21"/>
    <x v="2"/>
    <x v="0"/>
    <x v="18"/>
    <x v="2"/>
    <x v="49"/>
    <x v="1"/>
    <n v="0"/>
    <n v="0"/>
    <n v="0"/>
  </r>
  <r>
    <x v="14"/>
    <x v="50"/>
    <x v="0"/>
    <x v="16"/>
    <x v="0"/>
    <x v="8"/>
    <x v="2"/>
    <x v="23"/>
    <x v="0"/>
    <n v="1"/>
    <n v="0"/>
    <n v="0"/>
  </r>
  <r>
    <x v="3"/>
    <x v="12"/>
    <x v="25"/>
    <x v="36"/>
    <x v="71"/>
    <x v="16"/>
    <x v="2"/>
    <x v="3"/>
    <x v="1"/>
    <n v="0"/>
    <n v="0"/>
    <n v="0"/>
  </r>
  <r>
    <x v="9"/>
    <x v="104"/>
    <x v="22"/>
    <x v="2"/>
    <x v="0"/>
    <x v="20"/>
    <x v="2"/>
    <x v="30"/>
    <x v="1"/>
    <n v="0"/>
    <n v="0"/>
    <n v="0"/>
  </r>
  <r>
    <x v="7"/>
    <x v="104"/>
    <x v="25"/>
    <x v="2"/>
    <x v="0"/>
    <x v="1"/>
    <x v="2"/>
    <x v="17"/>
    <x v="1"/>
    <n v="0"/>
    <n v="0"/>
    <n v="0"/>
  </r>
  <r>
    <x v="5"/>
    <x v="20"/>
    <x v="34"/>
    <x v="6"/>
    <x v="151"/>
    <x v="5"/>
    <x v="2"/>
    <x v="29"/>
    <x v="1"/>
    <n v="0"/>
    <n v="0"/>
    <n v="0"/>
  </r>
  <r>
    <x v="5"/>
    <x v="72"/>
    <x v="7"/>
    <x v="20"/>
    <x v="63"/>
    <x v="9"/>
    <x v="2"/>
    <x v="20"/>
    <x v="0"/>
    <n v="1"/>
    <n v="1"/>
    <n v="1"/>
  </r>
  <r>
    <x v="9"/>
    <x v="26"/>
    <x v="14"/>
    <x v="24"/>
    <x v="133"/>
    <x v="8"/>
    <x v="2"/>
    <x v="8"/>
    <x v="0"/>
    <n v="1"/>
    <n v="1"/>
    <n v="1"/>
  </r>
  <r>
    <x v="8"/>
    <x v="9"/>
    <x v="27"/>
    <x v="2"/>
    <x v="0"/>
    <x v="10"/>
    <x v="2"/>
    <x v="13"/>
    <x v="1"/>
    <n v="0"/>
    <n v="0"/>
    <n v="0"/>
  </r>
  <r>
    <x v="11"/>
    <x v="76"/>
    <x v="11"/>
    <x v="2"/>
    <x v="0"/>
    <x v="21"/>
    <x v="2"/>
    <x v="15"/>
    <x v="1"/>
    <n v="0"/>
    <n v="0"/>
    <n v="0"/>
  </r>
  <r>
    <x v="0"/>
    <x v="55"/>
    <x v="15"/>
    <x v="42"/>
    <x v="152"/>
    <x v="19"/>
    <x v="2"/>
    <x v="19"/>
    <x v="1"/>
    <n v="0"/>
    <n v="0"/>
    <n v="0"/>
  </r>
  <r>
    <x v="7"/>
    <x v="124"/>
    <x v="7"/>
    <x v="4"/>
    <x v="122"/>
    <x v="18"/>
    <x v="2"/>
    <x v="28"/>
    <x v="1"/>
    <n v="0"/>
    <n v="0"/>
    <n v="0"/>
  </r>
  <r>
    <x v="5"/>
    <x v="78"/>
    <x v="10"/>
    <x v="11"/>
    <x v="67"/>
    <x v="21"/>
    <x v="2"/>
    <x v="6"/>
    <x v="1"/>
    <n v="0"/>
    <n v="0"/>
    <n v="0"/>
  </r>
  <r>
    <x v="0"/>
    <x v="53"/>
    <x v="6"/>
    <x v="2"/>
    <x v="0"/>
    <x v="9"/>
    <x v="2"/>
    <x v="6"/>
    <x v="1"/>
    <n v="0"/>
    <n v="0"/>
    <n v="0"/>
  </r>
  <r>
    <x v="9"/>
    <x v="96"/>
    <x v="7"/>
    <x v="2"/>
    <x v="0"/>
    <x v="0"/>
    <x v="2"/>
    <x v="21"/>
    <x v="0"/>
    <n v="1"/>
    <n v="1"/>
    <n v="1"/>
  </r>
  <r>
    <x v="5"/>
    <x v="9"/>
    <x v="20"/>
    <x v="2"/>
    <x v="0"/>
    <x v="9"/>
    <x v="2"/>
    <x v="29"/>
    <x v="1"/>
    <n v="0"/>
    <n v="0"/>
    <n v="0"/>
  </r>
  <r>
    <x v="5"/>
    <x v="93"/>
    <x v="11"/>
    <x v="20"/>
    <x v="0"/>
    <x v="16"/>
    <x v="2"/>
    <x v="3"/>
    <x v="1"/>
    <n v="0"/>
    <n v="0"/>
    <n v="0"/>
  </r>
  <r>
    <x v="1"/>
    <x v="25"/>
    <x v="2"/>
    <x v="6"/>
    <x v="21"/>
    <x v="36"/>
    <x v="2"/>
    <x v="3"/>
    <x v="1"/>
    <n v="0"/>
    <n v="0"/>
    <n v="0"/>
  </r>
  <r>
    <x v="5"/>
    <x v="5"/>
    <x v="4"/>
    <x v="13"/>
    <x v="63"/>
    <x v="5"/>
    <x v="2"/>
    <x v="29"/>
    <x v="1"/>
    <n v="0"/>
    <n v="0"/>
    <n v="0"/>
  </r>
  <r>
    <x v="3"/>
    <x v="27"/>
    <x v="1"/>
    <x v="16"/>
    <x v="153"/>
    <x v="6"/>
    <x v="2"/>
    <x v="17"/>
    <x v="1"/>
    <n v="0"/>
    <n v="0"/>
    <n v="0"/>
  </r>
  <r>
    <x v="3"/>
    <x v="36"/>
    <x v="30"/>
    <x v="2"/>
    <x v="0"/>
    <x v="18"/>
    <x v="2"/>
    <x v="1"/>
    <x v="1"/>
    <n v="0"/>
    <n v="0"/>
    <n v="0"/>
  </r>
  <r>
    <x v="7"/>
    <x v="32"/>
    <x v="11"/>
    <x v="20"/>
    <x v="154"/>
    <x v="8"/>
    <x v="2"/>
    <x v="17"/>
    <x v="1"/>
    <n v="0"/>
    <n v="0"/>
    <n v="0"/>
  </r>
  <r>
    <x v="3"/>
    <x v="17"/>
    <x v="17"/>
    <x v="2"/>
    <x v="0"/>
    <x v="22"/>
    <x v="2"/>
    <x v="29"/>
    <x v="1"/>
    <n v="0"/>
    <n v="0"/>
    <n v="0"/>
  </r>
  <r>
    <x v="1"/>
    <x v="106"/>
    <x v="1"/>
    <x v="43"/>
    <x v="155"/>
    <x v="31"/>
    <x v="2"/>
    <x v="7"/>
    <x v="1"/>
    <n v="0"/>
    <n v="0"/>
    <n v="0"/>
  </r>
  <r>
    <x v="0"/>
    <x v="104"/>
    <x v="6"/>
    <x v="2"/>
    <x v="0"/>
    <x v="8"/>
    <x v="2"/>
    <x v="1"/>
    <x v="1"/>
    <n v="0"/>
    <n v="0"/>
    <n v="0"/>
  </r>
  <r>
    <x v="1"/>
    <x v="111"/>
    <x v="24"/>
    <x v="9"/>
    <x v="81"/>
    <x v="21"/>
    <x v="2"/>
    <x v="29"/>
    <x v="1"/>
    <n v="0"/>
    <n v="0"/>
    <n v="0"/>
  </r>
  <r>
    <x v="3"/>
    <x v="80"/>
    <x v="6"/>
    <x v="2"/>
    <x v="0"/>
    <x v="21"/>
    <x v="2"/>
    <x v="35"/>
    <x v="0"/>
    <n v="1"/>
    <n v="1"/>
    <n v="1"/>
  </r>
  <r>
    <x v="3"/>
    <x v="44"/>
    <x v="15"/>
    <x v="2"/>
    <x v="0"/>
    <x v="8"/>
    <x v="2"/>
    <x v="23"/>
    <x v="1"/>
    <n v="0"/>
    <n v="0"/>
    <n v="0"/>
  </r>
  <r>
    <x v="3"/>
    <x v="87"/>
    <x v="11"/>
    <x v="2"/>
    <x v="0"/>
    <x v="16"/>
    <x v="2"/>
    <x v="46"/>
    <x v="1"/>
    <n v="0"/>
    <n v="0"/>
    <n v="0"/>
  </r>
  <r>
    <x v="3"/>
    <x v="117"/>
    <x v="10"/>
    <x v="17"/>
    <x v="71"/>
    <x v="17"/>
    <x v="2"/>
    <x v="35"/>
    <x v="1"/>
    <n v="0"/>
    <n v="0"/>
    <n v="0"/>
  </r>
  <r>
    <x v="5"/>
    <x v="55"/>
    <x v="9"/>
    <x v="47"/>
    <x v="59"/>
    <x v="17"/>
    <x v="2"/>
    <x v="2"/>
    <x v="0"/>
    <n v="1"/>
    <n v="1"/>
    <n v="1"/>
  </r>
  <r>
    <x v="2"/>
    <x v="15"/>
    <x v="4"/>
    <x v="32"/>
    <x v="102"/>
    <x v="12"/>
    <x v="2"/>
    <x v="16"/>
    <x v="0"/>
    <n v="1"/>
    <n v="1"/>
    <n v="1"/>
  </r>
  <r>
    <x v="5"/>
    <x v="84"/>
    <x v="0"/>
    <x v="19"/>
    <x v="74"/>
    <x v="9"/>
    <x v="2"/>
    <x v="14"/>
    <x v="0"/>
    <n v="1"/>
    <n v="1"/>
    <n v="1"/>
  </r>
  <r>
    <x v="6"/>
    <x v="35"/>
    <x v="26"/>
    <x v="4"/>
    <x v="0"/>
    <x v="7"/>
    <x v="2"/>
    <x v="24"/>
    <x v="0"/>
    <n v="1"/>
    <n v="0"/>
    <n v="0"/>
  </r>
  <r>
    <x v="3"/>
    <x v="50"/>
    <x v="15"/>
    <x v="3"/>
    <x v="81"/>
    <x v="13"/>
    <x v="2"/>
    <x v="28"/>
    <x v="1"/>
    <n v="0"/>
    <n v="0"/>
    <n v="0"/>
  </r>
  <r>
    <x v="1"/>
    <x v="30"/>
    <x v="21"/>
    <x v="1"/>
    <x v="39"/>
    <x v="9"/>
    <x v="2"/>
    <x v="7"/>
    <x v="1"/>
    <n v="0"/>
    <n v="0"/>
    <n v="0"/>
  </r>
  <r>
    <x v="2"/>
    <x v="125"/>
    <x v="15"/>
    <x v="0"/>
    <x v="50"/>
    <x v="0"/>
    <x v="2"/>
    <x v="25"/>
    <x v="0"/>
    <n v="1"/>
    <n v="1"/>
    <n v="1"/>
  </r>
  <r>
    <x v="4"/>
    <x v="49"/>
    <x v="17"/>
    <x v="23"/>
    <x v="18"/>
    <x v="33"/>
    <x v="2"/>
    <x v="8"/>
    <x v="0"/>
    <n v="1"/>
    <n v="1"/>
    <n v="1"/>
  </r>
  <r>
    <x v="3"/>
    <x v="59"/>
    <x v="22"/>
    <x v="2"/>
    <x v="156"/>
    <x v="21"/>
    <x v="2"/>
    <x v="20"/>
    <x v="1"/>
    <n v="0"/>
    <n v="0"/>
    <n v="0"/>
  </r>
  <r>
    <x v="1"/>
    <x v="103"/>
    <x v="18"/>
    <x v="44"/>
    <x v="92"/>
    <x v="21"/>
    <x v="2"/>
    <x v="0"/>
    <x v="1"/>
    <n v="0"/>
    <n v="0"/>
    <n v="0"/>
  </r>
  <r>
    <x v="3"/>
    <x v="13"/>
    <x v="23"/>
    <x v="16"/>
    <x v="0"/>
    <x v="3"/>
    <x v="2"/>
    <x v="25"/>
    <x v="1"/>
    <n v="0"/>
    <n v="0"/>
    <n v="0"/>
  </r>
  <r>
    <x v="1"/>
    <x v="5"/>
    <x v="7"/>
    <x v="30"/>
    <x v="0"/>
    <x v="1"/>
    <x v="2"/>
    <x v="3"/>
    <x v="1"/>
    <n v="0"/>
    <n v="0"/>
    <n v="0"/>
  </r>
  <r>
    <x v="5"/>
    <x v="50"/>
    <x v="22"/>
    <x v="9"/>
    <x v="154"/>
    <x v="9"/>
    <x v="2"/>
    <x v="28"/>
    <x v="1"/>
    <n v="0"/>
    <n v="0"/>
    <n v="0"/>
  </r>
  <r>
    <x v="0"/>
    <x v="53"/>
    <x v="14"/>
    <x v="2"/>
    <x v="0"/>
    <x v="3"/>
    <x v="2"/>
    <x v="43"/>
    <x v="1"/>
    <n v="0"/>
    <n v="0"/>
    <n v="0"/>
  </r>
  <r>
    <x v="1"/>
    <x v="30"/>
    <x v="25"/>
    <x v="21"/>
    <x v="73"/>
    <x v="8"/>
    <x v="2"/>
    <x v="35"/>
    <x v="1"/>
    <n v="0"/>
    <n v="0"/>
    <n v="0"/>
  </r>
  <r>
    <x v="1"/>
    <x v="50"/>
    <x v="2"/>
    <x v="3"/>
    <x v="12"/>
    <x v="15"/>
    <x v="2"/>
    <x v="20"/>
    <x v="1"/>
    <n v="0"/>
    <n v="0"/>
    <n v="0"/>
  </r>
  <r>
    <x v="8"/>
    <x v="78"/>
    <x v="7"/>
    <x v="11"/>
    <x v="102"/>
    <x v="5"/>
    <x v="2"/>
    <x v="25"/>
    <x v="1"/>
    <n v="0"/>
    <n v="0"/>
    <n v="0"/>
  </r>
  <r>
    <x v="1"/>
    <x v="25"/>
    <x v="7"/>
    <x v="32"/>
    <x v="0"/>
    <x v="10"/>
    <x v="2"/>
    <x v="5"/>
    <x v="1"/>
    <n v="0"/>
    <n v="0"/>
    <n v="0"/>
  </r>
  <r>
    <x v="2"/>
    <x v="10"/>
    <x v="17"/>
    <x v="2"/>
    <x v="0"/>
    <x v="3"/>
    <x v="2"/>
    <x v="30"/>
    <x v="1"/>
    <n v="0"/>
    <n v="0"/>
    <n v="0"/>
  </r>
  <r>
    <x v="10"/>
    <x v="18"/>
    <x v="22"/>
    <x v="32"/>
    <x v="0"/>
    <x v="11"/>
    <x v="2"/>
    <x v="31"/>
    <x v="1"/>
    <n v="0"/>
    <n v="0"/>
    <n v="0"/>
  </r>
  <r>
    <x v="10"/>
    <x v="1"/>
    <x v="4"/>
    <x v="2"/>
    <x v="0"/>
    <x v="8"/>
    <x v="2"/>
    <x v="22"/>
    <x v="1"/>
    <n v="0"/>
    <n v="0"/>
    <n v="0"/>
  </r>
  <r>
    <x v="0"/>
    <x v="9"/>
    <x v="17"/>
    <x v="2"/>
    <x v="0"/>
    <x v="0"/>
    <x v="2"/>
    <x v="9"/>
    <x v="0"/>
    <n v="1"/>
    <n v="1"/>
    <n v="1"/>
  </r>
  <r>
    <x v="3"/>
    <x v="126"/>
    <x v="1"/>
    <x v="4"/>
    <x v="157"/>
    <x v="31"/>
    <x v="2"/>
    <x v="20"/>
    <x v="0"/>
    <n v="1"/>
    <n v="1"/>
    <n v="1"/>
  </r>
  <r>
    <x v="1"/>
    <x v="93"/>
    <x v="22"/>
    <x v="24"/>
    <x v="158"/>
    <x v="10"/>
    <x v="2"/>
    <x v="29"/>
    <x v="1"/>
    <n v="0"/>
    <n v="0"/>
    <n v="0"/>
  </r>
  <r>
    <x v="0"/>
    <x v="20"/>
    <x v="11"/>
    <x v="6"/>
    <x v="16"/>
    <x v="1"/>
    <x v="2"/>
    <x v="2"/>
    <x v="1"/>
    <n v="0"/>
    <n v="0"/>
    <n v="0"/>
  </r>
  <r>
    <x v="3"/>
    <x v="104"/>
    <x v="10"/>
    <x v="2"/>
    <x v="0"/>
    <x v="9"/>
    <x v="2"/>
    <x v="14"/>
    <x v="1"/>
    <n v="0"/>
    <n v="0"/>
    <n v="0"/>
  </r>
  <r>
    <x v="7"/>
    <x v="54"/>
    <x v="34"/>
    <x v="35"/>
    <x v="3"/>
    <x v="5"/>
    <x v="2"/>
    <x v="17"/>
    <x v="1"/>
    <n v="0"/>
    <n v="0"/>
    <n v="0"/>
  </r>
  <r>
    <x v="1"/>
    <x v="20"/>
    <x v="0"/>
    <x v="9"/>
    <x v="43"/>
    <x v="12"/>
    <x v="2"/>
    <x v="3"/>
    <x v="1"/>
    <n v="0"/>
    <n v="0"/>
    <n v="0"/>
  </r>
  <r>
    <x v="0"/>
    <x v="31"/>
    <x v="25"/>
    <x v="4"/>
    <x v="159"/>
    <x v="9"/>
    <x v="2"/>
    <x v="23"/>
    <x v="1"/>
    <n v="0"/>
    <n v="0"/>
    <n v="0"/>
  </r>
  <r>
    <x v="3"/>
    <x v="86"/>
    <x v="0"/>
    <x v="1"/>
    <x v="159"/>
    <x v="6"/>
    <x v="2"/>
    <x v="25"/>
    <x v="1"/>
    <n v="0"/>
    <n v="0"/>
    <n v="0"/>
  </r>
  <r>
    <x v="3"/>
    <x v="57"/>
    <x v="1"/>
    <x v="9"/>
    <x v="133"/>
    <x v="0"/>
    <x v="2"/>
    <x v="4"/>
    <x v="0"/>
    <n v="1"/>
    <n v="1"/>
    <n v="1"/>
  </r>
  <r>
    <x v="5"/>
    <x v="6"/>
    <x v="7"/>
    <x v="2"/>
    <x v="0"/>
    <x v="9"/>
    <x v="2"/>
    <x v="33"/>
    <x v="1"/>
    <n v="0"/>
    <n v="0"/>
    <n v="0"/>
  </r>
  <r>
    <x v="7"/>
    <x v="96"/>
    <x v="8"/>
    <x v="2"/>
    <x v="0"/>
    <x v="2"/>
    <x v="2"/>
    <x v="3"/>
    <x v="1"/>
    <n v="0"/>
    <n v="0"/>
    <n v="0"/>
  </r>
  <r>
    <x v="5"/>
    <x v="36"/>
    <x v="20"/>
    <x v="16"/>
    <x v="73"/>
    <x v="8"/>
    <x v="2"/>
    <x v="17"/>
    <x v="1"/>
    <n v="0"/>
    <n v="0"/>
    <n v="0"/>
  </r>
  <r>
    <x v="7"/>
    <x v="116"/>
    <x v="11"/>
    <x v="36"/>
    <x v="79"/>
    <x v="7"/>
    <x v="2"/>
    <x v="17"/>
    <x v="1"/>
    <n v="0"/>
    <n v="0"/>
    <n v="0"/>
  </r>
  <r>
    <x v="1"/>
    <x v="23"/>
    <x v="27"/>
    <x v="9"/>
    <x v="160"/>
    <x v="8"/>
    <x v="2"/>
    <x v="35"/>
    <x v="1"/>
    <n v="0"/>
    <n v="0"/>
    <n v="0"/>
  </r>
  <r>
    <x v="1"/>
    <x v="22"/>
    <x v="29"/>
    <x v="7"/>
    <x v="55"/>
    <x v="17"/>
    <x v="2"/>
    <x v="28"/>
    <x v="1"/>
    <n v="0"/>
    <n v="0"/>
    <n v="0"/>
  </r>
  <r>
    <x v="0"/>
    <x v="85"/>
    <x v="29"/>
    <x v="28"/>
    <x v="67"/>
    <x v="20"/>
    <x v="2"/>
    <x v="22"/>
    <x v="1"/>
    <n v="0"/>
    <n v="0"/>
    <n v="0"/>
  </r>
  <r>
    <x v="7"/>
    <x v="16"/>
    <x v="10"/>
    <x v="2"/>
    <x v="0"/>
    <x v="4"/>
    <x v="2"/>
    <x v="3"/>
    <x v="0"/>
    <n v="1"/>
    <n v="1"/>
    <n v="1"/>
  </r>
  <r>
    <x v="6"/>
    <x v="38"/>
    <x v="22"/>
    <x v="2"/>
    <x v="0"/>
    <x v="1"/>
    <x v="2"/>
    <x v="34"/>
    <x v="1"/>
    <n v="0"/>
    <n v="0"/>
    <n v="0"/>
  </r>
  <r>
    <x v="7"/>
    <x v="8"/>
    <x v="7"/>
    <x v="49"/>
    <x v="0"/>
    <x v="7"/>
    <x v="2"/>
    <x v="38"/>
    <x v="0"/>
    <n v="1"/>
    <n v="1"/>
    <n v="1"/>
  </r>
  <r>
    <x v="3"/>
    <x v="73"/>
    <x v="15"/>
    <x v="40"/>
    <x v="0"/>
    <x v="23"/>
    <x v="2"/>
    <x v="3"/>
    <x v="0"/>
    <n v="1"/>
    <n v="1"/>
    <n v="1"/>
  </r>
  <r>
    <x v="0"/>
    <x v="28"/>
    <x v="11"/>
    <x v="23"/>
    <x v="0"/>
    <x v="18"/>
    <x v="2"/>
    <x v="14"/>
    <x v="1"/>
    <n v="0"/>
    <n v="0"/>
    <n v="0"/>
  </r>
  <r>
    <x v="14"/>
    <x v="57"/>
    <x v="21"/>
    <x v="36"/>
    <x v="0"/>
    <x v="5"/>
    <x v="2"/>
    <x v="38"/>
    <x v="1"/>
    <n v="0"/>
    <n v="0"/>
    <n v="0"/>
  </r>
  <r>
    <x v="2"/>
    <x v="15"/>
    <x v="17"/>
    <x v="2"/>
    <x v="0"/>
    <x v="12"/>
    <x v="2"/>
    <x v="31"/>
    <x v="1"/>
    <n v="0"/>
    <n v="0"/>
    <n v="0"/>
  </r>
  <r>
    <x v="2"/>
    <x v="78"/>
    <x v="17"/>
    <x v="21"/>
    <x v="161"/>
    <x v="14"/>
    <x v="2"/>
    <x v="42"/>
    <x v="0"/>
    <n v="1"/>
    <n v="1"/>
    <n v="1"/>
  </r>
  <r>
    <x v="1"/>
    <x v="71"/>
    <x v="24"/>
    <x v="15"/>
    <x v="0"/>
    <x v="16"/>
    <x v="2"/>
    <x v="17"/>
    <x v="1"/>
    <n v="0"/>
    <n v="0"/>
    <n v="0"/>
  </r>
  <r>
    <x v="2"/>
    <x v="23"/>
    <x v="1"/>
    <x v="2"/>
    <x v="0"/>
    <x v="7"/>
    <x v="2"/>
    <x v="15"/>
    <x v="0"/>
    <n v="1"/>
    <n v="1"/>
    <n v="1"/>
  </r>
  <r>
    <x v="0"/>
    <x v="18"/>
    <x v="1"/>
    <x v="2"/>
    <x v="0"/>
    <x v="20"/>
    <x v="2"/>
    <x v="7"/>
    <x v="1"/>
    <n v="0"/>
    <n v="0"/>
    <n v="0"/>
  </r>
  <r>
    <x v="5"/>
    <x v="46"/>
    <x v="27"/>
    <x v="23"/>
    <x v="65"/>
    <x v="21"/>
    <x v="2"/>
    <x v="42"/>
    <x v="0"/>
    <n v="1"/>
    <n v="1"/>
    <n v="1"/>
  </r>
  <r>
    <x v="3"/>
    <x v="48"/>
    <x v="6"/>
    <x v="2"/>
    <x v="0"/>
    <x v="30"/>
    <x v="2"/>
    <x v="28"/>
    <x v="1"/>
    <n v="0"/>
    <n v="0"/>
    <n v="0"/>
  </r>
  <r>
    <x v="10"/>
    <x v="36"/>
    <x v="12"/>
    <x v="32"/>
    <x v="0"/>
    <x v="25"/>
    <x v="2"/>
    <x v="21"/>
    <x v="0"/>
    <n v="1"/>
    <n v="1"/>
    <n v="1"/>
  </r>
  <r>
    <x v="7"/>
    <x v="60"/>
    <x v="21"/>
    <x v="37"/>
    <x v="13"/>
    <x v="12"/>
    <x v="2"/>
    <x v="29"/>
    <x v="1"/>
    <n v="0"/>
    <n v="0"/>
    <n v="0"/>
  </r>
  <r>
    <x v="5"/>
    <x v="80"/>
    <x v="10"/>
    <x v="2"/>
    <x v="0"/>
    <x v="0"/>
    <x v="2"/>
    <x v="32"/>
    <x v="0"/>
    <n v="1"/>
    <n v="1"/>
    <n v="1"/>
  </r>
  <r>
    <x v="7"/>
    <x v="118"/>
    <x v="35"/>
    <x v="29"/>
    <x v="12"/>
    <x v="3"/>
    <x v="2"/>
    <x v="28"/>
    <x v="1"/>
    <n v="0"/>
    <n v="0"/>
    <n v="0"/>
  </r>
  <r>
    <x v="0"/>
    <x v="66"/>
    <x v="0"/>
    <x v="5"/>
    <x v="7"/>
    <x v="0"/>
    <x v="2"/>
    <x v="10"/>
    <x v="1"/>
    <n v="0"/>
    <n v="0"/>
    <n v="0"/>
  </r>
  <r>
    <x v="3"/>
    <x v="90"/>
    <x v="18"/>
    <x v="35"/>
    <x v="162"/>
    <x v="9"/>
    <x v="2"/>
    <x v="17"/>
    <x v="0"/>
    <n v="1"/>
    <n v="1"/>
    <n v="1"/>
  </r>
  <r>
    <x v="3"/>
    <x v="127"/>
    <x v="17"/>
    <x v="2"/>
    <x v="0"/>
    <x v="22"/>
    <x v="2"/>
    <x v="23"/>
    <x v="1"/>
    <n v="0"/>
    <n v="0"/>
    <n v="0"/>
  </r>
  <r>
    <x v="1"/>
    <x v="3"/>
    <x v="43"/>
    <x v="6"/>
    <x v="163"/>
    <x v="3"/>
    <x v="2"/>
    <x v="3"/>
    <x v="1"/>
    <n v="0"/>
    <n v="0"/>
    <n v="0"/>
  </r>
  <r>
    <x v="1"/>
    <x v="82"/>
    <x v="4"/>
    <x v="2"/>
    <x v="0"/>
    <x v="15"/>
    <x v="2"/>
    <x v="18"/>
    <x v="0"/>
    <n v="1"/>
    <n v="1"/>
    <n v="1"/>
  </r>
  <r>
    <x v="1"/>
    <x v="28"/>
    <x v="44"/>
    <x v="20"/>
    <x v="79"/>
    <x v="2"/>
    <x v="2"/>
    <x v="6"/>
    <x v="1"/>
    <n v="0"/>
    <n v="0"/>
    <n v="0"/>
  </r>
  <r>
    <x v="1"/>
    <x v="85"/>
    <x v="14"/>
    <x v="6"/>
    <x v="0"/>
    <x v="1"/>
    <x v="2"/>
    <x v="29"/>
    <x v="1"/>
    <n v="0"/>
    <n v="0"/>
    <n v="0"/>
  </r>
  <r>
    <x v="0"/>
    <x v="74"/>
    <x v="6"/>
    <x v="2"/>
    <x v="0"/>
    <x v="20"/>
    <x v="2"/>
    <x v="20"/>
    <x v="1"/>
    <n v="0"/>
    <n v="0"/>
    <n v="0"/>
  </r>
  <r>
    <x v="1"/>
    <x v="78"/>
    <x v="4"/>
    <x v="14"/>
    <x v="0"/>
    <x v="3"/>
    <x v="2"/>
    <x v="5"/>
    <x v="1"/>
    <n v="0"/>
    <n v="0"/>
    <n v="0"/>
  </r>
  <r>
    <x v="8"/>
    <x v="47"/>
    <x v="21"/>
    <x v="1"/>
    <x v="159"/>
    <x v="7"/>
    <x v="2"/>
    <x v="9"/>
    <x v="0"/>
    <n v="1"/>
    <n v="1"/>
    <n v="1"/>
  </r>
  <r>
    <x v="3"/>
    <x v="2"/>
    <x v="6"/>
    <x v="2"/>
    <x v="0"/>
    <x v="3"/>
    <x v="2"/>
    <x v="34"/>
    <x v="0"/>
    <n v="1"/>
    <n v="1"/>
    <n v="1"/>
  </r>
  <r>
    <x v="1"/>
    <x v="78"/>
    <x v="11"/>
    <x v="4"/>
    <x v="0"/>
    <x v="17"/>
    <x v="2"/>
    <x v="3"/>
    <x v="1"/>
    <n v="0"/>
    <n v="0"/>
    <n v="0"/>
  </r>
  <r>
    <x v="1"/>
    <x v="98"/>
    <x v="21"/>
    <x v="18"/>
    <x v="121"/>
    <x v="13"/>
    <x v="2"/>
    <x v="17"/>
    <x v="0"/>
    <n v="1"/>
    <n v="1"/>
    <n v="1"/>
  </r>
  <r>
    <x v="1"/>
    <x v="31"/>
    <x v="25"/>
    <x v="19"/>
    <x v="164"/>
    <x v="19"/>
    <x v="2"/>
    <x v="28"/>
    <x v="1"/>
    <n v="0"/>
    <n v="0"/>
    <n v="0"/>
  </r>
  <r>
    <x v="3"/>
    <x v="91"/>
    <x v="18"/>
    <x v="22"/>
    <x v="165"/>
    <x v="23"/>
    <x v="2"/>
    <x v="14"/>
    <x v="1"/>
    <n v="0"/>
    <n v="0"/>
    <n v="0"/>
  </r>
  <r>
    <x v="1"/>
    <x v="36"/>
    <x v="25"/>
    <x v="27"/>
    <x v="100"/>
    <x v="20"/>
    <x v="2"/>
    <x v="35"/>
    <x v="1"/>
    <n v="0"/>
    <n v="0"/>
    <n v="0"/>
  </r>
  <r>
    <x v="5"/>
    <x v="39"/>
    <x v="34"/>
    <x v="2"/>
    <x v="125"/>
    <x v="6"/>
    <x v="2"/>
    <x v="29"/>
    <x v="1"/>
    <n v="0"/>
    <n v="0"/>
    <n v="0"/>
  </r>
  <r>
    <x v="5"/>
    <x v="128"/>
    <x v="20"/>
    <x v="29"/>
    <x v="86"/>
    <x v="21"/>
    <x v="2"/>
    <x v="34"/>
    <x v="0"/>
    <n v="1"/>
    <n v="1"/>
    <n v="1"/>
  </r>
  <r>
    <x v="8"/>
    <x v="11"/>
    <x v="14"/>
    <x v="18"/>
    <x v="166"/>
    <x v="10"/>
    <x v="2"/>
    <x v="27"/>
    <x v="0"/>
    <n v="1"/>
    <n v="1"/>
    <n v="1"/>
  </r>
  <r>
    <x v="0"/>
    <x v="44"/>
    <x v="10"/>
    <x v="30"/>
    <x v="0"/>
    <x v="9"/>
    <x v="2"/>
    <x v="6"/>
    <x v="1"/>
    <n v="0"/>
    <n v="0"/>
    <n v="0"/>
  </r>
  <r>
    <x v="10"/>
    <x v="33"/>
    <x v="4"/>
    <x v="12"/>
    <x v="167"/>
    <x v="17"/>
    <x v="2"/>
    <x v="0"/>
    <x v="0"/>
    <n v="1"/>
    <n v="1"/>
    <n v="1"/>
  </r>
  <r>
    <x v="5"/>
    <x v="39"/>
    <x v="0"/>
    <x v="2"/>
    <x v="0"/>
    <x v="5"/>
    <x v="2"/>
    <x v="14"/>
    <x v="1"/>
    <n v="0"/>
    <n v="0"/>
    <n v="0"/>
  </r>
  <r>
    <x v="0"/>
    <x v="27"/>
    <x v="8"/>
    <x v="2"/>
    <x v="0"/>
    <x v="14"/>
    <x v="2"/>
    <x v="5"/>
    <x v="1"/>
    <n v="0"/>
    <n v="0"/>
    <n v="0"/>
  </r>
  <r>
    <x v="7"/>
    <x v="124"/>
    <x v="25"/>
    <x v="27"/>
    <x v="168"/>
    <x v="19"/>
    <x v="2"/>
    <x v="35"/>
    <x v="1"/>
    <n v="0"/>
    <n v="0"/>
    <n v="0"/>
  </r>
  <r>
    <x v="9"/>
    <x v="60"/>
    <x v="18"/>
    <x v="21"/>
    <x v="0"/>
    <x v="3"/>
    <x v="2"/>
    <x v="0"/>
    <x v="0"/>
    <n v="1"/>
    <n v="1"/>
    <n v="1"/>
  </r>
  <r>
    <x v="3"/>
    <x v="22"/>
    <x v="6"/>
    <x v="2"/>
    <x v="0"/>
    <x v="9"/>
    <x v="2"/>
    <x v="29"/>
    <x v="0"/>
    <n v="1"/>
    <n v="1"/>
    <n v="1"/>
  </r>
  <r>
    <x v="7"/>
    <x v="60"/>
    <x v="27"/>
    <x v="18"/>
    <x v="70"/>
    <x v="10"/>
    <x v="2"/>
    <x v="20"/>
    <x v="1"/>
    <n v="0"/>
    <n v="0"/>
    <n v="0"/>
  </r>
  <r>
    <x v="7"/>
    <x v="31"/>
    <x v="17"/>
    <x v="28"/>
    <x v="0"/>
    <x v="20"/>
    <x v="2"/>
    <x v="20"/>
    <x v="1"/>
    <n v="0"/>
    <n v="0"/>
    <n v="0"/>
  </r>
  <r>
    <x v="0"/>
    <x v="2"/>
    <x v="16"/>
    <x v="2"/>
    <x v="0"/>
    <x v="31"/>
    <x v="2"/>
    <x v="21"/>
    <x v="1"/>
    <n v="0"/>
    <n v="0"/>
    <n v="0"/>
  </r>
  <r>
    <x v="3"/>
    <x v="121"/>
    <x v="7"/>
    <x v="23"/>
    <x v="12"/>
    <x v="33"/>
    <x v="2"/>
    <x v="3"/>
    <x v="1"/>
    <n v="0"/>
    <n v="0"/>
    <n v="0"/>
  </r>
  <r>
    <x v="7"/>
    <x v="85"/>
    <x v="2"/>
    <x v="2"/>
    <x v="0"/>
    <x v="6"/>
    <x v="2"/>
    <x v="3"/>
    <x v="1"/>
    <n v="0"/>
    <n v="0"/>
    <n v="0"/>
  </r>
  <r>
    <x v="3"/>
    <x v="35"/>
    <x v="14"/>
    <x v="7"/>
    <x v="16"/>
    <x v="10"/>
    <x v="2"/>
    <x v="7"/>
    <x v="1"/>
    <n v="0"/>
    <n v="0"/>
    <n v="0"/>
  </r>
  <r>
    <x v="3"/>
    <x v="9"/>
    <x v="22"/>
    <x v="2"/>
    <x v="0"/>
    <x v="18"/>
    <x v="2"/>
    <x v="3"/>
    <x v="1"/>
    <n v="0"/>
    <n v="0"/>
    <n v="0"/>
  </r>
  <r>
    <x v="3"/>
    <x v="80"/>
    <x v="21"/>
    <x v="2"/>
    <x v="0"/>
    <x v="9"/>
    <x v="2"/>
    <x v="3"/>
    <x v="1"/>
    <n v="0"/>
    <n v="0"/>
    <n v="0"/>
  </r>
  <r>
    <x v="4"/>
    <x v="84"/>
    <x v="10"/>
    <x v="2"/>
    <x v="0"/>
    <x v="7"/>
    <x v="2"/>
    <x v="21"/>
    <x v="1"/>
    <n v="0"/>
    <n v="0"/>
    <n v="0"/>
  </r>
  <r>
    <x v="3"/>
    <x v="121"/>
    <x v="30"/>
    <x v="29"/>
    <x v="0"/>
    <x v="18"/>
    <x v="2"/>
    <x v="3"/>
    <x v="1"/>
    <n v="0"/>
    <n v="0"/>
    <n v="0"/>
  </r>
  <r>
    <x v="8"/>
    <x v="53"/>
    <x v="2"/>
    <x v="2"/>
    <x v="0"/>
    <x v="1"/>
    <x v="2"/>
    <x v="10"/>
    <x v="0"/>
    <n v="1"/>
    <n v="1"/>
    <n v="1"/>
  </r>
  <r>
    <x v="3"/>
    <x v="34"/>
    <x v="21"/>
    <x v="32"/>
    <x v="31"/>
    <x v="0"/>
    <x v="2"/>
    <x v="29"/>
    <x v="1"/>
    <n v="0"/>
    <n v="0"/>
    <n v="0"/>
  </r>
  <r>
    <x v="7"/>
    <x v="36"/>
    <x v="11"/>
    <x v="2"/>
    <x v="0"/>
    <x v="5"/>
    <x v="2"/>
    <x v="35"/>
    <x v="1"/>
    <n v="0"/>
    <n v="0"/>
    <n v="0"/>
  </r>
  <r>
    <x v="1"/>
    <x v="84"/>
    <x v="18"/>
    <x v="36"/>
    <x v="169"/>
    <x v="3"/>
    <x v="2"/>
    <x v="17"/>
    <x v="1"/>
    <n v="0"/>
    <n v="0"/>
    <n v="0"/>
  </r>
  <r>
    <x v="6"/>
    <x v="31"/>
    <x v="25"/>
    <x v="2"/>
    <x v="0"/>
    <x v="5"/>
    <x v="2"/>
    <x v="1"/>
    <x v="1"/>
    <n v="0"/>
    <n v="0"/>
    <n v="0"/>
  </r>
  <r>
    <x v="11"/>
    <x v="92"/>
    <x v="0"/>
    <x v="2"/>
    <x v="0"/>
    <x v="6"/>
    <x v="2"/>
    <x v="18"/>
    <x v="0"/>
    <n v="1"/>
    <n v="1"/>
    <n v="1"/>
  </r>
  <r>
    <x v="4"/>
    <x v="92"/>
    <x v="4"/>
    <x v="2"/>
    <x v="0"/>
    <x v="14"/>
    <x v="2"/>
    <x v="26"/>
    <x v="1"/>
    <n v="0"/>
    <n v="0"/>
    <n v="0"/>
  </r>
  <r>
    <x v="7"/>
    <x v="121"/>
    <x v="17"/>
    <x v="20"/>
    <x v="122"/>
    <x v="9"/>
    <x v="2"/>
    <x v="35"/>
    <x v="1"/>
    <n v="0"/>
    <n v="0"/>
    <n v="0"/>
  </r>
  <r>
    <x v="8"/>
    <x v="25"/>
    <x v="17"/>
    <x v="4"/>
    <x v="170"/>
    <x v="31"/>
    <x v="2"/>
    <x v="2"/>
    <x v="0"/>
    <n v="1"/>
    <n v="0"/>
    <n v="0"/>
  </r>
  <r>
    <x v="1"/>
    <x v="15"/>
    <x v="4"/>
    <x v="39"/>
    <x v="171"/>
    <x v="19"/>
    <x v="2"/>
    <x v="20"/>
    <x v="1"/>
    <n v="0"/>
    <n v="0"/>
    <n v="0"/>
  </r>
  <r>
    <x v="3"/>
    <x v="34"/>
    <x v="27"/>
    <x v="36"/>
    <x v="63"/>
    <x v="14"/>
    <x v="2"/>
    <x v="14"/>
    <x v="1"/>
    <n v="0"/>
    <n v="0"/>
    <n v="0"/>
  </r>
  <r>
    <x v="3"/>
    <x v="84"/>
    <x v="7"/>
    <x v="2"/>
    <x v="0"/>
    <x v="0"/>
    <x v="2"/>
    <x v="29"/>
    <x v="1"/>
    <n v="0"/>
    <n v="0"/>
    <n v="0"/>
  </r>
  <r>
    <x v="0"/>
    <x v="24"/>
    <x v="10"/>
    <x v="2"/>
    <x v="0"/>
    <x v="8"/>
    <x v="2"/>
    <x v="0"/>
    <x v="0"/>
    <n v="1"/>
    <n v="1"/>
    <n v="1"/>
  </r>
  <r>
    <x v="3"/>
    <x v="35"/>
    <x v="6"/>
    <x v="2"/>
    <x v="0"/>
    <x v="3"/>
    <x v="2"/>
    <x v="1"/>
    <x v="1"/>
    <n v="0"/>
    <n v="0"/>
    <n v="0"/>
  </r>
  <r>
    <x v="5"/>
    <x v="18"/>
    <x v="0"/>
    <x v="9"/>
    <x v="42"/>
    <x v="3"/>
    <x v="2"/>
    <x v="14"/>
    <x v="1"/>
    <n v="0"/>
    <n v="0"/>
    <n v="0"/>
  </r>
  <r>
    <x v="7"/>
    <x v="113"/>
    <x v="4"/>
    <x v="0"/>
    <x v="172"/>
    <x v="12"/>
    <x v="2"/>
    <x v="5"/>
    <x v="1"/>
    <n v="0"/>
    <n v="0"/>
    <n v="0"/>
  </r>
  <r>
    <x v="1"/>
    <x v="110"/>
    <x v="4"/>
    <x v="36"/>
    <x v="167"/>
    <x v="2"/>
    <x v="2"/>
    <x v="4"/>
    <x v="0"/>
    <n v="1"/>
    <n v="1"/>
    <n v="1"/>
  </r>
  <r>
    <x v="3"/>
    <x v="95"/>
    <x v="5"/>
    <x v="14"/>
    <x v="173"/>
    <x v="10"/>
    <x v="2"/>
    <x v="17"/>
    <x v="0"/>
    <n v="1"/>
    <n v="1"/>
    <n v="1"/>
  </r>
  <r>
    <x v="10"/>
    <x v="64"/>
    <x v="12"/>
    <x v="0"/>
    <x v="67"/>
    <x v="3"/>
    <x v="2"/>
    <x v="31"/>
    <x v="0"/>
    <n v="1"/>
    <n v="1"/>
    <n v="1"/>
  </r>
  <r>
    <x v="3"/>
    <x v="17"/>
    <x v="11"/>
    <x v="19"/>
    <x v="0"/>
    <x v="5"/>
    <x v="2"/>
    <x v="35"/>
    <x v="1"/>
    <n v="0"/>
    <n v="0"/>
    <n v="0"/>
  </r>
  <r>
    <x v="1"/>
    <x v="104"/>
    <x v="34"/>
    <x v="19"/>
    <x v="30"/>
    <x v="18"/>
    <x v="2"/>
    <x v="35"/>
    <x v="1"/>
    <n v="0"/>
    <n v="0"/>
    <n v="0"/>
  </r>
  <r>
    <x v="1"/>
    <x v="27"/>
    <x v="11"/>
    <x v="3"/>
    <x v="154"/>
    <x v="0"/>
    <x v="2"/>
    <x v="14"/>
    <x v="1"/>
    <n v="0"/>
    <n v="0"/>
    <n v="0"/>
  </r>
  <r>
    <x v="4"/>
    <x v="66"/>
    <x v="4"/>
    <x v="32"/>
    <x v="158"/>
    <x v="0"/>
    <x v="2"/>
    <x v="20"/>
    <x v="1"/>
    <n v="0"/>
    <n v="0"/>
    <n v="0"/>
  </r>
  <r>
    <x v="7"/>
    <x v="81"/>
    <x v="34"/>
    <x v="2"/>
    <x v="0"/>
    <x v="1"/>
    <x v="2"/>
    <x v="14"/>
    <x v="1"/>
    <n v="0"/>
    <n v="0"/>
    <n v="0"/>
  </r>
  <r>
    <x v="1"/>
    <x v="39"/>
    <x v="7"/>
    <x v="30"/>
    <x v="44"/>
    <x v="0"/>
    <x v="2"/>
    <x v="17"/>
    <x v="1"/>
    <n v="0"/>
    <n v="0"/>
    <n v="0"/>
  </r>
  <r>
    <x v="7"/>
    <x v="75"/>
    <x v="35"/>
    <x v="23"/>
    <x v="174"/>
    <x v="12"/>
    <x v="2"/>
    <x v="28"/>
    <x v="0"/>
    <n v="1"/>
    <n v="1"/>
    <n v="1"/>
  </r>
  <r>
    <x v="7"/>
    <x v="45"/>
    <x v="20"/>
    <x v="0"/>
    <x v="31"/>
    <x v="16"/>
    <x v="2"/>
    <x v="17"/>
    <x v="1"/>
    <n v="0"/>
    <n v="0"/>
    <n v="0"/>
  </r>
  <r>
    <x v="1"/>
    <x v="81"/>
    <x v="10"/>
    <x v="45"/>
    <x v="175"/>
    <x v="12"/>
    <x v="2"/>
    <x v="15"/>
    <x v="1"/>
    <n v="0"/>
    <n v="0"/>
    <n v="0"/>
  </r>
  <r>
    <x v="10"/>
    <x v="117"/>
    <x v="45"/>
    <x v="2"/>
    <x v="0"/>
    <x v="12"/>
    <x v="2"/>
    <x v="13"/>
    <x v="1"/>
    <n v="0"/>
    <n v="0"/>
    <n v="0"/>
  </r>
  <r>
    <x v="5"/>
    <x v="65"/>
    <x v="18"/>
    <x v="16"/>
    <x v="19"/>
    <x v="0"/>
    <x v="2"/>
    <x v="14"/>
    <x v="0"/>
    <n v="1"/>
    <n v="0"/>
    <n v="0"/>
  </r>
  <r>
    <x v="6"/>
    <x v="79"/>
    <x v="12"/>
    <x v="2"/>
    <x v="0"/>
    <x v="3"/>
    <x v="2"/>
    <x v="9"/>
    <x v="1"/>
    <n v="0"/>
    <n v="0"/>
    <n v="0"/>
  </r>
  <r>
    <x v="1"/>
    <x v="129"/>
    <x v="17"/>
    <x v="44"/>
    <x v="0"/>
    <x v="4"/>
    <x v="2"/>
    <x v="17"/>
    <x v="0"/>
    <n v="1"/>
    <n v="1"/>
    <n v="1"/>
  </r>
  <r>
    <x v="2"/>
    <x v="110"/>
    <x v="45"/>
    <x v="40"/>
    <x v="110"/>
    <x v="10"/>
    <x v="2"/>
    <x v="16"/>
    <x v="0"/>
    <n v="1"/>
    <n v="1"/>
    <n v="1"/>
  </r>
  <r>
    <x v="9"/>
    <x v="26"/>
    <x v="10"/>
    <x v="40"/>
    <x v="67"/>
    <x v="10"/>
    <x v="2"/>
    <x v="27"/>
    <x v="0"/>
    <n v="1"/>
    <n v="1"/>
    <n v="1"/>
  </r>
  <r>
    <x v="0"/>
    <x v="7"/>
    <x v="11"/>
    <x v="22"/>
    <x v="0"/>
    <x v="0"/>
    <x v="2"/>
    <x v="27"/>
    <x v="0"/>
    <n v="1"/>
    <n v="1"/>
    <n v="1"/>
  </r>
  <r>
    <x v="1"/>
    <x v="60"/>
    <x v="10"/>
    <x v="5"/>
    <x v="105"/>
    <x v="7"/>
    <x v="2"/>
    <x v="29"/>
    <x v="1"/>
    <n v="0"/>
    <n v="0"/>
    <n v="0"/>
  </r>
  <r>
    <x v="3"/>
    <x v="26"/>
    <x v="18"/>
    <x v="20"/>
    <x v="0"/>
    <x v="9"/>
    <x v="2"/>
    <x v="50"/>
    <x v="0"/>
    <n v="1"/>
    <n v="1"/>
    <n v="1"/>
  </r>
  <r>
    <x v="6"/>
    <x v="36"/>
    <x v="7"/>
    <x v="23"/>
    <x v="0"/>
    <x v="3"/>
    <x v="2"/>
    <x v="27"/>
    <x v="0"/>
    <n v="1"/>
    <n v="1"/>
    <n v="1"/>
  </r>
  <r>
    <x v="0"/>
    <x v="116"/>
    <x v="20"/>
    <x v="11"/>
    <x v="74"/>
    <x v="0"/>
    <x v="2"/>
    <x v="16"/>
    <x v="1"/>
    <n v="0"/>
    <n v="0"/>
    <n v="0"/>
  </r>
  <r>
    <x v="9"/>
    <x v="86"/>
    <x v="21"/>
    <x v="9"/>
    <x v="30"/>
    <x v="6"/>
    <x v="2"/>
    <x v="21"/>
    <x v="1"/>
    <n v="0"/>
    <n v="0"/>
    <n v="0"/>
  </r>
  <r>
    <x v="0"/>
    <x v="105"/>
    <x v="22"/>
    <x v="12"/>
    <x v="2"/>
    <x v="0"/>
    <x v="2"/>
    <x v="44"/>
    <x v="1"/>
    <n v="0"/>
    <n v="0"/>
    <n v="0"/>
  </r>
  <r>
    <x v="1"/>
    <x v="20"/>
    <x v="20"/>
    <x v="25"/>
    <x v="0"/>
    <x v="18"/>
    <x v="2"/>
    <x v="3"/>
    <x v="1"/>
    <n v="0"/>
    <n v="0"/>
    <n v="0"/>
  </r>
  <r>
    <x v="6"/>
    <x v="124"/>
    <x v="45"/>
    <x v="3"/>
    <x v="51"/>
    <x v="17"/>
    <x v="2"/>
    <x v="41"/>
    <x v="1"/>
    <n v="0"/>
    <n v="0"/>
    <n v="0"/>
  </r>
  <r>
    <x v="5"/>
    <x v="66"/>
    <x v="41"/>
    <x v="0"/>
    <x v="20"/>
    <x v="38"/>
    <x v="2"/>
    <x v="17"/>
    <x v="1"/>
    <n v="0"/>
    <n v="0"/>
    <n v="0"/>
  </r>
  <r>
    <x v="2"/>
    <x v="104"/>
    <x v="18"/>
    <x v="2"/>
    <x v="0"/>
    <x v="17"/>
    <x v="2"/>
    <x v="51"/>
    <x v="1"/>
    <n v="0"/>
    <n v="0"/>
    <n v="0"/>
  </r>
  <r>
    <x v="0"/>
    <x v="123"/>
    <x v="7"/>
    <x v="2"/>
    <x v="0"/>
    <x v="6"/>
    <x v="2"/>
    <x v="1"/>
    <x v="0"/>
    <n v="1"/>
    <n v="1"/>
    <n v="1"/>
  </r>
  <r>
    <x v="9"/>
    <x v="88"/>
    <x v="27"/>
    <x v="2"/>
    <x v="0"/>
    <x v="18"/>
    <x v="2"/>
    <x v="8"/>
    <x v="0"/>
    <n v="1"/>
    <n v="1"/>
    <n v="1"/>
  </r>
  <r>
    <x v="3"/>
    <x v="71"/>
    <x v="11"/>
    <x v="2"/>
    <x v="0"/>
    <x v="7"/>
    <x v="2"/>
    <x v="28"/>
    <x v="1"/>
    <n v="0"/>
    <n v="0"/>
    <n v="0"/>
  </r>
  <r>
    <x v="5"/>
    <x v="57"/>
    <x v="35"/>
    <x v="2"/>
    <x v="0"/>
    <x v="17"/>
    <x v="2"/>
    <x v="28"/>
    <x v="0"/>
    <n v="1"/>
    <n v="1"/>
    <n v="1"/>
  </r>
  <r>
    <x v="7"/>
    <x v="45"/>
    <x v="20"/>
    <x v="36"/>
    <x v="148"/>
    <x v="20"/>
    <x v="2"/>
    <x v="35"/>
    <x v="1"/>
    <n v="0"/>
    <n v="0"/>
    <n v="0"/>
  </r>
  <r>
    <x v="7"/>
    <x v="130"/>
    <x v="24"/>
    <x v="30"/>
    <x v="85"/>
    <x v="20"/>
    <x v="2"/>
    <x v="17"/>
    <x v="1"/>
    <n v="0"/>
    <n v="0"/>
    <n v="0"/>
  </r>
  <r>
    <x v="3"/>
    <x v="79"/>
    <x v="17"/>
    <x v="14"/>
    <x v="0"/>
    <x v="27"/>
    <x v="2"/>
    <x v="6"/>
    <x v="0"/>
    <n v="1"/>
    <n v="1"/>
    <n v="1"/>
  </r>
  <r>
    <x v="3"/>
    <x v="54"/>
    <x v="2"/>
    <x v="22"/>
    <x v="63"/>
    <x v="22"/>
    <x v="2"/>
    <x v="17"/>
    <x v="1"/>
    <n v="0"/>
    <n v="0"/>
    <n v="0"/>
  </r>
  <r>
    <x v="3"/>
    <x v="9"/>
    <x v="10"/>
    <x v="2"/>
    <x v="0"/>
    <x v="9"/>
    <x v="2"/>
    <x v="14"/>
    <x v="0"/>
    <n v="1"/>
    <n v="1"/>
    <n v="1"/>
  </r>
  <r>
    <x v="4"/>
    <x v="64"/>
    <x v="18"/>
    <x v="2"/>
    <x v="0"/>
    <x v="9"/>
    <x v="2"/>
    <x v="37"/>
    <x v="1"/>
    <n v="0"/>
    <n v="0"/>
    <n v="0"/>
  </r>
  <r>
    <x v="7"/>
    <x v="55"/>
    <x v="4"/>
    <x v="12"/>
    <x v="108"/>
    <x v="21"/>
    <x v="2"/>
    <x v="28"/>
    <x v="1"/>
    <n v="0"/>
    <n v="0"/>
    <n v="0"/>
  </r>
  <r>
    <x v="5"/>
    <x v="96"/>
    <x v="2"/>
    <x v="2"/>
    <x v="0"/>
    <x v="2"/>
    <x v="2"/>
    <x v="17"/>
    <x v="1"/>
    <n v="0"/>
    <n v="0"/>
    <n v="0"/>
  </r>
  <r>
    <x v="1"/>
    <x v="17"/>
    <x v="5"/>
    <x v="6"/>
    <x v="0"/>
    <x v="3"/>
    <x v="2"/>
    <x v="7"/>
    <x v="1"/>
    <n v="0"/>
    <n v="0"/>
    <n v="0"/>
  </r>
  <r>
    <x v="1"/>
    <x v="101"/>
    <x v="4"/>
    <x v="12"/>
    <x v="107"/>
    <x v="20"/>
    <x v="2"/>
    <x v="35"/>
    <x v="1"/>
    <n v="0"/>
    <n v="0"/>
    <n v="0"/>
  </r>
  <r>
    <x v="1"/>
    <x v="70"/>
    <x v="18"/>
    <x v="40"/>
    <x v="107"/>
    <x v="11"/>
    <x v="2"/>
    <x v="23"/>
    <x v="0"/>
    <n v="1"/>
    <n v="1"/>
    <n v="1"/>
  </r>
  <r>
    <x v="2"/>
    <x v="17"/>
    <x v="10"/>
    <x v="2"/>
    <x v="0"/>
    <x v="18"/>
    <x v="2"/>
    <x v="10"/>
    <x v="1"/>
    <n v="0"/>
    <n v="0"/>
    <n v="0"/>
  </r>
  <r>
    <x v="11"/>
    <x v="29"/>
    <x v="46"/>
    <x v="2"/>
    <x v="0"/>
    <x v="23"/>
    <x v="2"/>
    <x v="32"/>
    <x v="0"/>
    <n v="1"/>
    <n v="1"/>
    <n v="1"/>
  </r>
  <r>
    <x v="7"/>
    <x v="57"/>
    <x v="7"/>
    <x v="4"/>
    <x v="142"/>
    <x v="12"/>
    <x v="2"/>
    <x v="35"/>
    <x v="1"/>
    <n v="0"/>
    <n v="0"/>
    <n v="0"/>
  </r>
  <r>
    <x v="8"/>
    <x v="55"/>
    <x v="22"/>
    <x v="47"/>
    <x v="34"/>
    <x v="10"/>
    <x v="2"/>
    <x v="16"/>
    <x v="0"/>
    <n v="1"/>
    <n v="1"/>
    <n v="1"/>
  </r>
  <r>
    <x v="7"/>
    <x v="35"/>
    <x v="11"/>
    <x v="2"/>
    <x v="0"/>
    <x v="20"/>
    <x v="2"/>
    <x v="28"/>
    <x v="1"/>
    <n v="0"/>
    <n v="0"/>
    <n v="0"/>
  </r>
  <r>
    <x v="8"/>
    <x v="69"/>
    <x v="15"/>
    <x v="21"/>
    <x v="147"/>
    <x v="8"/>
    <x v="2"/>
    <x v="16"/>
    <x v="0"/>
    <n v="1"/>
    <n v="1"/>
    <n v="1"/>
  </r>
  <r>
    <x v="5"/>
    <x v="131"/>
    <x v="4"/>
    <x v="6"/>
    <x v="34"/>
    <x v="8"/>
    <x v="2"/>
    <x v="1"/>
    <x v="0"/>
    <n v="1"/>
    <n v="1"/>
    <n v="1"/>
  </r>
  <r>
    <x v="3"/>
    <x v="20"/>
    <x v="6"/>
    <x v="2"/>
    <x v="0"/>
    <x v="18"/>
    <x v="2"/>
    <x v="17"/>
    <x v="1"/>
    <n v="0"/>
    <n v="0"/>
    <n v="0"/>
  </r>
  <r>
    <x v="3"/>
    <x v="117"/>
    <x v="14"/>
    <x v="15"/>
    <x v="59"/>
    <x v="0"/>
    <x v="2"/>
    <x v="20"/>
    <x v="1"/>
    <n v="0"/>
    <n v="0"/>
    <n v="0"/>
  </r>
  <r>
    <x v="3"/>
    <x v="16"/>
    <x v="7"/>
    <x v="2"/>
    <x v="0"/>
    <x v="33"/>
    <x v="2"/>
    <x v="6"/>
    <x v="1"/>
    <n v="0"/>
    <n v="0"/>
    <n v="0"/>
  </r>
  <r>
    <x v="7"/>
    <x v="32"/>
    <x v="17"/>
    <x v="23"/>
    <x v="175"/>
    <x v="17"/>
    <x v="2"/>
    <x v="6"/>
    <x v="1"/>
    <n v="0"/>
    <n v="0"/>
    <n v="0"/>
  </r>
  <r>
    <x v="0"/>
    <x v="9"/>
    <x v="21"/>
    <x v="16"/>
    <x v="0"/>
    <x v="3"/>
    <x v="2"/>
    <x v="44"/>
    <x v="0"/>
    <n v="1"/>
    <n v="1"/>
    <n v="1"/>
  </r>
  <r>
    <x v="1"/>
    <x v="11"/>
    <x v="14"/>
    <x v="1"/>
    <x v="0"/>
    <x v="7"/>
    <x v="2"/>
    <x v="42"/>
    <x v="0"/>
    <n v="1"/>
    <n v="1"/>
    <n v="1"/>
  </r>
  <r>
    <x v="7"/>
    <x v="55"/>
    <x v="6"/>
    <x v="2"/>
    <x v="0"/>
    <x v="10"/>
    <x v="2"/>
    <x v="15"/>
    <x v="1"/>
    <n v="0"/>
    <n v="0"/>
    <n v="0"/>
  </r>
  <r>
    <x v="3"/>
    <x v="10"/>
    <x v="17"/>
    <x v="28"/>
    <x v="30"/>
    <x v="3"/>
    <x v="2"/>
    <x v="14"/>
    <x v="1"/>
    <n v="0"/>
    <n v="0"/>
    <n v="0"/>
  </r>
  <r>
    <x v="0"/>
    <x v="65"/>
    <x v="10"/>
    <x v="14"/>
    <x v="0"/>
    <x v="13"/>
    <x v="2"/>
    <x v="20"/>
    <x v="1"/>
    <n v="0"/>
    <n v="0"/>
    <n v="0"/>
  </r>
  <r>
    <x v="6"/>
    <x v="7"/>
    <x v="6"/>
    <x v="2"/>
    <x v="0"/>
    <x v="9"/>
    <x v="2"/>
    <x v="5"/>
    <x v="0"/>
    <n v="1"/>
    <n v="1"/>
    <n v="1"/>
  </r>
  <r>
    <x v="7"/>
    <x v="117"/>
    <x v="39"/>
    <x v="2"/>
    <x v="176"/>
    <x v="0"/>
    <x v="2"/>
    <x v="17"/>
    <x v="1"/>
    <n v="0"/>
    <n v="0"/>
    <n v="0"/>
  </r>
  <r>
    <x v="9"/>
    <x v="103"/>
    <x v="21"/>
    <x v="2"/>
    <x v="0"/>
    <x v="21"/>
    <x v="2"/>
    <x v="21"/>
    <x v="0"/>
    <n v="1"/>
    <n v="1"/>
    <n v="1"/>
  </r>
  <r>
    <x v="7"/>
    <x v="71"/>
    <x v="2"/>
    <x v="4"/>
    <x v="70"/>
    <x v="10"/>
    <x v="2"/>
    <x v="35"/>
    <x v="0"/>
    <n v="1"/>
    <n v="0"/>
    <n v="0"/>
  </r>
  <r>
    <x v="5"/>
    <x v="29"/>
    <x v="2"/>
    <x v="27"/>
    <x v="177"/>
    <x v="6"/>
    <x v="2"/>
    <x v="29"/>
    <x v="1"/>
    <n v="0"/>
    <n v="0"/>
    <n v="0"/>
  </r>
  <r>
    <x v="4"/>
    <x v="19"/>
    <x v="21"/>
    <x v="23"/>
    <x v="178"/>
    <x v="8"/>
    <x v="2"/>
    <x v="27"/>
    <x v="1"/>
    <n v="0"/>
    <n v="0"/>
    <n v="0"/>
  </r>
  <r>
    <x v="6"/>
    <x v="55"/>
    <x v="25"/>
    <x v="14"/>
    <x v="0"/>
    <x v="31"/>
    <x v="2"/>
    <x v="18"/>
    <x v="0"/>
    <n v="1"/>
    <n v="1"/>
    <n v="1"/>
  </r>
  <r>
    <x v="3"/>
    <x v="68"/>
    <x v="20"/>
    <x v="28"/>
    <x v="179"/>
    <x v="5"/>
    <x v="2"/>
    <x v="3"/>
    <x v="1"/>
    <n v="0"/>
    <n v="0"/>
    <n v="0"/>
  </r>
  <r>
    <x v="5"/>
    <x v="34"/>
    <x v="4"/>
    <x v="2"/>
    <x v="0"/>
    <x v="8"/>
    <x v="2"/>
    <x v="2"/>
    <x v="1"/>
    <n v="0"/>
    <n v="0"/>
    <n v="0"/>
  </r>
  <r>
    <x v="8"/>
    <x v="49"/>
    <x v="5"/>
    <x v="11"/>
    <x v="180"/>
    <x v="0"/>
    <x v="2"/>
    <x v="10"/>
    <x v="0"/>
    <n v="1"/>
    <n v="1"/>
    <n v="1"/>
  </r>
  <r>
    <x v="5"/>
    <x v="82"/>
    <x v="21"/>
    <x v="22"/>
    <x v="162"/>
    <x v="0"/>
    <x v="2"/>
    <x v="1"/>
    <x v="0"/>
    <n v="1"/>
    <n v="1"/>
    <n v="1"/>
  </r>
  <r>
    <x v="6"/>
    <x v="121"/>
    <x v="0"/>
    <x v="20"/>
    <x v="0"/>
    <x v="2"/>
    <x v="2"/>
    <x v="24"/>
    <x v="1"/>
    <n v="0"/>
    <n v="0"/>
    <n v="0"/>
  </r>
  <r>
    <x v="1"/>
    <x v="85"/>
    <x v="11"/>
    <x v="40"/>
    <x v="181"/>
    <x v="17"/>
    <x v="2"/>
    <x v="29"/>
    <x v="1"/>
    <n v="0"/>
    <n v="0"/>
    <n v="0"/>
  </r>
  <r>
    <x v="4"/>
    <x v="25"/>
    <x v="17"/>
    <x v="23"/>
    <x v="0"/>
    <x v="17"/>
    <x v="2"/>
    <x v="42"/>
    <x v="0"/>
    <n v="1"/>
    <n v="0"/>
    <n v="0"/>
  </r>
  <r>
    <x v="3"/>
    <x v="63"/>
    <x v="27"/>
    <x v="6"/>
    <x v="0"/>
    <x v="14"/>
    <x v="2"/>
    <x v="10"/>
    <x v="1"/>
    <n v="0"/>
    <n v="0"/>
    <n v="0"/>
  </r>
  <r>
    <x v="1"/>
    <x v="53"/>
    <x v="1"/>
    <x v="14"/>
    <x v="175"/>
    <x v="10"/>
    <x v="2"/>
    <x v="3"/>
    <x v="1"/>
    <n v="0"/>
    <n v="0"/>
    <n v="0"/>
  </r>
  <r>
    <x v="1"/>
    <x v="132"/>
    <x v="22"/>
    <x v="1"/>
    <x v="182"/>
    <x v="14"/>
    <x v="2"/>
    <x v="31"/>
    <x v="0"/>
    <n v="1"/>
    <n v="1"/>
    <n v="1"/>
  </r>
  <r>
    <x v="4"/>
    <x v="27"/>
    <x v="27"/>
    <x v="9"/>
    <x v="63"/>
    <x v="12"/>
    <x v="2"/>
    <x v="31"/>
    <x v="1"/>
    <n v="0"/>
    <n v="0"/>
    <n v="0"/>
  </r>
  <r>
    <x v="1"/>
    <x v="36"/>
    <x v="16"/>
    <x v="2"/>
    <x v="0"/>
    <x v="21"/>
    <x v="2"/>
    <x v="21"/>
    <x v="1"/>
    <n v="0"/>
    <n v="0"/>
    <n v="0"/>
  </r>
  <r>
    <x v="3"/>
    <x v="60"/>
    <x v="21"/>
    <x v="32"/>
    <x v="0"/>
    <x v="12"/>
    <x v="2"/>
    <x v="18"/>
    <x v="1"/>
    <n v="0"/>
    <n v="0"/>
    <n v="0"/>
  </r>
  <r>
    <x v="1"/>
    <x v="5"/>
    <x v="21"/>
    <x v="1"/>
    <x v="107"/>
    <x v="17"/>
    <x v="2"/>
    <x v="28"/>
    <x v="1"/>
    <n v="0"/>
    <n v="0"/>
    <n v="0"/>
  </r>
  <r>
    <x v="3"/>
    <x v="52"/>
    <x v="12"/>
    <x v="12"/>
    <x v="0"/>
    <x v="9"/>
    <x v="2"/>
    <x v="17"/>
    <x v="1"/>
    <n v="0"/>
    <n v="0"/>
    <n v="0"/>
  </r>
  <r>
    <x v="7"/>
    <x v="122"/>
    <x v="14"/>
    <x v="2"/>
    <x v="0"/>
    <x v="2"/>
    <x v="2"/>
    <x v="17"/>
    <x v="1"/>
    <n v="0"/>
    <n v="0"/>
    <n v="0"/>
  </r>
  <r>
    <x v="7"/>
    <x v="31"/>
    <x v="35"/>
    <x v="2"/>
    <x v="0"/>
    <x v="8"/>
    <x v="2"/>
    <x v="17"/>
    <x v="1"/>
    <n v="0"/>
    <n v="0"/>
    <n v="0"/>
  </r>
  <r>
    <x v="5"/>
    <x v="96"/>
    <x v="21"/>
    <x v="3"/>
    <x v="150"/>
    <x v="3"/>
    <x v="2"/>
    <x v="10"/>
    <x v="0"/>
    <n v="1"/>
    <n v="1"/>
    <n v="1"/>
  </r>
  <r>
    <x v="2"/>
    <x v="81"/>
    <x v="27"/>
    <x v="2"/>
    <x v="0"/>
    <x v="3"/>
    <x v="2"/>
    <x v="17"/>
    <x v="0"/>
    <n v="1"/>
    <n v="1"/>
    <n v="1"/>
  </r>
  <r>
    <x v="7"/>
    <x v="128"/>
    <x v="14"/>
    <x v="17"/>
    <x v="79"/>
    <x v="33"/>
    <x v="2"/>
    <x v="29"/>
    <x v="0"/>
    <n v="1"/>
    <n v="1"/>
    <n v="1"/>
  </r>
  <r>
    <x v="7"/>
    <x v="39"/>
    <x v="24"/>
    <x v="23"/>
    <x v="133"/>
    <x v="14"/>
    <x v="2"/>
    <x v="17"/>
    <x v="1"/>
    <n v="0"/>
    <n v="0"/>
    <n v="0"/>
  </r>
  <r>
    <x v="7"/>
    <x v="44"/>
    <x v="19"/>
    <x v="2"/>
    <x v="0"/>
    <x v="2"/>
    <x v="2"/>
    <x v="8"/>
    <x v="1"/>
    <n v="0"/>
    <n v="0"/>
    <n v="0"/>
  </r>
  <r>
    <x v="3"/>
    <x v="54"/>
    <x v="11"/>
    <x v="4"/>
    <x v="0"/>
    <x v="7"/>
    <x v="2"/>
    <x v="20"/>
    <x v="1"/>
    <n v="0"/>
    <n v="0"/>
    <n v="0"/>
  </r>
  <r>
    <x v="3"/>
    <x v="19"/>
    <x v="27"/>
    <x v="23"/>
    <x v="79"/>
    <x v="1"/>
    <x v="2"/>
    <x v="3"/>
    <x v="1"/>
    <n v="0"/>
    <n v="0"/>
    <n v="0"/>
  </r>
  <r>
    <x v="2"/>
    <x v="133"/>
    <x v="0"/>
    <x v="3"/>
    <x v="0"/>
    <x v="9"/>
    <x v="2"/>
    <x v="31"/>
    <x v="1"/>
    <n v="0"/>
    <n v="0"/>
    <n v="0"/>
  </r>
  <r>
    <x v="7"/>
    <x v="20"/>
    <x v="11"/>
    <x v="36"/>
    <x v="70"/>
    <x v="15"/>
    <x v="2"/>
    <x v="3"/>
    <x v="1"/>
    <n v="0"/>
    <n v="0"/>
    <n v="0"/>
  </r>
  <r>
    <x v="1"/>
    <x v="34"/>
    <x v="4"/>
    <x v="2"/>
    <x v="0"/>
    <x v="13"/>
    <x v="2"/>
    <x v="31"/>
    <x v="0"/>
    <n v="1"/>
    <n v="1"/>
    <n v="1"/>
  </r>
  <r>
    <x v="10"/>
    <x v="81"/>
    <x v="10"/>
    <x v="17"/>
    <x v="91"/>
    <x v="23"/>
    <x v="2"/>
    <x v="26"/>
    <x v="0"/>
    <n v="1"/>
    <n v="1"/>
    <n v="1"/>
  </r>
  <r>
    <x v="5"/>
    <x v="34"/>
    <x v="29"/>
    <x v="28"/>
    <x v="1"/>
    <x v="6"/>
    <x v="2"/>
    <x v="6"/>
    <x v="1"/>
    <n v="0"/>
    <n v="0"/>
    <n v="0"/>
  </r>
  <r>
    <x v="1"/>
    <x v="28"/>
    <x v="20"/>
    <x v="20"/>
    <x v="94"/>
    <x v="3"/>
    <x v="2"/>
    <x v="17"/>
    <x v="1"/>
    <n v="0"/>
    <n v="0"/>
    <n v="0"/>
  </r>
  <r>
    <x v="9"/>
    <x v="101"/>
    <x v="16"/>
    <x v="2"/>
    <x v="0"/>
    <x v="21"/>
    <x v="2"/>
    <x v="21"/>
    <x v="0"/>
    <n v="1"/>
    <n v="1"/>
    <n v="1"/>
  </r>
  <r>
    <x v="11"/>
    <x v="89"/>
    <x v="14"/>
    <x v="17"/>
    <x v="13"/>
    <x v="31"/>
    <x v="2"/>
    <x v="33"/>
    <x v="1"/>
    <n v="0"/>
    <n v="0"/>
    <n v="0"/>
  </r>
  <r>
    <x v="14"/>
    <x v="15"/>
    <x v="12"/>
    <x v="11"/>
    <x v="63"/>
    <x v="8"/>
    <x v="2"/>
    <x v="23"/>
    <x v="1"/>
    <n v="0"/>
    <n v="0"/>
    <n v="0"/>
  </r>
  <r>
    <x v="1"/>
    <x v="24"/>
    <x v="16"/>
    <x v="10"/>
    <x v="0"/>
    <x v="26"/>
    <x v="2"/>
    <x v="14"/>
    <x v="0"/>
    <n v="1"/>
    <n v="1"/>
    <n v="1"/>
  </r>
  <r>
    <x v="1"/>
    <x v="67"/>
    <x v="4"/>
    <x v="10"/>
    <x v="93"/>
    <x v="11"/>
    <x v="2"/>
    <x v="2"/>
    <x v="1"/>
    <n v="0"/>
    <n v="0"/>
    <n v="0"/>
  </r>
  <r>
    <x v="5"/>
    <x v="49"/>
    <x v="7"/>
    <x v="29"/>
    <x v="175"/>
    <x v="17"/>
    <x v="2"/>
    <x v="34"/>
    <x v="0"/>
    <n v="1"/>
    <n v="1"/>
    <n v="1"/>
  </r>
  <r>
    <x v="0"/>
    <x v="79"/>
    <x v="25"/>
    <x v="2"/>
    <x v="0"/>
    <x v="20"/>
    <x v="2"/>
    <x v="0"/>
    <x v="0"/>
    <n v="1"/>
    <n v="1"/>
    <n v="1"/>
  </r>
  <r>
    <x v="3"/>
    <x v="64"/>
    <x v="7"/>
    <x v="2"/>
    <x v="0"/>
    <x v="6"/>
    <x v="2"/>
    <x v="17"/>
    <x v="0"/>
    <n v="1"/>
    <n v="1"/>
    <n v="1"/>
  </r>
  <r>
    <x v="1"/>
    <x v="57"/>
    <x v="21"/>
    <x v="22"/>
    <x v="99"/>
    <x v="12"/>
    <x v="2"/>
    <x v="20"/>
    <x v="1"/>
    <n v="0"/>
    <n v="0"/>
    <n v="0"/>
  </r>
  <r>
    <x v="5"/>
    <x v="85"/>
    <x v="25"/>
    <x v="21"/>
    <x v="0"/>
    <x v="5"/>
    <x v="2"/>
    <x v="28"/>
    <x v="1"/>
    <n v="0"/>
    <n v="0"/>
    <n v="0"/>
  </r>
  <r>
    <x v="3"/>
    <x v="98"/>
    <x v="14"/>
    <x v="38"/>
    <x v="183"/>
    <x v="4"/>
    <x v="2"/>
    <x v="6"/>
    <x v="0"/>
    <n v="1"/>
    <n v="1"/>
    <n v="1"/>
  </r>
  <r>
    <x v="2"/>
    <x v="86"/>
    <x v="21"/>
    <x v="4"/>
    <x v="0"/>
    <x v="9"/>
    <x v="2"/>
    <x v="21"/>
    <x v="0"/>
    <n v="1"/>
    <n v="1"/>
    <n v="1"/>
  </r>
  <r>
    <x v="1"/>
    <x v="84"/>
    <x v="14"/>
    <x v="22"/>
    <x v="14"/>
    <x v="17"/>
    <x v="2"/>
    <x v="25"/>
    <x v="0"/>
    <n v="1"/>
    <n v="1"/>
    <n v="1"/>
  </r>
  <r>
    <x v="8"/>
    <x v="4"/>
    <x v="15"/>
    <x v="10"/>
    <x v="0"/>
    <x v="9"/>
    <x v="2"/>
    <x v="33"/>
    <x v="1"/>
    <n v="0"/>
    <n v="0"/>
    <n v="0"/>
  </r>
  <r>
    <x v="3"/>
    <x v="66"/>
    <x v="0"/>
    <x v="2"/>
    <x v="0"/>
    <x v="17"/>
    <x v="2"/>
    <x v="42"/>
    <x v="0"/>
    <n v="1"/>
    <n v="1"/>
    <n v="1"/>
  </r>
  <r>
    <x v="1"/>
    <x v="39"/>
    <x v="17"/>
    <x v="2"/>
    <x v="0"/>
    <x v="10"/>
    <x v="2"/>
    <x v="6"/>
    <x v="1"/>
    <n v="0"/>
    <n v="0"/>
    <n v="0"/>
  </r>
  <r>
    <x v="0"/>
    <x v="134"/>
    <x v="9"/>
    <x v="2"/>
    <x v="0"/>
    <x v="17"/>
    <x v="2"/>
    <x v="43"/>
    <x v="0"/>
    <n v="1"/>
    <n v="1"/>
    <n v="1"/>
  </r>
  <r>
    <x v="7"/>
    <x v="30"/>
    <x v="20"/>
    <x v="12"/>
    <x v="184"/>
    <x v="3"/>
    <x v="2"/>
    <x v="17"/>
    <x v="1"/>
    <n v="0"/>
    <n v="0"/>
    <n v="0"/>
  </r>
  <r>
    <x v="9"/>
    <x v="83"/>
    <x v="4"/>
    <x v="16"/>
    <x v="0"/>
    <x v="33"/>
    <x v="2"/>
    <x v="16"/>
    <x v="0"/>
    <n v="1"/>
    <n v="1"/>
    <n v="1"/>
  </r>
  <r>
    <x v="9"/>
    <x v="3"/>
    <x v="25"/>
    <x v="2"/>
    <x v="0"/>
    <x v="16"/>
    <x v="2"/>
    <x v="4"/>
    <x v="1"/>
    <n v="0"/>
    <n v="0"/>
    <n v="0"/>
  </r>
  <r>
    <x v="6"/>
    <x v="45"/>
    <x v="17"/>
    <x v="45"/>
    <x v="107"/>
    <x v="21"/>
    <x v="2"/>
    <x v="45"/>
    <x v="1"/>
    <n v="0"/>
    <n v="0"/>
    <n v="0"/>
  </r>
  <r>
    <x v="7"/>
    <x v="32"/>
    <x v="7"/>
    <x v="23"/>
    <x v="0"/>
    <x v="15"/>
    <x v="2"/>
    <x v="14"/>
    <x v="1"/>
    <n v="0"/>
    <n v="0"/>
    <n v="0"/>
  </r>
  <r>
    <x v="4"/>
    <x v="57"/>
    <x v="0"/>
    <x v="3"/>
    <x v="185"/>
    <x v="5"/>
    <x v="2"/>
    <x v="5"/>
    <x v="1"/>
    <n v="0"/>
    <n v="0"/>
    <n v="0"/>
  </r>
  <r>
    <x v="1"/>
    <x v="19"/>
    <x v="11"/>
    <x v="2"/>
    <x v="0"/>
    <x v="8"/>
    <x v="2"/>
    <x v="41"/>
    <x v="0"/>
    <n v="1"/>
    <n v="1"/>
    <n v="1"/>
  </r>
  <r>
    <x v="1"/>
    <x v="71"/>
    <x v="7"/>
    <x v="16"/>
    <x v="0"/>
    <x v="8"/>
    <x v="2"/>
    <x v="35"/>
    <x v="1"/>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1430DB0-7CDC-4A3B-806B-57725EEE4C9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10" firstHeaderRow="0" firstDataRow="1" firstDataCol="1"/>
  <pivotFields count="12">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 showAll="0">
      <items count="12">
        <item x="0"/>
        <item x="1"/>
        <item x="2"/>
        <item x="3"/>
        <item x="4"/>
        <item x="5"/>
        <item x="6"/>
        <item x="7"/>
        <item x="8"/>
        <item x="9"/>
        <item x="10"/>
        <item t="default"/>
      </items>
    </pivotField>
    <pivotField showAll="0">
      <items count="8">
        <item x="0"/>
        <item x="1"/>
        <item x="2"/>
        <item x="3"/>
        <item x="4"/>
        <item x="5"/>
        <item x="6"/>
        <item t="default"/>
      </items>
    </pivotField>
    <pivotField dataField="1" showAll="0">
      <items count="7">
        <item x="0"/>
        <item x="1"/>
        <item x="2"/>
        <item x="3"/>
        <item x="4"/>
        <item x="5"/>
        <item t="default"/>
      </items>
    </pivotField>
    <pivotField axis="axisRow" showAll="0">
      <items count="9">
        <item x="0"/>
        <item x="1"/>
        <item x="2"/>
        <item x="3"/>
        <item x="4"/>
        <item x="5"/>
        <item x="6"/>
        <item x="7"/>
        <item t="default"/>
      </items>
    </pivotField>
    <pivotField dataField="1" showAll="0">
      <items count="3">
        <item x="1"/>
        <item x="0"/>
        <item t="default"/>
      </items>
    </pivotField>
    <pivotField showAll="0"/>
    <pivotField showAll="0"/>
    <pivotField showAll="0"/>
  </pivotFields>
  <rowFields count="1">
    <field x="7"/>
  </rowFields>
  <rowItems count="7">
    <i>
      <x v="1"/>
    </i>
    <i>
      <x v="2"/>
    </i>
    <i>
      <x v="3"/>
    </i>
    <i>
      <x v="4"/>
    </i>
    <i>
      <x v="5"/>
    </i>
    <i>
      <x v="6"/>
    </i>
    <i t="grand">
      <x/>
    </i>
  </rowItems>
  <colFields count="1">
    <field x="-2"/>
  </colFields>
  <colItems count="3">
    <i>
      <x/>
    </i>
    <i i="1">
      <x v="1"/>
    </i>
    <i i="2">
      <x v="2"/>
    </i>
  </colItems>
  <dataFields count="3">
    <dataField name="Sum of Outcome" fld="8" baseField="0" baseItem="0"/>
    <dataField name="Sum of DiabetesPedigreeFunction" fld="6" baseField="7" baseItem="1"/>
    <dataField name="Sum of DiabetesPedigreeFunction2" fld="6" showDataAs="percentOfTotal" baseField="7"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8A885D4-664C-49B4-A3BC-74040B2E55B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20" firstHeaderRow="0" firstDataRow="1" firstDataCol="1"/>
  <pivotFields count="12">
    <pivotField axis="axisRow" showAll="0">
      <items count="17">
        <item x="1"/>
        <item x="7"/>
        <item x="5"/>
        <item x="3"/>
        <item x="4"/>
        <item x="0"/>
        <item x="8"/>
        <item x="2"/>
        <item x="9"/>
        <item x="6"/>
        <item x="10"/>
        <item x="14"/>
        <item x="11"/>
        <item x="15"/>
        <item x="12"/>
        <item x="13"/>
        <item t="default"/>
      </items>
    </pivotField>
    <pivotField showAll="0"/>
    <pivotField showAll="0"/>
    <pivotField showAll="0"/>
    <pivotField showAll="0"/>
    <pivotField showAll="0"/>
    <pivotField showAll="0"/>
    <pivotField showAll="0">
      <items count="9">
        <item x="0"/>
        <item x="1"/>
        <item x="2"/>
        <item x="3"/>
        <item x="4"/>
        <item x="5"/>
        <item x="6"/>
        <item x="7"/>
        <item t="default"/>
      </items>
    </pivotField>
    <pivotField dataField="1" showAll="0">
      <items count="3">
        <item x="1"/>
        <item x="0"/>
        <item t="default"/>
      </items>
    </pivotField>
    <pivotField showAll="0"/>
    <pivotField showAll="0"/>
    <pivotField showAll="0"/>
  </pivotFields>
  <rowFields count="1">
    <field x="0"/>
  </rowFields>
  <rowItems count="17">
    <i>
      <x/>
    </i>
    <i>
      <x v="1"/>
    </i>
    <i>
      <x v="2"/>
    </i>
    <i>
      <x v="3"/>
    </i>
    <i>
      <x v="4"/>
    </i>
    <i>
      <x v="5"/>
    </i>
    <i>
      <x v="6"/>
    </i>
    <i>
      <x v="7"/>
    </i>
    <i>
      <x v="8"/>
    </i>
    <i>
      <x v="9"/>
    </i>
    <i>
      <x v="10"/>
    </i>
    <i>
      <x v="11"/>
    </i>
    <i>
      <x v="12"/>
    </i>
    <i>
      <x v="13"/>
    </i>
    <i>
      <x v="14"/>
    </i>
    <i>
      <x v="15"/>
    </i>
    <i t="grand">
      <x/>
    </i>
  </rowItems>
  <colFields count="1">
    <field x="-2"/>
  </colFields>
  <colItems count="2">
    <i>
      <x/>
    </i>
    <i i="1">
      <x v="1"/>
    </i>
  </colItems>
  <dataFields count="2">
    <dataField name="Sum of Outcome" fld="8" baseField="0" baseItem="0"/>
    <dataField name="Sum of Outcome2" fld="8" showDataAs="percentOfCol" baseField="0" baseItem="0" numFmtId="10"/>
  </dataFields>
  <formats count="1">
    <format dxfId="5">
      <pivotArea collapsedLevelsAreSubtotals="1" fieldPosition="0">
        <references count="2">
          <reference field="4294967294" count="1" selected="0">
            <x v="1"/>
          </reference>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E7329D7-0B97-4236-9B9E-957F744CF0CD}"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20" firstHeaderRow="1" firstDataRow="1" firstDataCol="1"/>
  <pivotFields count="12">
    <pivotField showAll="0"/>
    <pivotField axis="axisRow" showAll="0">
      <items count="19">
        <item x="0"/>
        <item x="1"/>
        <item x="2"/>
        <item x="3"/>
        <item x="4"/>
        <item x="5"/>
        <item x="6"/>
        <item x="7"/>
        <item x="8"/>
        <item x="9"/>
        <item x="10"/>
        <item x="11"/>
        <item x="12"/>
        <item x="13"/>
        <item x="14"/>
        <item x="15"/>
        <item x="16"/>
        <item x="17"/>
        <item t="default"/>
      </items>
    </pivotField>
    <pivotField showAll="0"/>
    <pivotField showAll="0"/>
    <pivotField showAll="0"/>
    <pivotField showAll="0"/>
    <pivotField showAll="0"/>
    <pivotField showAll="0">
      <items count="9">
        <item x="0"/>
        <item x="1"/>
        <item x="2"/>
        <item x="3"/>
        <item x="4"/>
        <item x="5"/>
        <item x="6"/>
        <item x="7"/>
        <item t="default"/>
      </items>
    </pivotField>
    <pivotField dataField="1" showAll="0">
      <items count="3">
        <item x="1"/>
        <item x="0"/>
        <item t="default"/>
      </items>
    </pivotField>
    <pivotField showAll="0"/>
    <pivotField showAll="0"/>
    <pivotField showAll="0"/>
  </pivotFields>
  <rowFields count="1">
    <field x="1"/>
  </rowFields>
  <rowItems count="17">
    <i>
      <x v="1"/>
    </i>
    <i>
      <x v="2"/>
    </i>
    <i>
      <x v="3"/>
    </i>
    <i>
      <x v="4"/>
    </i>
    <i>
      <x v="5"/>
    </i>
    <i>
      <x v="6"/>
    </i>
    <i>
      <x v="7"/>
    </i>
    <i>
      <x v="8"/>
    </i>
    <i>
      <x v="9"/>
    </i>
    <i>
      <x v="10"/>
    </i>
    <i>
      <x v="11"/>
    </i>
    <i>
      <x v="12"/>
    </i>
    <i>
      <x v="13"/>
    </i>
    <i>
      <x v="14"/>
    </i>
    <i>
      <x v="15"/>
    </i>
    <i>
      <x v="16"/>
    </i>
    <i t="grand">
      <x/>
    </i>
  </rowItems>
  <colItems count="1">
    <i/>
  </colItems>
  <dataFields count="1">
    <dataField name="Sum of Outcome" fld="8" baseField="0" baseItem="0"/>
  </dataFields>
  <chartFormats count="7">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9"/>
          </reference>
        </references>
      </pivotArea>
    </chartFormat>
    <chartFormat chart="5" format="4" series="1">
      <pivotArea type="data" outline="0" fieldPosition="0">
        <references count="1">
          <reference field="4294967294" count="1" selected="0">
            <x v="0"/>
          </reference>
        </references>
      </pivotArea>
    </chartFormat>
    <chartFormat chart="5" format="5">
      <pivotArea type="data" outline="0" fieldPosition="0">
        <references count="2">
          <reference field="4294967294" count="1" selected="0">
            <x v="0"/>
          </reference>
          <reference field="1" count="1" selected="0">
            <x v="9"/>
          </reference>
        </references>
      </pivotArea>
    </chartFormat>
    <chartFormat chart="2" format="2">
      <pivotArea type="data" outline="0" fieldPosition="0">
        <references count="2">
          <reference field="4294967294" count="1" selected="0">
            <x v="0"/>
          </reference>
          <reference field="1" count="1" selected="0">
            <x v="10"/>
          </reference>
        </references>
      </pivotArea>
    </chartFormat>
    <chartFormat chart="5" format="6">
      <pivotArea type="data" outline="0" fieldPosition="0">
        <references count="2">
          <reference field="4294967294" count="1" selected="0">
            <x v="0"/>
          </reference>
          <reference field="1" count="1" selected="0">
            <x v="10"/>
          </reference>
        </references>
      </pivotArea>
    </chartFormat>
    <chartFormat chart="2" format="3">
      <pivotArea type="data" outline="0" fieldPosition="0">
        <references count="2">
          <reference field="4294967294" count="1" selected="0">
            <x v="0"/>
          </reference>
          <reference field="1"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EC34142-5C11-4C70-B978-3A64A2C9854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4" firstHeaderRow="1" firstDataRow="1" firstDataCol="1"/>
  <pivotFields count="12">
    <pivotField showAll="0"/>
    <pivotField showAll="0"/>
    <pivotField axis="axisRow" showAll="0">
      <items count="13">
        <item x="0"/>
        <item x="1"/>
        <item x="2"/>
        <item x="3"/>
        <item x="4"/>
        <item x="5"/>
        <item x="6"/>
        <item x="7"/>
        <item x="8"/>
        <item x="9"/>
        <item x="10"/>
        <item x="11"/>
        <item t="default"/>
      </items>
    </pivotField>
    <pivotField showAll="0"/>
    <pivotField showAll="0"/>
    <pivotField showAll="0"/>
    <pivotField showAll="0"/>
    <pivotField showAll="0">
      <items count="9">
        <item x="0"/>
        <item x="1"/>
        <item x="2"/>
        <item x="3"/>
        <item x="4"/>
        <item x="5"/>
        <item x="6"/>
        <item x="7"/>
        <item t="default"/>
      </items>
    </pivotField>
    <pivotField dataField="1" showAll="0">
      <items count="3">
        <item x="1"/>
        <item x="0"/>
        <item t="default"/>
      </items>
    </pivotField>
    <pivotField showAll="0"/>
    <pivotField showAll="0"/>
    <pivotField showAll="0"/>
  </pivotFields>
  <rowFields count="1">
    <field x="2"/>
  </rowFields>
  <rowItems count="11">
    <i>
      <x v="1"/>
    </i>
    <i>
      <x v="2"/>
    </i>
    <i>
      <x v="3"/>
    </i>
    <i>
      <x v="4"/>
    </i>
    <i>
      <x v="5"/>
    </i>
    <i>
      <x v="6"/>
    </i>
    <i>
      <x v="7"/>
    </i>
    <i>
      <x v="8"/>
    </i>
    <i>
      <x v="9"/>
    </i>
    <i>
      <x v="10"/>
    </i>
    <i t="grand">
      <x/>
    </i>
  </rowItems>
  <colItems count="1">
    <i/>
  </colItems>
  <dataFields count="1">
    <dataField name="Sum of Outcome" fld="8"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2"/>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2" count="1" selected="0">
            <x v="1"/>
          </reference>
        </references>
      </pivotArea>
    </chartFormat>
    <chartFormat chart="3" format="8">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2A6565D-4321-4056-84CA-E4D310F36868}"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11" firstHeaderRow="1" firstDataRow="1" firstDataCol="1"/>
  <pivotFields count="12">
    <pivotField showAll="0"/>
    <pivotField showAll="0"/>
    <pivotField showAll="0"/>
    <pivotField axis="axisRow" showAll="0" sortType="ascending">
      <items count="13">
        <item x="0"/>
        <item x="1"/>
        <item x="2"/>
        <item x="3"/>
        <item x="4"/>
        <item x="5"/>
        <item x="6"/>
        <item x="7"/>
        <item x="8"/>
        <item x="9"/>
        <item x="10"/>
        <item x="1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9">
        <item x="0"/>
        <item x="1"/>
        <item x="2"/>
        <item x="3"/>
        <item x="4"/>
        <item x="5"/>
        <item x="6"/>
        <item x="7"/>
        <item t="default"/>
      </items>
    </pivotField>
    <pivotField dataField="1" showAll="0">
      <items count="3">
        <item x="1"/>
        <item x="0"/>
        <item t="default"/>
      </items>
    </pivotField>
    <pivotField showAll="0"/>
    <pivotField showAll="0"/>
    <pivotField showAll="0"/>
  </pivotFields>
  <rowFields count="1">
    <field x="3"/>
  </rowFields>
  <rowItems count="8">
    <i>
      <x v="6"/>
    </i>
    <i>
      <x v="10"/>
    </i>
    <i>
      <x v="1"/>
    </i>
    <i>
      <x v="5"/>
    </i>
    <i>
      <x v="4"/>
    </i>
    <i>
      <x v="3"/>
    </i>
    <i>
      <x v="2"/>
    </i>
    <i t="grand">
      <x/>
    </i>
  </rowItems>
  <colItems count="1">
    <i/>
  </colItems>
  <dataFields count="1">
    <dataField name="Sum of Outcome" fld="8"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67D640C-1F45-49A5-A668-D65BF3613113}"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13" firstHeaderRow="1" firstDataRow="1" firstDataCol="1"/>
  <pivotFields count="12">
    <pivotField showAll="0"/>
    <pivotField showAll="0"/>
    <pivotField showAll="0"/>
    <pivotField showAll="0"/>
    <pivotField axis="axisRow" showAll="0">
      <items count="12">
        <item x="0"/>
        <item x="1"/>
        <item x="2"/>
        <item x="3"/>
        <item x="4"/>
        <item x="5"/>
        <item x="6"/>
        <item x="7"/>
        <item x="8"/>
        <item x="9"/>
        <item x="10"/>
        <item t="default"/>
      </items>
    </pivotField>
    <pivotField showAll="0"/>
    <pivotField showAll="0"/>
    <pivotField showAll="0">
      <items count="9">
        <item x="0"/>
        <item x="1"/>
        <item x="2"/>
        <item x="3"/>
        <item x="4"/>
        <item x="5"/>
        <item x="6"/>
        <item x="7"/>
        <item t="default"/>
      </items>
    </pivotField>
    <pivotField dataField="1" showAll="0">
      <items count="3">
        <item x="1"/>
        <item x="0"/>
        <item t="default"/>
      </items>
    </pivotField>
    <pivotField showAll="0"/>
    <pivotField showAll="0"/>
    <pivotField showAll="0"/>
  </pivotFields>
  <rowFields count="1">
    <field x="4"/>
  </rowFields>
  <rowItems count="10">
    <i>
      <x v="1"/>
    </i>
    <i>
      <x v="2"/>
    </i>
    <i>
      <x v="3"/>
    </i>
    <i>
      <x v="4"/>
    </i>
    <i>
      <x v="5"/>
    </i>
    <i>
      <x v="6"/>
    </i>
    <i>
      <x v="7"/>
    </i>
    <i>
      <x v="8"/>
    </i>
    <i>
      <x v="9"/>
    </i>
    <i t="grand">
      <x/>
    </i>
  </rowItems>
  <colItems count="1">
    <i/>
  </colItems>
  <dataFields count="1">
    <dataField name="Sum of Outcome" fld="8"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F105D98-41B2-4F44-B74F-F6CB390FC532}"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9" firstHeaderRow="1" firstDataRow="1" firstDataCol="1"/>
  <pivotFields count="12">
    <pivotField showAll="0"/>
    <pivotField showAll="0"/>
    <pivotField showAll="0"/>
    <pivotField showAll="0"/>
    <pivotField showAll="0"/>
    <pivotField axis="axisRow" showAll="0">
      <items count="8">
        <item x="0"/>
        <item x="1"/>
        <item x="2"/>
        <item x="3"/>
        <item x="4"/>
        <item x="5"/>
        <item x="6"/>
        <item t="default"/>
      </items>
    </pivotField>
    <pivotField showAll="0"/>
    <pivotField showAll="0">
      <items count="9">
        <item x="0"/>
        <item x="1"/>
        <item x="2"/>
        <item x="3"/>
        <item x="4"/>
        <item x="5"/>
        <item x="6"/>
        <item x="7"/>
        <item t="default"/>
      </items>
    </pivotField>
    <pivotField dataField="1" showAll="0">
      <items count="3">
        <item x="1"/>
        <item x="0"/>
        <item t="default"/>
      </items>
    </pivotField>
    <pivotField showAll="0"/>
    <pivotField showAll="0"/>
    <pivotField showAll="0"/>
  </pivotFields>
  <rowFields count="1">
    <field x="5"/>
  </rowFields>
  <rowItems count="6">
    <i>
      <x v="1"/>
    </i>
    <i>
      <x v="2"/>
    </i>
    <i>
      <x v="3"/>
    </i>
    <i>
      <x v="4"/>
    </i>
    <i>
      <x v="5"/>
    </i>
    <i t="grand">
      <x/>
    </i>
  </rowItems>
  <colItems count="1">
    <i/>
  </colItems>
  <dataFields count="1">
    <dataField name="Sum of Outcome" fld="8"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EA8DE29-F15D-4570-9CEB-4EA61E091E45}"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 firstHeaderRow="1" firstDataRow="1" firstDataCol="1"/>
  <pivotFields count="12">
    <pivotField showAll="0"/>
    <pivotField showAll="0"/>
    <pivotField showAll="0"/>
    <pivotField showAll="0"/>
    <pivotField showAll="0"/>
    <pivotField showAll="0"/>
    <pivotField axis="axisRow" showAll="0">
      <items count="7">
        <item x="0"/>
        <item x="1"/>
        <item x="2"/>
        <item x="3"/>
        <item x="4"/>
        <item x="5"/>
        <item t="default"/>
      </items>
    </pivotField>
    <pivotField showAll="0">
      <items count="9">
        <item x="0"/>
        <item x="1"/>
        <item x="2"/>
        <item x="3"/>
        <item x="4"/>
        <item x="5"/>
        <item x="6"/>
        <item x="7"/>
        <item t="default"/>
      </items>
    </pivotField>
    <pivotField dataField="1" showAll="0">
      <items count="3">
        <item x="1"/>
        <item x="0"/>
        <item t="default"/>
      </items>
    </pivotField>
    <pivotField showAll="0"/>
    <pivotField showAll="0"/>
    <pivotField showAll="0"/>
  </pivotFields>
  <rowFields count="1">
    <field x="6"/>
  </rowFields>
  <rowItems count="4">
    <i>
      <x v="1"/>
    </i>
    <i>
      <x v="3"/>
    </i>
    <i>
      <x v="4"/>
    </i>
    <i t="grand">
      <x/>
    </i>
  </rowItems>
  <colItems count="1">
    <i/>
  </colItems>
  <dataFields count="1">
    <dataField name="Sum of Outcome" fld="8" baseField="6"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8734E37-7215-4109-8BC1-C8D63902CEF6}"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3:B10" firstHeaderRow="1" firstDataRow="1" firstDataCol="1"/>
  <pivotFields count="12">
    <pivotField showAll="0"/>
    <pivotField showAll="0"/>
    <pivotField showAll="0"/>
    <pivotField showAll="0"/>
    <pivotField showAll="0"/>
    <pivotField showAll="0"/>
    <pivotField showAll="0"/>
    <pivotField axis="axisRow" showAll="0">
      <items count="9">
        <item x="0"/>
        <item x="1"/>
        <item x="2"/>
        <item x="3"/>
        <item x="4"/>
        <item x="5"/>
        <item x="6"/>
        <item x="7"/>
        <item t="default"/>
      </items>
    </pivotField>
    <pivotField dataField="1" showAll="0">
      <items count="3">
        <item x="1"/>
        <item x="0"/>
        <item t="default"/>
      </items>
    </pivotField>
    <pivotField showAll="0"/>
    <pivotField showAll="0"/>
    <pivotField showAll="0"/>
  </pivotFields>
  <rowFields count="1">
    <field x="7"/>
  </rowFields>
  <rowItems count="7">
    <i>
      <x v="1"/>
    </i>
    <i>
      <x v="2"/>
    </i>
    <i>
      <x v="3"/>
    </i>
    <i>
      <x v="4"/>
    </i>
    <i>
      <x v="5"/>
    </i>
    <i>
      <x v="6"/>
    </i>
    <i t="grand">
      <x/>
    </i>
  </rowItems>
  <colItems count="1">
    <i/>
  </colItems>
  <dataFields count="1">
    <dataField name="Sum of Outcome" fld="8" baseField="0" baseItem="0"/>
  </dataFields>
  <chartFormats count="14">
    <chartFormat chart="16" format="0" series="1">
      <pivotArea type="data" outline="0" fieldPosition="0">
        <references count="1">
          <reference field="4294967294" count="1" selected="0">
            <x v="0"/>
          </reference>
        </references>
      </pivotArea>
    </chartFormat>
    <chartFormat chart="16" format="1">
      <pivotArea type="data" outline="0" fieldPosition="0">
        <references count="2">
          <reference field="4294967294" count="1" selected="0">
            <x v="0"/>
          </reference>
          <reference field="7" count="1" selected="0">
            <x v="5"/>
          </reference>
        </references>
      </pivotArea>
    </chartFormat>
    <chartFormat chart="19" format="9" series="1">
      <pivotArea type="data" outline="0" fieldPosition="0">
        <references count="1">
          <reference field="4294967294" count="1" selected="0">
            <x v="0"/>
          </reference>
        </references>
      </pivotArea>
    </chartFormat>
    <chartFormat chart="19" format="10">
      <pivotArea type="data" outline="0" fieldPosition="0">
        <references count="2">
          <reference field="4294967294" count="1" selected="0">
            <x v="0"/>
          </reference>
          <reference field="7" count="1" selected="0">
            <x v="1"/>
          </reference>
        </references>
      </pivotArea>
    </chartFormat>
    <chartFormat chart="19" format="11">
      <pivotArea type="data" outline="0" fieldPosition="0">
        <references count="2">
          <reference field="4294967294" count="1" selected="0">
            <x v="0"/>
          </reference>
          <reference field="7" count="1" selected="0">
            <x v="2"/>
          </reference>
        </references>
      </pivotArea>
    </chartFormat>
    <chartFormat chart="19" format="12">
      <pivotArea type="data" outline="0" fieldPosition="0">
        <references count="2">
          <reference field="4294967294" count="1" selected="0">
            <x v="0"/>
          </reference>
          <reference field="7" count="1" selected="0">
            <x v="3"/>
          </reference>
        </references>
      </pivotArea>
    </chartFormat>
    <chartFormat chart="19" format="13">
      <pivotArea type="data" outline="0" fieldPosition="0">
        <references count="2">
          <reference field="4294967294" count="1" selected="0">
            <x v="0"/>
          </reference>
          <reference field="7" count="1" selected="0">
            <x v="4"/>
          </reference>
        </references>
      </pivotArea>
    </chartFormat>
    <chartFormat chart="19" format="14">
      <pivotArea type="data" outline="0" fieldPosition="0">
        <references count="2">
          <reference field="4294967294" count="1" selected="0">
            <x v="0"/>
          </reference>
          <reference field="7" count="1" selected="0">
            <x v="5"/>
          </reference>
        </references>
      </pivotArea>
    </chartFormat>
    <chartFormat chart="19" format="15">
      <pivotArea type="data" outline="0" fieldPosition="0">
        <references count="2">
          <reference field="4294967294" count="1" selected="0">
            <x v="0"/>
          </reference>
          <reference field="7" count="1" selected="0">
            <x v="6"/>
          </reference>
        </references>
      </pivotArea>
    </chartFormat>
    <chartFormat chart="16" format="2">
      <pivotArea type="data" outline="0" fieldPosition="0">
        <references count="2">
          <reference field="4294967294" count="1" selected="0">
            <x v="0"/>
          </reference>
          <reference field="7" count="1" selected="0">
            <x v="1"/>
          </reference>
        </references>
      </pivotArea>
    </chartFormat>
    <chartFormat chart="16" format="3">
      <pivotArea type="data" outline="0" fieldPosition="0">
        <references count="2">
          <reference field="4294967294" count="1" selected="0">
            <x v="0"/>
          </reference>
          <reference field="7" count="1" selected="0">
            <x v="2"/>
          </reference>
        </references>
      </pivotArea>
    </chartFormat>
    <chartFormat chart="16" format="4">
      <pivotArea type="data" outline="0" fieldPosition="0">
        <references count="2">
          <reference field="4294967294" count="1" selected="0">
            <x v="0"/>
          </reference>
          <reference field="7" count="1" selected="0">
            <x v="3"/>
          </reference>
        </references>
      </pivotArea>
    </chartFormat>
    <chartFormat chart="16" format="5">
      <pivotArea type="data" outline="0" fieldPosition="0">
        <references count="2">
          <reference field="4294967294" count="1" selected="0">
            <x v="0"/>
          </reference>
          <reference field="7" count="1" selected="0">
            <x v="4"/>
          </reference>
        </references>
      </pivotArea>
    </chartFormat>
    <chartFormat chart="16" format="6">
      <pivotArea type="data" outline="0" fieldPosition="0">
        <references count="2">
          <reference field="4294967294" count="1" selected="0">
            <x v="0"/>
          </reference>
          <reference field="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6AADAC0-A760-45C4-8802-AC94FA325E5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4" firstHeaderRow="0" firstDataRow="1" firstDataCol="0"/>
  <pivotFields count="12">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dataField="1" showAll="0">
      <items count="3">
        <item x="1"/>
        <item x="0"/>
        <item t="default"/>
      </items>
    </pivotField>
    <pivotField dataField="1" showAll="0"/>
    <pivotField showAll="0"/>
    <pivotField showAll="0"/>
  </pivotFields>
  <rowItems count="1">
    <i/>
  </rowItems>
  <colFields count="1">
    <field x="-2"/>
  </colFields>
  <colItems count="2">
    <i>
      <x/>
    </i>
    <i i="1">
      <x v="1"/>
    </i>
  </colItems>
  <dataFields count="2">
    <dataField name="Sum of Outcome" fld="8" baseField="0" baseItem="0"/>
    <dataField name="Sum of BMI+Outcome" fld="9"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AC7F875-BABA-46D8-B113-8989BAC78F6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4" firstHeaderRow="0" firstDataRow="1" firstDataCol="0"/>
  <pivotFields count="12">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dataField="1" showAll="0">
      <items count="3">
        <item x="1"/>
        <item x="0"/>
        <item t="default"/>
      </items>
    </pivotField>
    <pivotField showAll="0"/>
    <pivotField dataField="1" showAll="0"/>
    <pivotField showAll="0"/>
  </pivotFields>
  <rowItems count="1">
    <i/>
  </rowItems>
  <colFields count="1">
    <field x="-2"/>
  </colFields>
  <colItems count="2">
    <i>
      <x/>
    </i>
    <i i="1">
      <x v="1"/>
    </i>
  </colItems>
  <dataFields count="2">
    <dataField name="Sum of Outcome" fld="8" baseField="0" baseItem="0"/>
    <dataField name="Sum of (BMI+Outcome) + Glucose" fld="10"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430C6F5-BFE2-40EF-9449-EE64946B5059}"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4" firstHeaderRow="0" firstDataRow="1" firstDataCol="0"/>
  <pivotFields count="12">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dataField="1" showAll="0">
      <items count="3">
        <item x="1"/>
        <item x="0"/>
        <item t="default"/>
      </items>
    </pivotField>
    <pivotField showAll="0"/>
    <pivotField showAll="0"/>
    <pivotField dataField="1" showAll="0"/>
  </pivotFields>
  <rowItems count="1">
    <i/>
  </rowItems>
  <colFields count="1">
    <field x="-2"/>
  </colFields>
  <colItems count="2">
    <i>
      <x/>
    </i>
    <i i="1">
      <x v="1"/>
    </i>
  </colItems>
  <dataFields count="2">
    <dataField name="Sum of Outcome" fld="8" baseField="0" baseItem="0"/>
    <dataField name="Sum of Glucose+Outcome" fld="11"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B49B64E-90E9-47D5-AE75-DB6CF85669C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0" firstHeaderRow="1" firstDataRow="1" firstDataCol="1"/>
  <pivotFields count="12">
    <pivotField showAll="0"/>
    <pivotField dataField="1" showAll="0">
      <items count="19">
        <item x="0"/>
        <item x="1"/>
        <item x="2"/>
        <item x="3"/>
        <item x="4"/>
        <item x="5"/>
        <item x="6"/>
        <item x="7"/>
        <item x="8"/>
        <item x="9"/>
        <item x="10"/>
        <item x="11"/>
        <item x="12"/>
        <item x="13"/>
        <item x="14"/>
        <item x="15"/>
        <item x="16"/>
        <item x="17"/>
        <item t="default"/>
      </items>
    </pivotField>
    <pivotField showAll="0">
      <items count="13">
        <item x="0"/>
        <item x="1"/>
        <item x="2"/>
        <item x="3"/>
        <item x="4"/>
        <item x="5"/>
        <item x="6"/>
        <item x="7"/>
        <item x="8"/>
        <item x="9"/>
        <item x="10"/>
        <item x="11"/>
        <item t="default"/>
      </items>
    </pivotField>
    <pivotField showAll="0"/>
    <pivotField showAll="0"/>
    <pivotField showAll="0"/>
    <pivotField showAll="0"/>
    <pivotField axis="axisRow" showAll="0">
      <items count="9">
        <item x="0"/>
        <item x="1"/>
        <item x="2"/>
        <item x="3"/>
        <item x="4"/>
        <item x="5"/>
        <item x="6"/>
        <item x="7"/>
        <item t="default"/>
      </items>
    </pivotField>
    <pivotField showAll="0">
      <items count="3">
        <item x="1"/>
        <item x="0"/>
        <item t="default"/>
      </items>
    </pivotField>
    <pivotField showAll="0"/>
    <pivotField showAll="0"/>
    <pivotField showAll="0"/>
  </pivotFields>
  <rowFields count="1">
    <field x="7"/>
  </rowFields>
  <rowItems count="7">
    <i>
      <x v="1"/>
    </i>
    <i>
      <x v="2"/>
    </i>
    <i>
      <x v="3"/>
    </i>
    <i>
      <x v="4"/>
    </i>
    <i>
      <x v="5"/>
    </i>
    <i>
      <x v="6"/>
    </i>
    <i t="grand">
      <x/>
    </i>
  </rowItems>
  <colItems count="1">
    <i/>
  </colItems>
  <dataFields count="1">
    <dataField name="Sum of Glucose" fld="1" baseField="7" baseItem="1"/>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5"/>
          </reference>
        </references>
      </pivotArea>
    </chartFormat>
    <chartFormat chart="0" format="2">
      <pivotArea type="data" outline="0" fieldPosition="0">
        <references count="2">
          <reference field="4294967294" count="1" selected="0">
            <x v="0"/>
          </reference>
          <reference field="7" count="1" selected="0">
            <x v="6"/>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7" count="1" selected="0">
            <x v="5"/>
          </reference>
        </references>
      </pivotArea>
    </chartFormat>
    <chartFormat chart="3" format="8">
      <pivotArea type="data" outline="0" fieldPosition="0">
        <references count="2">
          <reference field="4294967294" count="1" selected="0">
            <x v="0"/>
          </reference>
          <reference field="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6F314BC-ECCD-46BE-8EB2-BA563B385E1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0" firstHeaderRow="1" firstDataRow="1" firstDataCol="1"/>
  <pivotFields count="12">
    <pivotField showAll="0"/>
    <pivotField showAll="0"/>
    <pivotField showAll="0"/>
    <pivotField showAll="0"/>
    <pivotField showAll="0"/>
    <pivotField dataField="1" showAll="0"/>
    <pivotField showAll="0"/>
    <pivotField axis="axisRow" showAll="0" sortType="ascending">
      <items count="9">
        <item x="0"/>
        <item x="1"/>
        <item x="2"/>
        <item x="3"/>
        <item x="4"/>
        <item x="5"/>
        <item x="6"/>
        <item x="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s>
  <rowFields count="1">
    <field x="7"/>
  </rowFields>
  <rowItems count="7">
    <i>
      <x v="6"/>
    </i>
    <i>
      <x v="5"/>
    </i>
    <i>
      <x v="4"/>
    </i>
    <i>
      <x v="3"/>
    </i>
    <i>
      <x v="2"/>
    </i>
    <i>
      <x v="1"/>
    </i>
    <i t="grand">
      <x/>
    </i>
  </rowItems>
  <colItems count="1">
    <i/>
  </colItems>
  <dataFields count="1">
    <dataField name="Sum of BMI" fld="5" baseField="7" baseItem="1"/>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6"/>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9931388F-2726-4830-B484-3F1C1E5BA871}"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0" firstHeaderRow="1" firstDataRow="1" firstDataCol="1"/>
  <pivotFields count="12">
    <pivotField showAll="0"/>
    <pivotField showAll="0"/>
    <pivotField showAll="0"/>
    <pivotField showAll="0"/>
    <pivotField showAll="0"/>
    <pivotField showAll="0"/>
    <pivotField dataField="1" showAll="0"/>
    <pivotField axis="axisRow" showAll="0">
      <items count="9">
        <item x="0"/>
        <item x="1"/>
        <item x="2"/>
        <item x="3"/>
        <item x="4"/>
        <item x="5"/>
        <item x="6"/>
        <item x="7"/>
        <item t="default"/>
      </items>
    </pivotField>
    <pivotField showAll="0"/>
    <pivotField showAll="0"/>
    <pivotField showAll="0"/>
    <pivotField showAll="0"/>
  </pivotFields>
  <rowFields count="1">
    <field x="7"/>
  </rowFields>
  <rowItems count="7">
    <i>
      <x v="1"/>
    </i>
    <i>
      <x v="2"/>
    </i>
    <i>
      <x v="3"/>
    </i>
    <i>
      <x v="4"/>
    </i>
    <i>
      <x v="5"/>
    </i>
    <i>
      <x v="6"/>
    </i>
    <i t="grand">
      <x/>
    </i>
  </rowItems>
  <colItems count="1">
    <i/>
  </colItems>
  <dataFields count="1">
    <dataField name="Sum of DiabetesPedigreeFunction" fld="6" baseField="7" baseItem="1"/>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6"/>
          </reference>
        </references>
      </pivotArea>
    </chartFormat>
    <chartFormat chart="0" format="2">
      <pivotArea type="data" outline="0" fieldPosition="0">
        <references count="2">
          <reference field="4294967294" count="1" selected="0">
            <x v="0"/>
          </reference>
          <reference field="7" count="1" selected="0">
            <x v="5"/>
          </reference>
        </references>
      </pivotArea>
    </chartFormat>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7" count="1" selected="0">
            <x v="5"/>
          </reference>
        </references>
      </pivotArea>
    </chartFormat>
    <chartFormat chart="5" format="8">
      <pivotArea type="data" outline="0" fieldPosition="0">
        <references count="2">
          <reference field="4294967294" count="1" selected="0">
            <x v="0"/>
          </reference>
          <reference field="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769970E-5D3F-4398-80BF-E1C979B7448A}"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0" firstHeaderRow="1" firstDataRow="1" firstDataCol="1"/>
  <pivotFields count="12">
    <pivotField showAll="0"/>
    <pivotField showAll="0"/>
    <pivotField showAll="0"/>
    <pivotField showAll="0"/>
    <pivotField dataField="1" showAll="0"/>
    <pivotField showAll="0"/>
    <pivotField showAll="0"/>
    <pivotField axis="axisRow" showAll="0" sortType="ascending">
      <items count="9">
        <item x="0"/>
        <item x="1"/>
        <item x="2"/>
        <item x="3"/>
        <item x="4"/>
        <item x="5"/>
        <item x="6"/>
        <item x="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s>
  <rowFields count="1">
    <field x="7"/>
  </rowFields>
  <rowItems count="7">
    <i>
      <x v="6"/>
    </i>
    <i>
      <x v="5"/>
    </i>
    <i>
      <x v="4"/>
    </i>
    <i>
      <x v="3"/>
    </i>
    <i>
      <x v="2"/>
    </i>
    <i>
      <x v="1"/>
    </i>
    <i t="grand">
      <x/>
    </i>
  </rowItems>
  <colItems count="1">
    <i/>
  </colItems>
  <dataFields count="1">
    <dataField name="Sum of Insulin" fld="4" baseField="7" baseItem="1"/>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B837D4A3-41BC-45CD-AFE6-3F6946A35354}"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0" firstHeaderRow="1" firstDataRow="1" firstDataCol="1"/>
  <pivotFields count="12">
    <pivotField showAll="0"/>
    <pivotField showAll="0"/>
    <pivotField showAll="0"/>
    <pivotField dataField="1" showAll="0"/>
    <pivotField showAll="0"/>
    <pivotField showAll="0"/>
    <pivotField showAll="0"/>
    <pivotField axis="axisRow" showAll="0">
      <items count="9">
        <item x="0"/>
        <item x="1"/>
        <item x="2"/>
        <item x="3"/>
        <item x="4"/>
        <item x="5"/>
        <item x="6"/>
        <item x="7"/>
        <item t="default"/>
      </items>
    </pivotField>
    <pivotField showAll="0"/>
    <pivotField showAll="0"/>
    <pivotField showAll="0"/>
    <pivotField showAll="0"/>
  </pivotFields>
  <rowFields count="1">
    <field x="7"/>
  </rowFields>
  <rowItems count="7">
    <i>
      <x v="1"/>
    </i>
    <i>
      <x v="2"/>
    </i>
    <i>
      <x v="3"/>
    </i>
    <i>
      <x v="4"/>
    </i>
    <i>
      <x v="5"/>
    </i>
    <i>
      <x v="6"/>
    </i>
    <i t="grand">
      <x/>
    </i>
  </rowItems>
  <colItems count="1">
    <i/>
  </colItems>
  <dataFields count="1">
    <dataField name="Sum of SkinThickness" fld="3" baseField="7" baseItem="1"/>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91A8DBB9-EAC2-48C9-8862-657D2D621BB7}"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0" firstHeaderRow="1" firstDataRow="1" firstDataCol="1"/>
  <pivotFields count="12">
    <pivotField showAll="0"/>
    <pivotField showAll="0"/>
    <pivotField dataField="1" showAll="0"/>
    <pivotField showAll="0"/>
    <pivotField showAll="0"/>
    <pivotField showAll="0"/>
    <pivotField showAll="0"/>
    <pivotField axis="axisRow" showAll="0">
      <items count="9">
        <item x="0"/>
        <item x="1"/>
        <item x="2"/>
        <item x="3"/>
        <item x="4"/>
        <item x="5"/>
        <item x="6"/>
        <item x="7"/>
        <item t="default"/>
      </items>
    </pivotField>
    <pivotField showAll="0"/>
    <pivotField showAll="0"/>
    <pivotField showAll="0"/>
    <pivotField showAll="0"/>
  </pivotFields>
  <rowFields count="1">
    <field x="7"/>
  </rowFields>
  <rowItems count="7">
    <i>
      <x v="1"/>
    </i>
    <i>
      <x v="2"/>
    </i>
    <i>
      <x v="3"/>
    </i>
    <i>
      <x v="4"/>
    </i>
    <i>
      <x v="5"/>
    </i>
    <i>
      <x v="6"/>
    </i>
    <i t="grand">
      <x/>
    </i>
  </rowItems>
  <colItems count="1">
    <i/>
  </colItems>
  <dataFields count="1">
    <dataField name="Sum of BloodPressure" fld="2" baseField="7"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BC37C43C-5F3A-4605-9C5E-1CA85D0AC871}"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10" firstHeaderRow="1" firstDataRow="1" firstDataCol="1"/>
  <pivotFields count="12">
    <pivotField showAll="0"/>
    <pivotField showAll="0"/>
    <pivotField showAll="0"/>
    <pivotField showAll="0"/>
    <pivotField showAll="0"/>
    <pivotField showAll="0"/>
    <pivotField showAll="0"/>
    <pivotField axis="axisRow" showAll="0">
      <items count="9">
        <item x="0"/>
        <item x="1"/>
        <item x="2"/>
        <item x="3"/>
        <item x="4"/>
        <item x="5"/>
        <item x="6"/>
        <item x="7"/>
        <item t="default"/>
      </items>
    </pivotField>
    <pivotField dataField="1" showAll="0">
      <items count="3">
        <item x="1"/>
        <item x="0"/>
        <item t="default"/>
      </items>
    </pivotField>
    <pivotField showAll="0"/>
    <pivotField showAll="0"/>
    <pivotField showAll="0"/>
  </pivotFields>
  <rowFields count="1">
    <field x="7"/>
  </rowFields>
  <rowItems count="7">
    <i>
      <x v="1"/>
    </i>
    <i>
      <x v="2"/>
    </i>
    <i>
      <x v="3"/>
    </i>
    <i>
      <x v="4"/>
    </i>
    <i>
      <x v="5"/>
    </i>
    <i>
      <x v="6"/>
    </i>
    <i t="grand">
      <x/>
    </i>
  </rowItems>
  <colItems count="1">
    <i/>
  </colItems>
  <dataFields count="1">
    <dataField name="Sum of Outcome" fld="8" showDataAs="percentOfTotal" baseField="0" baseItem="0" numFmtId="10"/>
  </dataFields>
  <chartFormats count="4">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7" count="1" selected="0">
            <x v="6"/>
          </reference>
        </references>
      </pivotArea>
    </chartFormat>
    <chartFormat chart="4" format="4">
      <pivotArea type="data" outline="0" fieldPosition="0">
        <references count="2">
          <reference field="4294967294" count="1" selected="0">
            <x v="0"/>
          </reference>
          <reference field="7"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7A64539D-456D-4503-A170-B2ACF6C7641E}"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10" firstHeaderRow="1" firstDataRow="1" firstDataCol="1"/>
  <pivotFields count="12">
    <pivotField showAll="0"/>
    <pivotField showAll="0"/>
    <pivotField dataField="1" showAll="0"/>
    <pivotField showAll="0"/>
    <pivotField showAll="0"/>
    <pivotField showAll="0"/>
    <pivotField showAll="0"/>
    <pivotField axis="axisRow" showAll="0">
      <items count="9">
        <item x="0"/>
        <item x="1"/>
        <item x="2"/>
        <item x="3"/>
        <item x="4"/>
        <item x="5"/>
        <item x="6"/>
        <item x="7"/>
        <item t="default"/>
      </items>
    </pivotField>
    <pivotField showAll="0">
      <items count="3">
        <item x="1"/>
        <item x="0"/>
        <item t="default"/>
      </items>
    </pivotField>
    <pivotField showAll="0"/>
    <pivotField showAll="0"/>
    <pivotField showAll="0"/>
  </pivotFields>
  <rowFields count="1">
    <field x="7"/>
  </rowFields>
  <rowItems count="7">
    <i>
      <x v="1"/>
    </i>
    <i>
      <x v="2"/>
    </i>
    <i>
      <x v="3"/>
    </i>
    <i>
      <x v="4"/>
    </i>
    <i>
      <x v="5"/>
    </i>
    <i>
      <x v="6"/>
    </i>
    <i t="grand">
      <x/>
    </i>
  </rowItems>
  <colItems count="1">
    <i/>
  </colItems>
  <dataFields count="1">
    <dataField name="Sum of BloodPressure" fld="2" showDataAs="percentOfTotal" baseField="7" baseItem="1" numFmtId="1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B5B5E781-9738-43A8-9313-9A074876EFEE}" name="PivotTable4"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A3:B9" firstHeaderRow="1" firstDataRow="1" firstDataCol="1"/>
  <pivotFields count="12">
    <pivotField showAll="0"/>
    <pivotField showAll="0"/>
    <pivotField showAll="0"/>
    <pivotField dataField="1" showAll="0"/>
    <pivotField showAll="0"/>
    <pivotField showAll="0"/>
    <pivotField showAll="0"/>
    <pivotField axis="axisRow" showAll="0">
      <items count="9">
        <item x="0"/>
        <item x="1"/>
        <item x="2"/>
        <item x="3"/>
        <item x="4"/>
        <item x="5"/>
        <item x="6"/>
        <item x="7"/>
        <item t="default"/>
      </items>
    </pivotField>
    <pivotField showAll="0">
      <items count="3">
        <item x="1"/>
        <item x="0"/>
        <item t="default"/>
      </items>
    </pivotField>
    <pivotField showAll="0"/>
    <pivotField showAll="0"/>
    <pivotField showAll="0"/>
  </pivotFields>
  <rowFields count="1">
    <field x="7"/>
  </rowFields>
  <rowItems count="6">
    <i>
      <x v="1"/>
    </i>
    <i>
      <x v="2"/>
    </i>
    <i>
      <x v="3"/>
    </i>
    <i>
      <x v="4"/>
    </i>
    <i>
      <x v="5"/>
    </i>
    <i>
      <x v="6"/>
    </i>
  </rowItems>
  <colItems count="1">
    <i/>
  </colItems>
  <dataFields count="1">
    <dataField name="Sum of SkinThickness" fld="3" showDataAs="percentOfTotal" baseField="7" baseItem="1" numFmtId="1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210619C6-1B01-400F-AD27-B41693154E6B}" name="PivotTable3"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6">
  <location ref="A3:B9" firstHeaderRow="1" firstDataRow="1" firstDataCol="1"/>
  <pivotFields count="12">
    <pivotField showAll="0"/>
    <pivotField showAll="0"/>
    <pivotField showAll="0"/>
    <pivotField showAll="0"/>
    <pivotField dataField="1" showAll="0"/>
    <pivotField showAll="0"/>
    <pivotField showAll="0"/>
    <pivotField axis="axisRow" showAll="0">
      <items count="9">
        <item x="0"/>
        <item x="1"/>
        <item x="2"/>
        <item x="3"/>
        <item x="4"/>
        <item x="5"/>
        <item x="6"/>
        <item x="7"/>
        <item t="default"/>
      </items>
    </pivotField>
    <pivotField showAll="0">
      <items count="3">
        <item x="1"/>
        <item x="0"/>
        <item t="default"/>
      </items>
    </pivotField>
    <pivotField showAll="0"/>
    <pivotField showAll="0"/>
    <pivotField showAll="0"/>
  </pivotFields>
  <rowFields count="1">
    <field x="7"/>
  </rowFields>
  <rowItems count="6">
    <i>
      <x v="1"/>
    </i>
    <i>
      <x v="2"/>
    </i>
    <i>
      <x v="3"/>
    </i>
    <i>
      <x v="4"/>
    </i>
    <i>
      <x v="5"/>
    </i>
    <i>
      <x v="6"/>
    </i>
  </rowItems>
  <colItems count="1">
    <i/>
  </colItems>
  <dataFields count="1">
    <dataField name="Sum of Insulin" fld="4" showDataAs="percentOfTotal" baseField="7" baseItem="1" numFmtId="1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78B7ABFE-4B8E-4F1A-847A-441E26920E1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0" firstHeaderRow="1" firstDataRow="1" firstDataCol="1"/>
  <pivotFields count="12">
    <pivotField showAll="0"/>
    <pivotField showAll="0"/>
    <pivotField showAll="0"/>
    <pivotField showAll="0"/>
    <pivotField showAll="0"/>
    <pivotField showAll="0"/>
    <pivotField dataField="1" showAll="0"/>
    <pivotField axis="axisRow" showAll="0">
      <items count="9">
        <item x="0"/>
        <item x="1"/>
        <item x="2"/>
        <item x="3"/>
        <item x="4"/>
        <item x="5"/>
        <item x="6"/>
        <item x="7"/>
        <item t="default"/>
      </items>
    </pivotField>
    <pivotField showAll="0">
      <items count="3">
        <item x="1"/>
        <item x="0"/>
        <item t="default"/>
      </items>
    </pivotField>
    <pivotField showAll="0"/>
    <pivotField showAll="0"/>
    <pivotField showAll="0"/>
  </pivotFields>
  <rowFields count="1">
    <field x="7"/>
  </rowFields>
  <rowItems count="7">
    <i>
      <x v="1"/>
    </i>
    <i>
      <x v="2"/>
    </i>
    <i>
      <x v="3"/>
    </i>
    <i>
      <x v="4"/>
    </i>
    <i>
      <x v="5"/>
    </i>
    <i>
      <x v="6"/>
    </i>
    <i t="grand">
      <x/>
    </i>
  </rowItems>
  <colItems count="1">
    <i/>
  </colItems>
  <dataFields count="1">
    <dataField name="Sum of DiabetesPedigreeFunction" fld="6" showDataAs="percentOfTotal" baseField="7" baseItem="1" numFmtId="1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7055AFEB-AEA6-47DD-AC3E-5EED35C2244F}" name="PivotTable2"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0">
  <location ref="A3:B9" firstHeaderRow="1" firstDataRow="1" firstDataCol="1"/>
  <pivotFields count="12">
    <pivotField showAll="0"/>
    <pivotField dataField="1" showAll="0">
      <items count="19">
        <item x="0"/>
        <item x="1"/>
        <item x="2"/>
        <item x="3"/>
        <item x="4"/>
        <item x="5"/>
        <item x="6"/>
        <item x="7"/>
        <item x="8"/>
        <item x="9"/>
        <item x="10"/>
        <item x="11"/>
        <item x="12"/>
        <item x="13"/>
        <item x="14"/>
        <item x="15"/>
        <item x="16"/>
        <item x="17"/>
        <item t="default"/>
      </items>
    </pivotField>
    <pivotField showAll="0"/>
    <pivotField showAll="0"/>
    <pivotField showAll="0"/>
    <pivotField showAll="0"/>
    <pivotField showAll="0"/>
    <pivotField axis="axisRow" showAll="0">
      <items count="9">
        <item x="0"/>
        <item x="1"/>
        <item x="2"/>
        <item x="3"/>
        <item x="4"/>
        <item x="5"/>
        <item x="6"/>
        <item x="7"/>
        <item t="default"/>
      </items>
    </pivotField>
    <pivotField showAll="0">
      <items count="3">
        <item x="1"/>
        <item x="0"/>
        <item t="default"/>
      </items>
    </pivotField>
    <pivotField showAll="0"/>
    <pivotField showAll="0"/>
    <pivotField showAll="0"/>
  </pivotFields>
  <rowFields count="1">
    <field x="7"/>
  </rowFields>
  <rowItems count="6">
    <i>
      <x v="1"/>
    </i>
    <i>
      <x v="2"/>
    </i>
    <i>
      <x v="3"/>
    </i>
    <i>
      <x v="4"/>
    </i>
    <i>
      <x v="5"/>
    </i>
    <i>
      <x v="6"/>
    </i>
  </rowItems>
  <colItems count="1">
    <i/>
  </colItems>
  <dataFields count="1">
    <dataField name="Sum of Glucose" fld="1" showDataAs="percentOfTotal" baseField="0" baseItem="0" numFmtId="10"/>
  </dataFields>
  <chartFormats count="2">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5DE1204A-415F-4F7B-A455-559FAC2B252A}"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A3:B9" firstHeaderRow="1" firstDataRow="1" firstDataCol="1"/>
  <pivotFields count="12">
    <pivotField showAll="0"/>
    <pivotField showAll="0"/>
    <pivotField showAll="0"/>
    <pivotField showAll="0"/>
    <pivotField showAll="0"/>
    <pivotField showAll="0"/>
    <pivotField showAll="0"/>
    <pivotField axis="axisRow" dataField="1" showAll="0">
      <items count="9">
        <item x="0"/>
        <item x="1"/>
        <item x="2"/>
        <item x="3"/>
        <item x="4"/>
        <item x="5"/>
        <item x="6"/>
        <item x="7"/>
        <item t="default"/>
      </items>
    </pivotField>
    <pivotField showAll="0">
      <items count="3">
        <item x="1"/>
        <item x="0"/>
        <item t="default"/>
      </items>
    </pivotField>
    <pivotField showAll="0"/>
    <pivotField showAll="0"/>
    <pivotField showAll="0"/>
  </pivotFields>
  <rowFields count="1">
    <field x="7"/>
  </rowFields>
  <rowItems count="6">
    <i>
      <x v="1"/>
    </i>
    <i>
      <x v="2"/>
    </i>
    <i>
      <x v="3"/>
    </i>
    <i>
      <x v="4"/>
    </i>
    <i>
      <x v="5"/>
    </i>
    <i>
      <x v="6"/>
    </i>
  </rowItems>
  <colItems count="1">
    <i/>
  </colItems>
  <dataFields count="1">
    <dataField name="Sum of Age" fld="7" showDataAs="percentOfTotal" baseField="7" baseItem="6" numFmtId="1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65893150-279A-486F-B57D-384F6A28E734}" autoFormatId="16" applyNumberFormats="0" applyBorderFormats="0" applyFontFormats="0" applyPatternFormats="0" applyAlignmentFormats="0" applyWidthHeightFormats="0">
  <queryTableRefresh nextId="10">
    <queryTableFields count="9">
      <queryTableField id="1" name="Pregnancies" tableColumnId="1"/>
      <queryTableField id="2" name="Glucose" tableColumnId="2"/>
      <queryTableField id="3" name="BloodPressure" tableColumnId="3"/>
      <queryTableField id="4" name="SkinThickness" tableColumnId="4"/>
      <queryTableField id="5" name="Insulin" tableColumnId="5"/>
      <queryTableField id="6" name="BMI" tableColumnId="6"/>
      <queryTableField id="7" name="DiabetesPedigreeFunction" tableColumnId="7"/>
      <queryTableField id="8" name="Age" tableColumnId="8"/>
      <queryTableField id="9" name="Outcom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5B6AE33E-CB8F-4DAC-86D2-CA523816B45D}" autoFormatId="16" applyNumberFormats="0" applyBorderFormats="0" applyFontFormats="0" applyPatternFormats="0" applyAlignmentFormats="0" applyWidthHeightFormats="0">
  <queryTableRefresh nextId="13" unboundColumnsRight="3">
    <queryTableFields count="12">
      <queryTableField id="1" name="Pregnancies" tableColumnId="1"/>
      <queryTableField id="2" name="Glucose" tableColumnId="2"/>
      <queryTableField id="3" name="BloodPressure" tableColumnId="3"/>
      <queryTableField id="4" name="SkinThickness" tableColumnId="4"/>
      <queryTableField id="5" name="Insulin" tableColumnId="5"/>
      <queryTableField id="6" name="BMI" tableColumnId="6"/>
      <queryTableField id="7" name="DiabetesPedigreeFunction" tableColumnId="7"/>
      <queryTableField id="8" name="Age" tableColumnId="8"/>
      <queryTableField id="9" name="Outcome" tableColumnId="9"/>
      <queryTableField id="10" dataBound="0" tableColumnId="10"/>
      <queryTableField id="11" dataBound="0" tableColumnId="11"/>
      <queryTableField id="12" dataBound="0"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101736F4-7E41-4830-8CF4-66D7F1E023E2}" sourceName="Age">
  <pivotTables>
    <pivotTable tabId="4" name="PivotTable2"/>
    <pivotTable tabId="10" name="PivotTable8"/>
    <pivotTable tabId="8" name="PivotTable6"/>
    <pivotTable tabId="5" name="PivotTable3"/>
    <pivotTable tabId="9" name="PivotTable7"/>
    <pivotTable tabId="7" name="PivotTable5"/>
    <pivotTable tabId="3" name="PivotTable1"/>
    <pivotTable tabId="6" name="PivotTable4"/>
    <pivotTable tabId="21" name="PivotTable3"/>
    <pivotTable tabId="20" name="PivotTable2"/>
    <pivotTable tabId="22" name="PivotTable4"/>
    <pivotTable tabId="27" name="PivotTable2"/>
    <pivotTable tabId="29" name="PivotTable1"/>
    <pivotTable tabId="33" name="PivotTable2"/>
    <pivotTable tabId="34" name="PivotTable3"/>
    <pivotTable tabId="35" name="PivotTable4"/>
    <pivotTable tabId="36" name="PivotTable5"/>
    <pivotTable tabId="37" name="PivotTable6"/>
  </pivotTables>
  <data>
    <tabular pivotCacheId="1471931725">
      <items count="8">
        <i x="1" s="1"/>
        <i x="2" s="1"/>
        <i x="3" s="1"/>
        <i x="4" s="1"/>
        <i x="5" s="1"/>
        <i x="6" s="1"/>
        <i x="0" s="1" nd="1"/>
        <i x="7"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come" xr10:uid="{0BE56AF2-4E12-497C-9205-DE29D82B2C10}" sourceName="Outcome">
  <pivotTables>
    <pivotTable tabId="4" name="PivotTable2"/>
    <pivotTable tabId="10" name="PivotTable8"/>
    <pivotTable tabId="8" name="PivotTable6"/>
    <pivotTable tabId="5" name="PivotTable3"/>
    <pivotTable tabId="9" name="PivotTable7"/>
    <pivotTable tabId="7" name="PivotTable5"/>
    <pivotTable tabId="3" name="PivotTable1"/>
    <pivotTable tabId="6" name="PivotTable4"/>
    <pivotTable tabId="21" name="PivotTable3"/>
    <pivotTable tabId="20" name="PivotTable2"/>
    <pivotTable tabId="22" name="PivotTable4"/>
    <pivotTable tabId="27" name="PivotTable2"/>
    <pivotTable tabId="29" name="PivotTable1"/>
    <pivotTable tabId="33" name="PivotTable2"/>
    <pivotTable tabId="34" name="PivotTable3"/>
    <pivotTable tabId="35" name="PivotTable4"/>
    <pivotTable tabId="36" name="PivotTable5"/>
    <pivotTable tabId="37" name="PivotTable6"/>
  </pivotTables>
  <data>
    <tabular pivotCacheId="1471931725">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xr10:uid="{5D639413-98B7-4528-BF01-303C1FB4F025}" cache="Slicer_Age" caption="Age" rowHeight="241300"/>
  <slicer name="Outcome" xr10:uid="{14E80FEF-8793-4B06-BFAC-5B6172678731}" cache="Slicer_Outcome" caption="Outcom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1" xr10:uid="{E0DD1CE6-A6A9-433D-9C99-9E27C57F249A}" cache="Slicer_Age" caption="Age" startItem="2" showCaption="0" style="SlicerStyleLight5" rowHeight="241300"/>
  <slicer name="Outcome 1" xr10:uid="{64C32306-F317-4E70-8725-3B841437EFFD}" cache="Slicer_Outcome" caption="Outcome" startItem="1" showCaption="0" style="SlicerStyleLight5"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2" xr10:uid="{F0AA8450-CB1F-49FF-942C-AB5859C095E9}" cache="Slicer_Age" caption="Age" startItem="1" showCaption="0" style="SlicerStyleLight5" rowHeight="241300"/>
  <slicer name="Outcome 2" xr10:uid="{2E3726B5-9B18-4DD8-835A-7E2118CC97AD}" cache="Slicer_Outcome" caption="Outcome" startItem="1" showCaption="0" style="SlicerStyleLight5"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3" xr10:uid="{D43B58AB-A4B4-4BF2-B475-69987EF03E10}" cache="Slicer_Age" caption="Age" startItem="1" showCaption="0" style="SlicerStyleLight5" rowHeight="241300"/>
  <slicer name="Outcome 3" xr10:uid="{63D3C97B-8446-4C70-A291-D3965E57AB0B}" cache="Slicer_Outcome" caption="Outcome" showCaption="0" style="SlicerStyleLight5"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410F67-5BCE-4D7E-8837-C6790239C6D9}" name="Table1" displayName="Table1" ref="A1:I769" totalsRowShown="0">
  <autoFilter ref="A1:I769" xr:uid="{4E410F67-5BCE-4D7E-8837-C6790239C6D9}"/>
  <tableColumns count="9">
    <tableColumn id="1" xr3:uid="{02FE3092-3B67-4B7B-BA8A-494EB8C6E8D1}" name="Pregnancies"/>
    <tableColumn id="2" xr3:uid="{70366C61-1503-40E3-9033-22903952E591}" name="Glucose"/>
    <tableColumn id="3" xr3:uid="{1974877B-884C-4C08-AE59-6216A1902E4A}" name="BloodPressure"/>
    <tableColumn id="4" xr3:uid="{7D719783-C837-45BA-BBD8-E0B01247F6F5}" name="SkinThickness"/>
    <tableColumn id="5" xr3:uid="{AF7384E8-5892-477A-B3EC-1F5801E6149D}" name="Insulin"/>
    <tableColumn id="6" xr3:uid="{DF0FDA07-DA33-4EEB-85AB-315A5F9BA2EC}" name="BMI"/>
    <tableColumn id="7" xr3:uid="{F9F440ED-82B5-44B5-9DA3-61C58CCF42D6}" name="DiabetesPedigreeFunction"/>
    <tableColumn id="8" xr3:uid="{F6E8631B-0B11-4E16-AA26-C8CB65C59C37}" name="Age"/>
    <tableColumn id="9" xr3:uid="{C9B04D57-3F53-4E51-BC4A-F620522390EC}" name="Outcome"/>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E804425-10A9-4493-8370-24D3474E8F95}" name="Table2_1" displayName="Table2_1" ref="A1:I769" tableType="queryTable" totalsRowShown="0">
  <autoFilter ref="A1:I769" xr:uid="{AE804425-10A9-4493-8370-24D3474E8F95}"/>
  <tableColumns count="9">
    <tableColumn id="1" xr3:uid="{A80D6967-E186-4190-A7A5-B4D3EBC159C5}" uniqueName="1" name="Pregnancies" queryTableFieldId="1"/>
    <tableColumn id="2" xr3:uid="{3C06B983-A784-4FCA-A448-7F70F39A405E}" uniqueName="2" name="Glucose" queryTableFieldId="2"/>
    <tableColumn id="3" xr3:uid="{422DE727-428B-4429-97F9-6607433A1181}" uniqueName="3" name="BloodPressure" queryTableFieldId="3"/>
    <tableColumn id="4" xr3:uid="{E4092178-A055-4A8F-AEEC-65F483C2BE72}" uniqueName="4" name="SkinThickness" queryTableFieldId="4"/>
    <tableColumn id="5" xr3:uid="{F15CC40B-BBBE-4C26-8B4B-F8C46C3ABF05}" uniqueName="5" name="Insulin" queryTableFieldId="5"/>
    <tableColumn id="6" xr3:uid="{9D206166-05F1-4A11-B349-5DB886A06C3A}" uniqueName="6" name="BMI" queryTableFieldId="6"/>
    <tableColumn id="7" xr3:uid="{5BFA6883-5B61-43D7-B885-B6536115B04B}" uniqueName="7" name="DiabetesPedigreeFunction" queryTableFieldId="7"/>
    <tableColumn id="8" xr3:uid="{4694F7B6-214A-4EDA-887C-E4F7A8355B28}" uniqueName="8" name="Age" queryTableFieldId="8"/>
    <tableColumn id="9" xr3:uid="{79E7F07F-C4C1-44E1-98D1-953BC731B96F}" uniqueName="9" name="Outcome" queryTableFieldId="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8CBAB88-AB83-4B01-A8C8-EE907751DEA1}" name="Table2" displayName="Table2" ref="A1:L769" tableType="queryTable" totalsRowShown="0">
  <autoFilter ref="A1:L769" xr:uid="{48CBAB88-AB83-4B01-A8C8-EE907751DEA1}"/>
  <tableColumns count="12">
    <tableColumn id="1" xr3:uid="{6B693E38-F6A1-43B3-8A31-E934FA95C039}" uniqueName="1" name="Pregnancies" queryTableFieldId="1"/>
    <tableColumn id="2" xr3:uid="{E41CA93C-B885-4E76-89A6-9E4F6FFD4F35}" uniqueName="2" name="Glucose" queryTableFieldId="2"/>
    <tableColumn id="3" xr3:uid="{E5F888F5-80EF-4E64-A7FF-1C99C9DDE13C}" uniqueName="3" name="BloodPressure" queryTableFieldId="3"/>
    <tableColumn id="4" xr3:uid="{3D908658-18FE-4D64-8CF0-D49DDAF298CF}" uniqueName="4" name="SkinThickness" queryTableFieldId="4"/>
    <tableColumn id="5" xr3:uid="{139CFDC8-DAE3-49C1-AFFF-0008C04F7452}" uniqueName="5" name="Insulin" queryTableFieldId="5"/>
    <tableColumn id="6" xr3:uid="{905265C7-7B54-4382-996F-0472B204BFF9}" uniqueName="6" name="BMI" queryTableFieldId="6"/>
    <tableColumn id="7" xr3:uid="{3EC6A52B-CCC3-49ED-9F25-C8297A400668}" uniqueName="7" name="DiabetesPedigreeFunction" queryTableFieldId="7"/>
    <tableColumn id="8" xr3:uid="{A17E39A0-4EE4-4B70-8054-4BCD44DF40C5}" uniqueName="8" name="Age" queryTableFieldId="8"/>
    <tableColumn id="9" xr3:uid="{F03B1D7C-7142-43F7-964B-97085FBE09C7}" uniqueName="9" name="Outcome" queryTableFieldId="9"/>
    <tableColumn id="10" xr3:uid="{F56A247E-30F6-4D97-AF39-2AC65A33E409}" uniqueName="10" name="BMI+Outcome" queryTableFieldId="10" dataDxfId="8">
      <calculatedColumnFormula>IF(AND(Table2[[#This Row],[BMI]]&gt;=23,Table2[[#This Row],[Outcome]]=1),1,0)</calculatedColumnFormula>
    </tableColumn>
    <tableColumn id="11" xr3:uid="{F690E3B2-38EA-48BC-A13B-D2EFC3E22CA4}" uniqueName="11" name="(BMI+Outcome) + Glucose" queryTableFieldId="11" dataDxfId="7">
      <calculatedColumnFormula>IF(AND(Table2[[#This Row],[BMI+Outcome]]=1,Table2[[#This Row],[Glucose]]&gt;=100),1,0)</calculatedColumnFormula>
    </tableColumn>
    <tableColumn id="12" xr3:uid="{F57AFB50-64D9-4BA4-BA16-372BF93B33D2}" uniqueName="12" name="Glucose+Outcome" queryTableFieldId="12" dataDxfId="6">
      <calculatedColumnFormula>IF(AND(Table2[[#This Row],[Outcome]]=1,Table2[[#This Row],[Glucose]]&gt;=100),1,0)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94DA5CC-92C7-44FE-84F6-1A8E9B09C941}" name="Table4" displayName="Table4" ref="E6:G24" totalsRowShown="0" headerRowDxfId="4" dataDxfId="3">
  <autoFilter ref="E6:G24" xr:uid="{094DA5CC-92C7-44FE-84F6-1A8E9B09C941}"/>
  <tableColumns count="3">
    <tableColumn id="1" xr3:uid="{6B395954-F2E3-4687-9C38-0E6F7CA1D325}" name="Variable" dataDxfId="2"/>
    <tableColumn id="2" xr3:uid="{1BE0D0DB-D152-4773-94AA-64E713D82380}" name="Description" dataDxfId="1"/>
    <tableColumn id="3" xr3:uid="{93FFC148-45A2-4597-BB23-9159D4E33609}" name="Valu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9.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0.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2.xml"/></Relationships>
</file>

<file path=xl/worksheets/_rels/sheet19.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10.xml"/></Relationships>
</file>

<file path=xl/worksheets/_rels/sheet21.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11.xml"/></Relationships>
</file>

<file path=xl/worksheets/_rels/sheet25.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12.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5.xml"/><Relationship Id="rId1" Type="http://schemas.openxmlformats.org/officeDocument/2006/relationships/printerSettings" Target="../printerSettings/printerSettings1.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13.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ivotTable" Target="../pivotTables/pivotTable14.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ivotTable" Target="../pivotTables/pivotTable15.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ivotTable" Target="../pivotTables/pivotTable16.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ivotTable" Target="../pivotTables/pivotTable17.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ivotTable" Target="../pivotTables/pivotTable18.xml"/></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ivotTable" Target="../pivotTables/pivotTable19.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ivotTable" Target="../pivotTables/pivotTable20.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ivotTable" Target="../pivotTables/pivotTable21.xml"/></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ivotTable" Target="../pivotTables/pivotTable22.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ivotTable" Target="../pivotTables/pivotTable23.xml"/></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ivotTable" Target="../pivotTables/pivotTable24.xml"/></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ivotTable" Target="../pivotTables/pivotTable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E4692-472C-4514-806A-6F9D1B49EA1E}">
  <sheetPr codeName="Sheet1"/>
  <dimension ref="A1:K769"/>
  <sheetViews>
    <sheetView topLeftCell="A9" workbookViewId="0">
      <selection activeCell="H8" sqref="H8"/>
    </sheetView>
  </sheetViews>
  <sheetFormatPr defaultRowHeight="15" x14ac:dyDescent="0.25"/>
  <cols>
    <col min="1" max="1" width="14.28515625" customWidth="1"/>
    <col min="2" max="2" width="10.85546875" customWidth="1"/>
    <col min="3" max="3" width="16.28515625" customWidth="1"/>
    <col min="4" max="4" width="15.7109375" customWidth="1"/>
    <col min="5" max="5" width="9.85546875" customWidth="1"/>
    <col min="6" max="6" width="10.85546875" customWidth="1"/>
    <col min="7" max="7" width="28.140625" customWidth="1"/>
    <col min="8" max="8" width="11.42578125" customWidth="1"/>
    <col min="9" max="9" width="12.5703125" customWidth="1"/>
    <col min="11" max="11" width="15.42578125" customWidth="1"/>
  </cols>
  <sheetData>
    <row r="1" spans="1:11" x14ac:dyDescent="0.25">
      <c r="A1" t="s">
        <v>0</v>
      </c>
      <c r="B1" t="s">
        <v>1</v>
      </c>
      <c r="C1" t="s">
        <v>2</v>
      </c>
      <c r="D1" t="s">
        <v>3</v>
      </c>
      <c r="E1" t="s">
        <v>4</v>
      </c>
      <c r="F1" t="s">
        <v>5</v>
      </c>
      <c r="G1" t="s">
        <v>6</v>
      </c>
      <c r="H1" t="s">
        <v>7</v>
      </c>
      <c r="I1" t="s">
        <v>8</v>
      </c>
    </row>
    <row r="2" spans="1:11" x14ac:dyDescent="0.25">
      <c r="A2">
        <v>6</v>
      </c>
      <c r="B2">
        <v>148</v>
      </c>
      <c r="C2">
        <v>72</v>
      </c>
      <c r="D2">
        <v>35</v>
      </c>
      <c r="E2">
        <v>80</v>
      </c>
      <c r="F2">
        <v>33.6</v>
      </c>
      <c r="G2">
        <v>0.627</v>
      </c>
      <c r="H2">
        <v>50</v>
      </c>
      <c r="I2">
        <v>1</v>
      </c>
    </row>
    <row r="3" spans="1:11" x14ac:dyDescent="0.25">
      <c r="A3">
        <v>1</v>
      </c>
      <c r="B3">
        <v>85</v>
      </c>
      <c r="C3">
        <v>66</v>
      </c>
      <c r="D3">
        <v>29</v>
      </c>
      <c r="E3">
        <v>80</v>
      </c>
      <c r="F3">
        <v>26.6</v>
      </c>
      <c r="G3">
        <v>0.35099999999999998</v>
      </c>
      <c r="H3">
        <v>31</v>
      </c>
      <c r="I3">
        <v>0</v>
      </c>
      <c r="K3" s="1"/>
    </row>
    <row r="4" spans="1:11" x14ac:dyDescent="0.25">
      <c r="A4">
        <v>8</v>
      </c>
      <c r="B4">
        <v>183</v>
      </c>
      <c r="C4">
        <v>64</v>
      </c>
      <c r="D4">
        <v>21</v>
      </c>
      <c r="E4">
        <v>80</v>
      </c>
      <c r="F4">
        <v>23.3</v>
      </c>
      <c r="G4">
        <v>0.67200000000000004</v>
      </c>
      <c r="H4">
        <v>32</v>
      </c>
      <c r="I4">
        <v>1</v>
      </c>
      <c r="K4" s="1"/>
    </row>
    <row r="5" spans="1:11" x14ac:dyDescent="0.25">
      <c r="A5">
        <v>1</v>
      </c>
      <c r="B5">
        <v>89</v>
      </c>
      <c r="C5">
        <v>66</v>
      </c>
      <c r="D5">
        <v>23</v>
      </c>
      <c r="E5">
        <v>94</v>
      </c>
      <c r="F5">
        <v>28.1</v>
      </c>
      <c r="G5">
        <v>0.67200000000000004</v>
      </c>
      <c r="H5">
        <v>21</v>
      </c>
      <c r="I5">
        <v>0</v>
      </c>
      <c r="K5" s="1"/>
    </row>
    <row r="6" spans="1:11" x14ac:dyDescent="0.25">
      <c r="A6">
        <v>4</v>
      </c>
      <c r="B6">
        <v>137</v>
      </c>
      <c r="C6">
        <v>40</v>
      </c>
      <c r="D6">
        <v>35</v>
      </c>
      <c r="E6">
        <v>168</v>
      </c>
      <c r="F6">
        <v>43.1</v>
      </c>
      <c r="G6">
        <v>0.67200000000000004</v>
      </c>
      <c r="H6">
        <v>33</v>
      </c>
      <c r="I6">
        <v>1</v>
      </c>
      <c r="K6" s="1"/>
    </row>
    <row r="7" spans="1:11" x14ac:dyDescent="0.25">
      <c r="A7">
        <v>5</v>
      </c>
      <c r="B7">
        <v>116</v>
      </c>
      <c r="C7">
        <v>74</v>
      </c>
      <c r="D7">
        <v>21</v>
      </c>
      <c r="E7">
        <v>80</v>
      </c>
      <c r="F7">
        <v>25.6</v>
      </c>
      <c r="G7">
        <v>0.67200000000000004</v>
      </c>
      <c r="H7">
        <v>30</v>
      </c>
      <c r="I7">
        <v>0</v>
      </c>
    </row>
    <row r="8" spans="1:11" x14ac:dyDescent="0.25">
      <c r="A8">
        <v>3</v>
      </c>
      <c r="B8">
        <v>78</v>
      </c>
      <c r="C8">
        <v>50</v>
      </c>
      <c r="D8">
        <v>32</v>
      </c>
      <c r="E8">
        <v>88</v>
      </c>
      <c r="F8">
        <v>31</v>
      </c>
      <c r="G8">
        <v>0.67200000000000004</v>
      </c>
      <c r="H8">
        <v>26</v>
      </c>
      <c r="I8">
        <v>1</v>
      </c>
    </row>
    <row r="9" spans="1:11" x14ac:dyDescent="0.25">
      <c r="A9">
        <v>10</v>
      </c>
      <c r="B9">
        <v>115</v>
      </c>
      <c r="C9">
        <v>69</v>
      </c>
      <c r="D9">
        <v>21</v>
      </c>
      <c r="E9">
        <v>80</v>
      </c>
      <c r="F9">
        <v>35.299999999999997</v>
      </c>
      <c r="G9">
        <v>0.67200000000000004</v>
      </c>
      <c r="H9">
        <v>29</v>
      </c>
      <c r="I9">
        <v>0</v>
      </c>
    </row>
    <row r="10" spans="1:11" x14ac:dyDescent="0.25">
      <c r="A10">
        <v>2</v>
      </c>
      <c r="B10">
        <v>197</v>
      </c>
      <c r="C10">
        <v>70</v>
      </c>
      <c r="D10">
        <v>45</v>
      </c>
      <c r="E10">
        <v>543</v>
      </c>
      <c r="F10">
        <v>30.5</v>
      </c>
      <c r="G10">
        <v>0.67200000000000004</v>
      </c>
      <c r="H10">
        <v>53</v>
      </c>
      <c r="I10">
        <v>1</v>
      </c>
    </row>
    <row r="11" spans="1:11" x14ac:dyDescent="0.25">
      <c r="A11">
        <v>8</v>
      </c>
      <c r="B11">
        <v>125</v>
      </c>
      <c r="C11">
        <v>96</v>
      </c>
      <c r="D11">
        <v>21</v>
      </c>
      <c r="E11">
        <v>80</v>
      </c>
      <c r="F11">
        <v>32</v>
      </c>
      <c r="G11">
        <v>0.67200000000000004</v>
      </c>
      <c r="H11">
        <v>54</v>
      </c>
      <c r="I11">
        <v>1</v>
      </c>
    </row>
    <row r="12" spans="1:11" x14ac:dyDescent="0.25">
      <c r="A12">
        <v>4</v>
      </c>
      <c r="B12">
        <v>110</v>
      </c>
      <c r="C12">
        <v>92</v>
      </c>
      <c r="D12">
        <v>21</v>
      </c>
      <c r="E12">
        <v>80</v>
      </c>
      <c r="F12">
        <v>37.6</v>
      </c>
      <c r="G12">
        <v>0.67200000000000004</v>
      </c>
      <c r="H12">
        <v>30</v>
      </c>
      <c r="I12">
        <v>0</v>
      </c>
    </row>
    <row r="13" spans="1:11" x14ac:dyDescent="0.25">
      <c r="A13">
        <v>10</v>
      </c>
      <c r="B13">
        <v>168</v>
      </c>
      <c r="C13">
        <v>74</v>
      </c>
      <c r="D13">
        <v>21</v>
      </c>
      <c r="E13">
        <v>80</v>
      </c>
      <c r="F13">
        <v>38</v>
      </c>
      <c r="G13">
        <v>0.67200000000000004</v>
      </c>
      <c r="H13">
        <v>34</v>
      </c>
      <c r="I13">
        <v>1</v>
      </c>
    </row>
    <row r="14" spans="1:11" x14ac:dyDescent="0.25">
      <c r="A14">
        <v>10</v>
      </c>
      <c r="B14">
        <v>139</v>
      </c>
      <c r="C14">
        <v>80</v>
      </c>
      <c r="D14">
        <v>21</v>
      </c>
      <c r="E14">
        <v>80</v>
      </c>
      <c r="F14">
        <v>27.1</v>
      </c>
      <c r="G14">
        <v>0.67200000000000004</v>
      </c>
      <c r="H14">
        <v>57</v>
      </c>
      <c r="I14">
        <v>0</v>
      </c>
    </row>
    <row r="15" spans="1:11" x14ac:dyDescent="0.25">
      <c r="A15">
        <v>1</v>
      </c>
      <c r="B15">
        <v>189</v>
      </c>
      <c r="C15">
        <v>60</v>
      </c>
      <c r="D15">
        <v>23</v>
      </c>
      <c r="E15">
        <v>846</v>
      </c>
      <c r="F15">
        <v>30.1</v>
      </c>
      <c r="G15">
        <v>0.67200000000000004</v>
      </c>
      <c r="H15">
        <v>59</v>
      </c>
      <c r="I15">
        <v>1</v>
      </c>
    </row>
    <row r="16" spans="1:11" x14ac:dyDescent="0.25">
      <c r="A16">
        <v>5</v>
      </c>
      <c r="B16">
        <v>166</v>
      </c>
      <c r="C16">
        <v>72</v>
      </c>
      <c r="D16">
        <v>19</v>
      </c>
      <c r="E16">
        <v>175</v>
      </c>
      <c r="F16">
        <v>25.8</v>
      </c>
      <c r="G16">
        <v>0.67200000000000004</v>
      </c>
      <c r="H16">
        <v>51</v>
      </c>
      <c r="I16">
        <v>1</v>
      </c>
    </row>
    <row r="17" spans="1:9" x14ac:dyDescent="0.25">
      <c r="A17">
        <v>7</v>
      </c>
      <c r="B17">
        <v>100</v>
      </c>
      <c r="C17">
        <v>69</v>
      </c>
      <c r="D17">
        <v>21</v>
      </c>
      <c r="E17">
        <v>80</v>
      </c>
      <c r="F17">
        <v>30</v>
      </c>
      <c r="G17">
        <v>0.67200000000000004</v>
      </c>
      <c r="H17">
        <v>32</v>
      </c>
      <c r="I17">
        <v>1</v>
      </c>
    </row>
    <row r="18" spans="1:9" x14ac:dyDescent="0.25">
      <c r="A18">
        <v>4</v>
      </c>
      <c r="B18">
        <v>118</v>
      </c>
      <c r="C18">
        <v>84</v>
      </c>
      <c r="D18">
        <v>47</v>
      </c>
      <c r="E18">
        <v>230</v>
      </c>
      <c r="F18">
        <v>45.8</v>
      </c>
      <c r="G18">
        <v>0.67200000000000004</v>
      </c>
      <c r="H18">
        <v>31</v>
      </c>
      <c r="I18">
        <v>1</v>
      </c>
    </row>
    <row r="19" spans="1:9" x14ac:dyDescent="0.25">
      <c r="A19">
        <v>7</v>
      </c>
      <c r="B19">
        <v>107</v>
      </c>
      <c r="C19">
        <v>74</v>
      </c>
      <c r="D19">
        <v>21</v>
      </c>
      <c r="E19">
        <v>80</v>
      </c>
      <c r="F19">
        <v>29.6</v>
      </c>
      <c r="G19">
        <v>0.67200000000000004</v>
      </c>
      <c r="H19">
        <v>31</v>
      </c>
      <c r="I19">
        <v>1</v>
      </c>
    </row>
    <row r="20" spans="1:9" x14ac:dyDescent="0.25">
      <c r="A20">
        <v>1</v>
      </c>
      <c r="B20">
        <v>103</v>
      </c>
      <c r="C20">
        <v>30</v>
      </c>
      <c r="D20">
        <v>38</v>
      </c>
      <c r="E20">
        <v>83</v>
      </c>
      <c r="F20">
        <v>43.3</v>
      </c>
      <c r="G20">
        <v>0.67200000000000004</v>
      </c>
      <c r="H20">
        <v>33</v>
      </c>
      <c r="I20">
        <v>0</v>
      </c>
    </row>
    <row r="21" spans="1:9" x14ac:dyDescent="0.25">
      <c r="A21">
        <v>1</v>
      </c>
      <c r="B21">
        <v>115</v>
      </c>
      <c r="C21">
        <v>70</v>
      </c>
      <c r="D21">
        <v>30</v>
      </c>
      <c r="E21">
        <v>96</v>
      </c>
      <c r="F21">
        <v>34.6</v>
      </c>
      <c r="G21">
        <v>0.67200000000000004</v>
      </c>
      <c r="H21">
        <v>32</v>
      </c>
      <c r="I21">
        <v>1</v>
      </c>
    </row>
    <row r="22" spans="1:9" x14ac:dyDescent="0.25">
      <c r="A22">
        <v>3</v>
      </c>
      <c r="B22">
        <v>126</v>
      </c>
      <c r="C22">
        <v>88</v>
      </c>
      <c r="D22">
        <v>41</v>
      </c>
      <c r="E22">
        <v>235</v>
      </c>
      <c r="F22">
        <v>39.299999999999997</v>
      </c>
      <c r="G22">
        <v>0.67200000000000004</v>
      </c>
      <c r="H22">
        <v>27</v>
      </c>
      <c r="I22">
        <v>0</v>
      </c>
    </row>
    <row r="23" spans="1:9" x14ac:dyDescent="0.25">
      <c r="A23">
        <v>8</v>
      </c>
      <c r="B23">
        <v>99</v>
      </c>
      <c r="C23">
        <v>84</v>
      </c>
      <c r="D23">
        <v>21</v>
      </c>
      <c r="E23">
        <v>80</v>
      </c>
      <c r="F23">
        <v>35.4</v>
      </c>
      <c r="G23">
        <v>0.67200000000000004</v>
      </c>
      <c r="H23">
        <v>50</v>
      </c>
      <c r="I23">
        <v>0</v>
      </c>
    </row>
    <row r="24" spans="1:9" x14ac:dyDescent="0.25">
      <c r="A24">
        <v>7</v>
      </c>
      <c r="B24">
        <v>196</v>
      </c>
      <c r="C24">
        <v>90</v>
      </c>
      <c r="D24">
        <v>21</v>
      </c>
      <c r="E24">
        <v>80</v>
      </c>
      <c r="F24">
        <v>39.799999999999997</v>
      </c>
      <c r="G24">
        <v>0.67200000000000004</v>
      </c>
      <c r="H24">
        <v>41</v>
      </c>
      <c r="I24">
        <v>1</v>
      </c>
    </row>
    <row r="25" spans="1:9" x14ac:dyDescent="0.25">
      <c r="A25">
        <v>9</v>
      </c>
      <c r="B25">
        <v>119</v>
      </c>
      <c r="C25">
        <v>80</v>
      </c>
      <c r="D25">
        <v>35</v>
      </c>
      <c r="E25">
        <v>80</v>
      </c>
      <c r="F25">
        <v>29</v>
      </c>
      <c r="G25">
        <v>0.67200000000000004</v>
      </c>
      <c r="H25">
        <v>29</v>
      </c>
      <c r="I25">
        <v>1</v>
      </c>
    </row>
    <row r="26" spans="1:9" x14ac:dyDescent="0.25">
      <c r="A26">
        <v>11</v>
      </c>
      <c r="B26">
        <v>143</v>
      </c>
      <c r="C26">
        <v>94</v>
      </c>
      <c r="D26">
        <v>33</v>
      </c>
      <c r="E26">
        <v>146</v>
      </c>
      <c r="F26">
        <v>36.6</v>
      </c>
      <c r="G26">
        <v>0.67200000000000004</v>
      </c>
      <c r="H26">
        <v>51</v>
      </c>
      <c r="I26">
        <v>1</v>
      </c>
    </row>
    <row r="27" spans="1:9" x14ac:dyDescent="0.25">
      <c r="A27">
        <v>10</v>
      </c>
      <c r="B27">
        <v>125</v>
      </c>
      <c r="C27">
        <v>70</v>
      </c>
      <c r="D27">
        <v>26</v>
      </c>
      <c r="E27">
        <v>115</v>
      </c>
      <c r="F27">
        <v>31.1</v>
      </c>
      <c r="G27">
        <v>0.67200000000000004</v>
      </c>
      <c r="H27">
        <v>41</v>
      </c>
      <c r="I27">
        <v>1</v>
      </c>
    </row>
    <row r="28" spans="1:9" x14ac:dyDescent="0.25">
      <c r="A28">
        <v>7</v>
      </c>
      <c r="B28">
        <v>147</v>
      </c>
      <c r="C28">
        <v>76</v>
      </c>
      <c r="D28">
        <v>21</v>
      </c>
      <c r="E28">
        <v>80</v>
      </c>
      <c r="F28">
        <v>39.4</v>
      </c>
      <c r="G28">
        <v>0.67200000000000004</v>
      </c>
      <c r="H28">
        <v>43</v>
      </c>
      <c r="I28">
        <v>1</v>
      </c>
    </row>
    <row r="29" spans="1:9" x14ac:dyDescent="0.25">
      <c r="A29">
        <v>1</v>
      </c>
      <c r="B29">
        <v>97</v>
      </c>
      <c r="C29">
        <v>66</v>
      </c>
      <c r="D29">
        <v>15</v>
      </c>
      <c r="E29">
        <v>140</v>
      </c>
      <c r="F29">
        <v>23.2</v>
      </c>
      <c r="G29">
        <v>0.67200000000000004</v>
      </c>
      <c r="H29">
        <v>22</v>
      </c>
      <c r="I29">
        <v>0</v>
      </c>
    </row>
    <row r="30" spans="1:9" x14ac:dyDescent="0.25">
      <c r="A30">
        <v>13</v>
      </c>
      <c r="B30">
        <v>145</v>
      </c>
      <c r="C30">
        <v>82</v>
      </c>
      <c r="D30">
        <v>19</v>
      </c>
      <c r="E30">
        <v>110</v>
      </c>
      <c r="F30">
        <v>22.2</v>
      </c>
      <c r="G30">
        <v>0.67200000000000004</v>
      </c>
      <c r="H30">
        <v>57</v>
      </c>
      <c r="I30">
        <v>0</v>
      </c>
    </row>
    <row r="31" spans="1:9" x14ac:dyDescent="0.25">
      <c r="A31">
        <v>5</v>
      </c>
      <c r="B31">
        <v>117</v>
      </c>
      <c r="C31">
        <v>92</v>
      </c>
      <c r="D31">
        <v>21</v>
      </c>
      <c r="E31">
        <v>80</v>
      </c>
      <c r="F31">
        <v>34.1</v>
      </c>
      <c r="G31">
        <v>0.67200000000000004</v>
      </c>
      <c r="H31">
        <v>38</v>
      </c>
      <c r="I31">
        <v>0</v>
      </c>
    </row>
    <row r="32" spans="1:9" x14ac:dyDescent="0.25">
      <c r="A32">
        <v>5</v>
      </c>
      <c r="B32">
        <v>109</v>
      </c>
      <c r="C32">
        <v>75</v>
      </c>
      <c r="D32">
        <v>26</v>
      </c>
      <c r="E32">
        <v>80</v>
      </c>
      <c r="F32">
        <v>36</v>
      </c>
      <c r="G32">
        <v>0.67200000000000004</v>
      </c>
      <c r="H32">
        <v>60</v>
      </c>
      <c r="I32">
        <v>0</v>
      </c>
    </row>
    <row r="33" spans="1:9" x14ac:dyDescent="0.25">
      <c r="A33">
        <v>3</v>
      </c>
      <c r="B33">
        <v>158</v>
      </c>
      <c r="C33">
        <v>76</v>
      </c>
      <c r="D33">
        <v>36</v>
      </c>
      <c r="E33">
        <v>245</v>
      </c>
      <c r="F33">
        <v>31.6</v>
      </c>
      <c r="G33">
        <v>0.67200000000000004</v>
      </c>
      <c r="H33">
        <v>28</v>
      </c>
      <c r="I33">
        <v>1</v>
      </c>
    </row>
    <row r="34" spans="1:9" x14ac:dyDescent="0.25">
      <c r="A34">
        <v>3</v>
      </c>
      <c r="B34">
        <v>88</v>
      </c>
      <c r="C34">
        <v>58</v>
      </c>
      <c r="D34">
        <v>11</v>
      </c>
      <c r="E34">
        <v>54</v>
      </c>
      <c r="F34">
        <v>24.8</v>
      </c>
      <c r="G34">
        <v>0.67200000000000004</v>
      </c>
      <c r="H34">
        <v>22</v>
      </c>
      <c r="I34">
        <v>0</v>
      </c>
    </row>
    <row r="35" spans="1:9" x14ac:dyDescent="0.25">
      <c r="A35">
        <v>6</v>
      </c>
      <c r="B35">
        <v>92</v>
      </c>
      <c r="C35">
        <v>92</v>
      </c>
      <c r="D35">
        <v>21</v>
      </c>
      <c r="E35">
        <v>80</v>
      </c>
      <c r="F35">
        <v>19.899999999999999</v>
      </c>
      <c r="G35">
        <v>0.67200000000000004</v>
      </c>
      <c r="H35">
        <v>28</v>
      </c>
      <c r="I35">
        <v>0</v>
      </c>
    </row>
    <row r="36" spans="1:9" x14ac:dyDescent="0.25">
      <c r="A36">
        <v>10</v>
      </c>
      <c r="B36">
        <v>122</v>
      </c>
      <c r="C36">
        <v>78</v>
      </c>
      <c r="D36">
        <v>31</v>
      </c>
      <c r="E36">
        <v>80</v>
      </c>
      <c r="F36">
        <v>27.6</v>
      </c>
      <c r="G36">
        <v>0.67200000000000004</v>
      </c>
      <c r="H36">
        <v>45</v>
      </c>
      <c r="I36">
        <v>0</v>
      </c>
    </row>
    <row r="37" spans="1:9" x14ac:dyDescent="0.25">
      <c r="A37">
        <v>4</v>
      </c>
      <c r="B37">
        <v>103</v>
      </c>
      <c r="C37">
        <v>60</v>
      </c>
      <c r="D37">
        <v>33</v>
      </c>
      <c r="E37">
        <v>192</v>
      </c>
      <c r="F37">
        <v>24</v>
      </c>
      <c r="G37">
        <v>0.67200000000000004</v>
      </c>
      <c r="H37">
        <v>33</v>
      </c>
      <c r="I37">
        <v>0</v>
      </c>
    </row>
    <row r="38" spans="1:9" x14ac:dyDescent="0.25">
      <c r="A38">
        <v>11</v>
      </c>
      <c r="B38">
        <v>138</v>
      </c>
      <c r="C38">
        <v>76</v>
      </c>
      <c r="D38">
        <v>21</v>
      </c>
      <c r="E38">
        <v>80</v>
      </c>
      <c r="F38">
        <v>33.200000000000003</v>
      </c>
      <c r="G38">
        <v>0.67200000000000004</v>
      </c>
      <c r="H38">
        <v>35</v>
      </c>
      <c r="I38">
        <v>0</v>
      </c>
    </row>
    <row r="39" spans="1:9" x14ac:dyDescent="0.25">
      <c r="A39">
        <v>9</v>
      </c>
      <c r="B39">
        <v>102</v>
      </c>
      <c r="C39">
        <v>76</v>
      </c>
      <c r="D39">
        <v>37</v>
      </c>
      <c r="E39">
        <v>80</v>
      </c>
      <c r="F39">
        <v>32.9</v>
      </c>
      <c r="G39">
        <v>0.67200000000000004</v>
      </c>
      <c r="H39">
        <v>46</v>
      </c>
      <c r="I39">
        <v>1</v>
      </c>
    </row>
    <row r="40" spans="1:9" x14ac:dyDescent="0.25">
      <c r="A40">
        <v>2</v>
      </c>
      <c r="B40">
        <v>90</v>
      </c>
      <c r="C40">
        <v>68</v>
      </c>
      <c r="D40">
        <v>42</v>
      </c>
      <c r="E40">
        <v>80</v>
      </c>
      <c r="F40">
        <v>38.200000000000003</v>
      </c>
      <c r="G40">
        <v>0.67200000000000004</v>
      </c>
      <c r="H40">
        <v>27</v>
      </c>
      <c r="I40">
        <v>1</v>
      </c>
    </row>
    <row r="41" spans="1:9" x14ac:dyDescent="0.25">
      <c r="A41">
        <v>4</v>
      </c>
      <c r="B41">
        <v>111</v>
      </c>
      <c r="C41">
        <v>72</v>
      </c>
      <c r="D41">
        <v>47</v>
      </c>
      <c r="E41">
        <v>207</v>
      </c>
      <c r="F41">
        <v>37.1</v>
      </c>
      <c r="G41">
        <v>0.67200000000000004</v>
      </c>
      <c r="H41">
        <v>56</v>
      </c>
      <c r="I41">
        <v>1</v>
      </c>
    </row>
    <row r="42" spans="1:9" x14ac:dyDescent="0.25">
      <c r="A42">
        <v>3</v>
      </c>
      <c r="B42">
        <v>180</v>
      </c>
      <c r="C42">
        <v>64</v>
      </c>
      <c r="D42">
        <v>25</v>
      </c>
      <c r="E42">
        <v>70</v>
      </c>
      <c r="F42">
        <v>34</v>
      </c>
      <c r="G42">
        <v>0.67200000000000004</v>
      </c>
      <c r="H42">
        <v>26</v>
      </c>
      <c r="I42">
        <v>0</v>
      </c>
    </row>
    <row r="43" spans="1:9" x14ac:dyDescent="0.25">
      <c r="A43">
        <v>7</v>
      </c>
      <c r="B43">
        <v>133</v>
      </c>
      <c r="C43">
        <v>84</v>
      </c>
      <c r="D43">
        <v>21</v>
      </c>
      <c r="E43">
        <v>80</v>
      </c>
      <c r="F43">
        <v>40.200000000000003</v>
      </c>
      <c r="G43">
        <v>0.67200000000000004</v>
      </c>
      <c r="H43">
        <v>37</v>
      </c>
      <c r="I43">
        <v>0</v>
      </c>
    </row>
    <row r="44" spans="1:9" x14ac:dyDescent="0.25">
      <c r="A44">
        <v>7</v>
      </c>
      <c r="B44">
        <v>106</v>
      </c>
      <c r="C44">
        <v>92</v>
      </c>
      <c r="D44">
        <v>18</v>
      </c>
      <c r="E44">
        <v>80</v>
      </c>
      <c r="F44">
        <v>22.7</v>
      </c>
      <c r="G44">
        <v>0.67200000000000004</v>
      </c>
      <c r="H44">
        <v>48</v>
      </c>
      <c r="I44">
        <v>0</v>
      </c>
    </row>
    <row r="45" spans="1:9" x14ac:dyDescent="0.25">
      <c r="A45">
        <v>9</v>
      </c>
      <c r="B45">
        <v>171</v>
      </c>
      <c r="C45">
        <v>110</v>
      </c>
      <c r="D45">
        <v>24</v>
      </c>
      <c r="E45">
        <v>240</v>
      </c>
      <c r="F45">
        <v>45.4</v>
      </c>
      <c r="G45">
        <v>0.67200000000000004</v>
      </c>
      <c r="H45">
        <v>54</v>
      </c>
      <c r="I45">
        <v>1</v>
      </c>
    </row>
    <row r="46" spans="1:9" x14ac:dyDescent="0.25">
      <c r="A46">
        <v>7</v>
      </c>
      <c r="B46">
        <v>159</v>
      </c>
      <c r="C46">
        <v>64</v>
      </c>
      <c r="D46">
        <v>21</v>
      </c>
      <c r="E46">
        <v>80</v>
      </c>
      <c r="F46">
        <v>27.4</v>
      </c>
      <c r="G46">
        <v>0.67200000000000004</v>
      </c>
      <c r="H46">
        <v>40</v>
      </c>
      <c r="I46">
        <v>0</v>
      </c>
    </row>
    <row r="47" spans="1:9" x14ac:dyDescent="0.25">
      <c r="A47">
        <v>4</v>
      </c>
      <c r="B47">
        <v>180</v>
      </c>
      <c r="C47">
        <v>66</v>
      </c>
      <c r="D47">
        <v>39</v>
      </c>
      <c r="E47">
        <v>80</v>
      </c>
      <c r="F47">
        <v>42</v>
      </c>
      <c r="G47">
        <v>0.67200000000000004</v>
      </c>
      <c r="H47">
        <v>25</v>
      </c>
      <c r="I47">
        <v>1</v>
      </c>
    </row>
    <row r="48" spans="1:9" x14ac:dyDescent="0.25">
      <c r="A48">
        <v>1</v>
      </c>
      <c r="B48">
        <v>146</v>
      </c>
      <c r="C48">
        <v>56</v>
      </c>
      <c r="D48">
        <v>21</v>
      </c>
      <c r="E48">
        <v>80</v>
      </c>
      <c r="F48">
        <v>29.7</v>
      </c>
      <c r="G48">
        <v>0.67200000000000004</v>
      </c>
      <c r="H48">
        <v>29</v>
      </c>
      <c r="I48">
        <v>0</v>
      </c>
    </row>
    <row r="49" spans="1:9" x14ac:dyDescent="0.25">
      <c r="A49">
        <v>2</v>
      </c>
      <c r="B49">
        <v>71</v>
      </c>
      <c r="C49">
        <v>70</v>
      </c>
      <c r="D49">
        <v>27</v>
      </c>
      <c r="E49">
        <v>80</v>
      </c>
      <c r="F49">
        <v>28</v>
      </c>
      <c r="G49">
        <v>0.67200000000000004</v>
      </c>
      <c r="H49">
        <v>22</v>
      </c>
      <c r="I49">
        <v>0</v>
      </c>
    </row>
    <row r="50" spans="1:9" x14ac:dyDescent="0.25">
      <c r="A50">
        <v>7</v>
      </c>
      <c r="B50">
        <v>103</v>
      </c>
      <c r="C50">
        <v>66</v>
      </c>
      <c r="D50">
        <v>32</v>
      </c>
      <c r="E50">
        <v>80</v>
      </c>
      <c r="F50">
        <v>39.1</v>
      </c>
      <c r="G50">
        <v>0.67200000000000004</v>
      </c>
      <c r="H50">
        <v>31</v>
      </c>
      <c r="I50">
        <v>1</v>
      </c>
    </row>
    <row r="51" spans="1:9" x14ac:dyDescent="0.25">
      <c r="A51">
        <v>7</v>
      </c>
      <c r="B51">
        <v>105</v>
      </c>
      <c r="C51">
        <v>69</v>
      </c>
      <c r="D51">
        <v>21</v>
      </c>
      <c r="E51">
        <v>80</v>
      </c>
      <c r="F51">
        <v>32</v>
      </c>
      <c r="G51">
        <v>0.67200000000000004</v>
      </c>
      <c r="H51">
        <v>24</v>
      </c>
      <c r="I51">
        <v>0</v>
      </c>
    </row>
    <row r="52" spans="1:9" x14ac:dyDescent="0.25">
      <c r="A52">
        <v>1</v>
      </c>
      <c r="B52">
        <v>103</v>
      </c>
      <c r="C52">
        <v>80</v>
      </c>
      <c r="D52">
        <v>11</v>
      </c>
      <c r="E52">
        <v>82</v>
      </c>
      <c r="F52">
        <v>19.399999999999999</v>
      </c>
      <c r="G52">
        <v>0.67200000000000004</v>
      </c>
      <c r="H52">
        <v>22</v>
      </c>
      <c r="I52">
        <v>0</v>
      </c>
    </row>
    <row r="53" spans="1:9" x14ac:dyDescent="0.25">
      <c r="A53">
        <v>1</v>
      </c>
      <c r="B53">
        <v>101</v>
      </c>
      <c r="C53">
        <v>50</v>
      </c>
      <c r="D53">
        <v>15</v>
      </c>
      <c r="E53">
        <v>36</v>
      </c>
      <c r="F53">
        <v>24.2</v>
      </c>
      <c r="G53">
        <v>0.67200000000000004</v>
      </c>
      <c r="H53">
        <v>26</v>
      </c>
      <c r="I53">
        <v>0</v>
      </c>
    </row>
    <row r="54" spans="1:9" x14ac:dyDescent="0.25">
      <c r="A54">
        <v>5</v>
      </c>
      <c r="B54">
        <v>88</v>
      </c>
      <c r="C54">
        <v>66</v>
      </c>
      <c r="D54">
        <v>21</v>
      </c>
      <c r="E54">
        <v>23</v>
      </c>
      <c r="F54">
        <v>24.4</v>
      </c>
      <c r="G54">
        <v>0.67200000000000004</v>
      </c>
      <c r="H54">
        <v>30</v>
      </c>
      <c r="I54">
        <v>0</v>
      </c>
    </row>
    <row r="55" spans="1:9" x14ac:dyDescent="0.25">
      <c r="A55">
        <v>8</v>
      </c>
      <c r="B55">
        <v>176</v>
      </c>
      <c r="C55">
        <v>90</v>
      </c>
      <c r="D55">
        <v>34</v>
      </c>
      <c r="E55">
        <v>300</v>
      </c>
      <c r="F55">
        <v>33.700000000000003</v>
      </c>
      <c r="G55">
        <v>0.67200000000000004</v>
      </c>
      <c r="H55">
        <v>58</v>
      </c>
      <c r="I55">
        <v>1</v>
      </c>
    </row>
    <row r="56" spans="1:9" x14ac:dyDescent="0.25">
      <c r="A56">
        <v>7</v>
      </c>
      <c r="B56">
        <v>150</v>
      </c>
      <c r="C56">
        <v>66</v>
      </c>
      <c r="D56">
        <v>42</v>
      </c>
      <c r="E56">
        <v>342</v>
      </c>
      <c r="F56">
        <v>34.700000000000003</v>
      </c>
      <c r="G56">
        <v>0.67200000000000004</v>
      </c>
      <c r="H56">
        <v>42</v>
      </c>
      <c r="I56">
        <v>0</v>
      </c>
    </row>
    <row r="57" spans="1:9" x14ac:dyDescent="0.25">
      <c r="A57">
        <v>1</v>
      </c>
      <c r="B57">
        <v>73</v>
      </c>
      <c r="C57">
        <v>50</v>
      </c>
      <c r="D57">
        <v>10</v>
      </c>
      <c r="E57">
        <v>80</v>
      </c>
      <c r="F57">
        <v>23</v>
      </c>
      <c r="G57">
        <v>0.67200000000000004</v>
      </c>
      <c r="H57">
        <v>21</v>
      </c>
      <c r="I57">
        <v>0</v>
      </c>
    </row>
    <row r="58" spans="1:9" x14ac:dyDescent="0.25">
      <c r="A58">
        <v>7</v>
      </c>
      <c r="B58">
        <v>187</v>
      </c>
      <c r="C58">
        <v>68</v>
      </c>
      <c r="D58">
        <v>39</v>
      </c>
      <c r="E58">
        <v>304</v>
      </c>
      <c r="F58">
        <v>37.700000000000003</v>
      </c>
      <c r="G58">
        <v>0.67200000000000004</v>
      </c>
      <c r="H58">
        <v>41</v>
      </c>
      <c r="I58">
        <v>1</v>
      </c>
    </row>
    <row r="59" spans="1:9" x14ac:dyDescent="0.25">
      <c r="A59">
        <v>4</v>
      </c>
      <c r="B59">
        <v>100</v>
      </c>
      <c r="C59">
        <v>88</v>
      </c>
      <c r="D59">
        <v>60</v>
      </c>
      <c r="E59">
        <v>110</v>
      </c>
      <c r="F59">
        <v>46.8</v>
      </c>
      <c r="G59">
        <v>0.67200000000000004</v>
      </c>
      <c r="H59">
        <v>31</v>
      </c>
      <c r="I59">
        <v>0</v>
      </c>
    </row>
    <row r="60" spans="1:9" x14ac:dyDescent="0.25">
      <c r="A60">
        <v>4</v>
      </c>
      <c r="B60">
        <v>146</v>
      </c>
      <c r="C60">
        <v>82</v>
      </c>
      <c r="D60">
        <v>21</v>
      </c>
      <c r="E60">
        <v>80</v>
      </c>
      <c r="F60">
        <v>40.5</v>
      </c>
      <c r="G60">
        <v>0.67200000000000004</v>
      </c>
      <c r="H60">
        <v>44</v>
      </c>
      <c r="I60">
        <v>0</v>
      </c>
    </row>
    <row r="61" spans="1:9" x14ac:dyDescent="0.25">
      <c r="A61">
        <v>4</v>
      </c>
      <c r="B61">
        <v>105</v>
      </c>
      <c r="C61">
        <v>64</v>
      </c>
      <c r="D61">
        <v>41</v>
      </c>
      <c r="E61">
        <v>142</v>
      </c>
      <c r="F61">
        <v>41.5</v>
      </c>
      <c r="G61">
        <v>0.67200000000000004</v>
      </c>
      <c r="H61">
        <v>22</v>
      </c>
      <c r="I61">
        <v>0</v>
      </c>
    </row>
    <row r="62" spans="1:9" x14ac:dyDescent="0.25">
      <c r="A62">
        <v>2</v>
      </c>
      <c r="B62">
        <v>84</v>
      </c>
      <c r="C62">
        <v>69</v>
      </c>
      <c r="D62">
        <v>21</v>
      </c>
      <c r="E62">
        <v>80</v>
      </c>
      <c r="F62">
        <v>32</v>
      </c>
      <c r="G62">
        <v>0.67200000000000004</v>
      </c>
      <c r="H62">
        <v>21</v>
      </c>
      <c r="I62">
        <v>0</v>
      </c>
    </row>
    <row r="63" spans="1:9" x14ac:dyDescent="0.25">
      <c r="A63">
        <v>8</v>
      </c>
      <c r="B63">
        <v>133</v>
      </c>
      <c r="C63">
        <v>72</v>
      </c>
      <c r="D63">
        <v>21</v>
      </c>
      <c r="E63">
        <v>80</v>
      </c>
      <c r="F63">
        <v>32.9</v>
      </c>
      <c r="G63">
        <v>0.67200000000000004</v>
      </c>
      <c r="H63">
        <v>39</v>
      </c>
      <c r="I63">
        <v>1</v>
      </c>
    </row>
    <row r="64" spans="1:9" x14ac:dyDescent="0.25">
      <c r="A64">
        <v>5</v>
      </c>
      <c r="B64">
        <v>44</v>
      </c>
      <c r="C64">
        <v>62</v>
      </c>
      <c r="D64">
        <v>21</v>
      </c>
      <c r="E64">
        <v>80</v>
      </c>
      <c r="F64">
        <v>25</v>
      </c>
      <c r="G64">
        <v>0.67200000000000004</v>
      </c>
      <c r="H64">
        <v>36</v>
      </c>
      <c r="I64">
        <v>0</v>
      </c>
    </row>
    <row r="65" spans="1:9" x14ac:dyDescent="0.25">
      <c r="A65">
        <v>2</v>
      </c>
      <c r="B65">
        <v>141</v>
      </c>
      <c r="C65">
        <v>58</v>
      </c>
      <c r="D65">
        <v>34</v>
      </c>
      <c r="E65">
        <v>128</v>
      </c>
      <c r="F65">
        <v>25.4</v>
      </c>
      <c r="G65">
        <v>0.67200000000000004</v>
      </c>
      <c r="H65">
        <v>24</v>
      </c>
      <c r="I65">
        <v>0</v>
      </c>
    </row>
    <row r="66" spans="1:9" x14ac:dyDescent="0.25">
      <c r="A66">
        <v>7</v>
      </c>
      <c r="B66">
        <v>114</v>
      </c>
      <c r="C66">
        <v>66</v>
      </c>
      <c r="D66">
        <v>21</v>
      </c>
      <c r="E66">
        <v>80</v>
      </c>
      <c r="F66">
        <v>32.799999999999997</v>
      </c>
      <c r="G66">
        <v>0.67200000000000004</v>
      </c>
      <c r="H66">
        <v>42</v>
      </c>
      <c r="I66">
        <v>1</v>
      </c>
    </row>
    <row r="67" spans="1:9" x14ac:dyDescent="0.25">
      <c r="A67">
        <v>5</v>
      </c>
      <c r="B67">
        <v>99</v>
      </c>
      <c r="C67">
        <v>74</v>
      </c>
      <c r="D67">
        <v>27</v>
      </c>
      <c r="E67">
        <v>80</v>
      </c>
      <c r="F67">
        <v>29</v>
      </c>
      <c r="G67">
        <v>0.67200000000000004</v>
      </c>
      <c r="H67">
        <v>32</v>
      </c>
      <c r="I67">
        <v>0</v>
      </c>
    </row>
    <row r="68" spans="1:9" x14ac:dyDescent="0.25">
      <c r="A68">
        <v>4</v>
      </c>
      <c r="B68">
        <v>109</v>
      </c>
      <c r="C68">
        <v>88</v>
      </c>
      <c r="D68">
        <v>30</v>
      </c>
      <c r="E68">
        <v>80</v>
      </c>
      <c r="F68">
        <v>32.5</v>
      </c>
      <c r="G68">
        <v>0.67200000000000004</v>
      </c>
      <c r="H68">
        <v>38</v>
      </c>
      <c r="I68">
        <v>1</v>
      </c>
    </row>
    <row r="69" spans="1:9" x14ac:dyDescent="0.25">
      <c r="A69">
        <v>2</v>
      </c>
      <c r="B69">
        <v>109</v>
      </c>
      <c r="C69">
        <v>92</v>
      </c>
      <c r="D69">
        <v>21</v>
      </c>
      <c r="E69">
        <v>80</v>
      </c>
      <c r="F69">
        <v>42.7</v>
      </c>
      <c r="G69">
        <v>0.67200000000000004</v>
      </c>
      <c r="H69">
        <v>54</v>
      </c>
      <c r="I69">
        <v>0</v>
      </c>
    </row>
    <row r="70" spans="1:9" x14ac:dyDescent="0.25">
      <c r="A70">
        <v>1</v>
      </c>
      <c r="B70">
        <v>95</v>
      </c>
      <c r="C70">
        <v>66</v>
      </c>
      <c r="D70">
        <v>13</v>
      </c>
      <c r="E70">
        <v>38</v>
      </c>
      <c r="F70">
        <v>19.600000000000001</v>
      </c>
      <c r="G70">
        <v>0.67200000000000004</v>
      </c>
      <c r="H70">
        <v>25</v>
      </c>
      <c r="I70">
        <v>0</v>
      </c>
    </row>
    <row r="71" spans="1:9" x14ac:dyDescent="0.25">
      <c r="A71">
        <v>4</v>
      </c>
      <c r="B71">
        <v>146</v>
      </c>
      <c r="C71">
        <v>85</v>
      </c>
      <c r="D71">
        <v>27</v>
      </c>
      <c r="E71">
        <v>100</v>
      </c>
      <c r="F71">
        <v>28.9</v>
      </c>
      <c r="G71">
        <v>0.67200000000000004</v>
      </c>
      <c r="H71">
        <v>27</v>
      </c>
      <c r="I71">
        <v>0</v>
      </c>
    </row>
    <row r="72" spans="1:9" x14ac:dyDescent="0.25">
      <c r="A72">
        <v>2</v>
      </c>
      <c r="B72">
        <v>100</v>
      </c>
      <c r="C72">
        <v>66</v>
      </c>
      <c r="D72">
        <v>20</v>
      </c>
      <c r="E72">
        <v>90</v>
      </c>
      <c r="F72">
        <v>32.9</v>
      </c>
      <c r="G72">
        <v>0.67200000000000004</v>
      </c>
      <c r="H72">
        <v>28</v>
      </c>
      <c r="I72">
        <v>1</v>
      </c>
    </row>
    <row r="73" spans="1:9" x14ac:dyDescent="0.25">
      <c r="A73">
        <v>5</v>
      </c>
      <c r="B73">
        <v>139</v>
      </c>
      <c r="C73">
        <v>64</v>
      </c>
      <c r="D73">
        <v>35</v>
      </c>
      <c r="E73">
        <v>140</v>
      </c>
      <c r="F73">
        <v>28.6</v>
      </c>
      <c r="G73">
        <v>0.67200000000000004</v>
      </c>
      <c r="H73">
        <v>26</v>
      </c>
      <c r="I73">
        <v>0</v>
      </c>
    </row>
    <row r="74" spans="1:9" x14ac:dyDescent="0.25">
      <c r="A74">
        <v>13</v>
      </c>
      <c r="B74">
        <v>126</v>
      </c>
      <c r="C74">
        <v>90</v>
      </c>
      <c r="D74">
        <v>21</v>
      </c>
      <c r="E74">
        <v>80</v>
      </c>
      <c r="F74">
        <v>43.4</v>
      </c>
      <c r="G74">
        <v>0.67200000000000004</v>
      </c>
      <c r="H74">
        <v>42</v>
      </c>
      <c r="I74">
        <v>1</v>
      </c>
    </row>
    <row r="75" spans="1:9" x14ac:dyDescent="0.25">
      <c r="A75">
        <v>4</v>
      </c>
      <c r="B75">
        <v>129</v>
      </c>
      <c r="C75">
        <v>86</v>
      </c>
      <c r="D75">
        <v>20</v>
      </c>
      <c r="E75">
        <v>270</v>
      </c>
      <c r="F75">
        <v>35.1</v>
      </c>
      <c r="G75">
        <v>0.67200000000000004</v>
      </c>
      <c r="H75">
        <v>23</v>
      </c>
      <c r="I75">
        <v>0</v>
      </c>
    </row>
    <row r="76" spans="1:9" x14ac:dyDescent="0.25">
      <c r="A76">
        <v>1</v>
      </c>
      <c r="B76">
        <v>79</v>
      </c>
      <c r="C76">
        <v>75</v>
      </c>
      <c r="D76">
        <v>30</v>
      </c>
      <c r="E76">
        <v>80</v>
      </c>
      <c r="F76">
        <v>32</v>
      </c>
      <c r="G76">
        <v>0.67200000000000004</v>
      </c>
      <c r="H76">
        <v>22</v>
      </c>
      <c r="I76">
        <v>0</v>
      </c>
    </row>
    <row r="77" spans="1:9" x14ac:dyDescent="0.25">
      <c r="A77">
        <v>1</v>
      </c>
      <c r="B77">
        <v>121</v>
      </c>
      <c r="C77">
        <v>48</v>
      </c>
      <c r="D77">
        <v>20</v>
      </c>
      <c r="E77">
        <v>80</v>
      </c>
      <c r="F77">
        <v>24.7</v>
      </c>
      <c r="G77">
        <v>0.67200000000000004</v>
      </c>
      <c r="H77">
        <v>22</v>
      </c>
      <c r="I77">
        <v>0</v>
      </c>
    </row>
    <row r="78" spans="1:9" x14ac:dyDescent="0.25">
      <c r="A78">
        <v>7</v>
      </c>
      <c r="B78">
        <v>62</v>
      </c>
      <c r="C78">
        <v>78</v>
      </c>
      <c r="D78">
        <v>21</v>
      </c>
      <c r="E78">
        <v>80</v>
      </c>
      <c r="F78">
        <v>32.6</v>
      </c>
      <c r="G78">
        <v>0.67200000000000004</v>
      </c>
      <c r="H78">
        <v>41</v>
      </c>
      <c r="I78">
        <v>0</v>
      </c>
    </row>
    <row r="79" spans="1:9" x14ac:dyDescent="0.25">
      <c r="A79">
        <v>5</v>
      </c>
      <c r="B79">
        <v>95</v>
      </c>
      <c r="C79">
        <v>72</v>
      </c>
      <c r="D79">
        <v>33</v>
      </c>
      <c r="E79">
        <v>80</v>
      </c>
      <c r="F79">
        <v>37.700000000000003</v>
      </c>
      <c r="G79">
        <v>0.67200000000000004</v>
      </c>
      <c r="H79">
        <v>27</v>
      </c>
      <c r="I79">
        <v>0</v>
      </c>
    </row>
    <row r="80" spans="1:9" x14ac:dyDescent="0.25">
      <c r="A80">
        <v>4</v>
      </c>
      <c r="B80">
        <v>131</v>
      </c>
      <c r="C80">
        <v>69</v>
      </c>
      <c r="D80">
        <v>21</v>
      </c>
      <c r="E80">
        <v>80</v>
      </c>
      <c r="F80">
        <v>43.2</v>
      </c>
      <c r="G80">
        <v>0.67200000000000004</v>
      </c>
      <c r="H80">
        <v>26</v>
      </c>
      <c r="I80">
        <v>1</v>
      </c>
    </row>
    <row r="81" spans="1:9" x14ac:dyDescent="0.25">
      <c r="A81">
        <v>2</v>
      </c>
      <c r="B81">
        <v>112</v>
      </c>
      <c r="C81">
        <v>66</v>
      </c>
      <c r="D81">
        <v>22</v>
      </c>
      <c r="E81">
        <v>80</v>
      </c>
      <c r="F81">
        <v>25</v>
      </c>
      <c r="G81">
        <v>0.67200000000000004</v>
      </c>
      <c r="H81">
        <v>24</v>
      </c>
      <c r="I81">
        <v>0</v>
      </c>
    </row>
    <row r="82" spans="1:9" x14ac:dyDescent="0.25">
      <c r="A82">
        <v>3</v>
      </c>
      <c r="B82">
        <v>113</v>
      </c>
      <c r="C82">
        <v>44</v>
      </c>
      <c r="D82">
        <v>13</v>
      </c>
      <c r="E82">
        <v>80</v>
      </c>
      <c r="F82">
        <v>22.4</v>
      </c>
      <c r="G82">
        <v>0.67200000000000004</v>
      </c>
      <c r="H82">
        <v>22</v>
      </c>
      <c r="I82">
        <v>0</v>
      </c>
    </row>
    <row r="83" spans="1:9" x14ac:dyDescent="0.25">
      <c r="A83">
        <v>2</v>
      </c>
      <c r="B83">
        <v>74</v>
      </c>
      <c r="C83">
        <v>69</v>
      </c>
      <c r="D83">
        <v>21</v>
      </c>
      <c r="E83">
        <v>80</v>
      </c>
      <c r="F83">
        <v>32</v>
      </c>
      <c r="G83">
        <v>0.67200000000000004</v>
      </c>
      <c r="H83">
        <v>22</v>
      </c>
      <c r="I83">
        <v>0</v>
      </c>
    </row>
    <row r="84" spans="1:9" x14ac:dyDescent="0.25">
      <c r="A84">
        <v>7</v>
      </c>
      <c r="B84">
        <v>83</v>
      </c>
      <c r="C84">
        <v>78</v>
      </c>
      <c r="D84">
        <v>26</v>
      </c>
      <c r="E84">
        <v>71</v>
      </c>
      <c r="F84">
        <v>29.3</v>
      </c>
      <c r="G84">
        <v>0.67200000000000004</v>
      </c>
      <c r="H84">
        <v>36</v>
      </c>
      <c r="I84">
        <v>0</v>
      </c>
    </row>
    <row r="85" spans="1:9" x14ac:dyDescent="0.25">
      <c r="A85">
        <v>4</v>
      </c>
      <c r="B85">
        <v>101</v>
      </c>
      <c r="C85">
        <v>65</v>
      </c>
      <c r="D85">
        <v>28</v>
      </c>
      <c r="E85">
        <v>80</v>
      </c>
      <c r="F85">
        <v>24.6</v>
      </c>
      <c r="G85">
        <v>0.67200000000000004</v>
      </c>
      <c r="H85">
        <v>22</v>
      </c>
      <c r="I85">
        <v>0</v>
      </c>
    </row>
    <row r="86" spans="1:9" x14ac:dyDescent="0.25">
      <c r="A86">
        <v>5</v>
      </c>
      <c r="B86">
        <v>137</v>
      </c>
      <c r="C86">
        <v>108</v>
      </c>
      <c r="D86">
        <v>21</v>
      </c>
      <c r="E86">
        <v>80</v>
      </c>
      <c r="F86">
        <v>48.8</v>
      </c>
      <c r="G86">
        <v>0.67200000000000004</v>
      </c>
      <c r="H86">
        <v>37</v>
      </c>
      <c r="I86">
        <v>1</v>
      </c>
    </row>
    <row r="87" spans="1:9" x14ac:dyDescent="0.25">
      <c r="A87">
        <v>2</v>
      </c>
      <c r="B87">
        <v>110</v>
      </c>
      <c r="C87">
        <v>74</v>
      </c>
      <c r="D87">
        <v>29</v>
      </c>
      <c r="E87">
        <v>125</v>
      </c>
      <c r="F87">
        <v>32.4</v>
      </c>
      <c r="G87">
        <v>0.67200000000000004</v>
      </c>
      <c r="H87">
        <v>27</v>
      </c>
      <c r="I87">
        <v>0</v>
      </c>
    </row>
    <row r="88" spans="1:9" x14ac:dyDescent="0.25">
      <c r="A88">
        <v>13</v>
      </c>
      <c r="B88">
        <v>106</v>
      </c>
      <c r="C88">
        <v>72</v>
      </c>
      <c r="D88">
        <v>54</v>
      </c>
      <c r="E88">
        <v>80</v>
      </c>
      <c r="F88">
        <v>36.6</v>
      </c>
      <c r="G88">
        <v>0.67200000000000004</v>
      </c>
      <c r="H88">
        <v>45</v>
      </c>
      <c r="I88">
        <v>0</v>
      </c>
    </row>
    <row r="89" spans="1:9" x14ac:dyDescent="0.25">
      <c r="A89">
        <v>2</v>
      </c>
      <c r="B89">
        <v>100</v>
      </c>
      <c r="C89">
        <v>68</v>
      </c>
      <c r="D89">
        <v>25</v>
      </c>
      <c r="E89">
        <v>71</v>
      </c>
      <c r="F89">
        <v>38.5</v>
      </c>
      <c r="G89">
        <v>0.67200000000000004</v>
      </c>
      <c r="H89">
        <v>26</v>
      </c>
      <c r="I89">
        <v>0</v>
      </c>
    </row>
    <row r="90" spans="1:9" x14ac:dyDescent="0.25">
      <c r="A90">
        <v>15</v>
      </c>
      <c r="B90">
        <v>136</v>
      </c>
      <c r="C90">
        <v>70</v>
      </c>
      <c r="D90">
        <v>32</v>
      </c>
      <c r="E90">
        <v>110</v>
      </c>
      <c r="F90">
        <v>37.1</v>
      </c>
      <c r="G90">
        <v>0.67200000000000004</v>
      </c>
      <c r="H90">
        <v>43</v>
      </c>
      <c r="I90">
        <v>1</v>
      </c>
    </row>
    <row r="91" spans="1:9" x14ac:dyDescent="0.25">
      <c r="A91">
        <v>1</v>
      </c>
      <c r="B91">
        <v>107</v>
      </c>
      <c r="C91">
        <v>68</v>
      </c>
      <c r="D91">
        <v>19</v>
      </c>
      <c r="E91">
        <v>80</v>
      </c>
      <c r="F91">
        <v>26.5</v>
      </c>
      <c r="G91">
        <v>0.67200000000000004</v>
      </c>
      <c r="H91">
        <v>24</v>
      </c>
      <c r="I91">
        <v>0</v>
      </c>
    </row>
    <row r="92" spans="1:9" x14ac:dyDescent="0.25">
      <c r="A92">
        <v>1</v>
      </c>
      <c r="B92">
        <v>80</v>
      </c>
      <c r="C92">
        <v>55</v>
      </c>
      <c r="D92">
        <v>21</v>
      </c>
      <c r="E92">
        <v>80</v>
      </c>
      <c r="F92">
        <v>19.100000000000001</v>
      </c>
      <c r="G92">
        <v>0.67200000000000004</v>
      </c>
      <c r="H92">
        <v>21</v>
      </c>
      <c r="I92">
        <v>0</v>
      </c>
    </row>
    <row r="93" spans="1:9" x14ac:dyDescent="0.25">
      <c r="A93">
        <v>4</v>
      </c>
      <c r="B93">
        <v>123</v>
      </c>
      <c r="C93">
        <v>80</v>
      </c>
      <c r="D93">
        <v>15</v>
      </c>
      <c r="E93">
        <v>176</v>
      </c>
      <c r="F93">
        <v>32</v>
      </c>
      <c r="G93">
        <v>0.67200000000000004</v>
      </c>
      <c r="H93">
        <v>34</v>
      </c>
      <c r="I93">
        <v>0</v>
      </c>
    </row>
    <row r="94" spans="1:9" x14ac:dyDescent="0.25">
      <c r="A94">
        <v>7</v>
      </c>
      <c r="B94">
        <v>81</v>
      </c>
      <c r="C94">
        <v>78</v>
      </c>
      <c r="D94">
        <v>40</v>
      </c>
      <c r="E94">
        <v>48</v>
      </c>
      <c r="F94">
        <v>46.7</v>
      </c>
      <c r="G94">
        <v>0.67200000000000004</v>
      </c>
      <c r="H94">
        <v>42</v>
      </c>
      <c r="I94">
        <v>0</v>
      </c>
    </row>
    <row r="95" spans="1:9" x14ac:dyDescent="0.25">
      <c r="A95">
        <v>4</v>
      </c>
      <c r="B95">
        <v>134</v>
      </c>
      <c r="C95">
        <v>72</v>
      </c>
      <c r="D95">
        <v>21</v>
      </c>
      <c r="E95">
        <v>80</v>
      </c>
      <c r="F95">
        <v>23.8</v>
      </c>
      <c r="G95">
        <v>0.67200000000000004</v>
      </c>
      <c r="H95">
        <v>60</v>
      </c>
      <c r="I95">
        <v>1</v>
      </c>
    </row>
    <row r="96" spans="1:9" x14ac:dyDescent="0.25">
      <c r="A96">
        <v>2</v>
      </c>
      <c r="B96">
        <v>142</v>
      </c>
      <c r="C96">
        <v>82</v>
      </c>
      <c r="D96">
        <v>18</v>
      </c>
      <c r="E96">
        <v>64</v>
      </c>
      <c r="F96">
        <v>24.7</v>
      </c>
      <c r="G96">
        <v>0.67200000000000004</v>
      </c>
      <c r="H96">
        <v>21</v>
      </c>
      <c r="I96">
        <v>0</v>
      </c>
    </row>
    <row r="97" spans="1:9" x14ac:dyDescent="0.25">
      <c r="A97">
        <v>6</v>
      </c>
      <c r="B97">
        <v>144</v>
      </c>
      <c r="C97">
        <v>72</v>
      </c>
      <c r="D97">
        <v>27</v>
      </c>
      <c r="E97">
        <v>228</v>
      </c>
      <c r="F97">
        <v>33.9</v>
      </c>
      <c r="G97">
        <v>0.67200000000000004</v>
      </c>
      <c r="H97">
        <v>40</v>
      </c>
      <c r="I97">
        <v>0</v>
      </c>
    </row>
    <row r="98" spans="1:9" x14ac:dyDescent="0.25">
      <c r="A98">
        <v>2</v>
      </c>
      <c r="B98">
        <v>92</v>
      </c>
      <c r="C98">
        <v>62</v>
      </c>
      <c r="D98">
        <v>28</v>
      </c>
      <c r="E98">
        <v>80</v>
      </c>
      <c r="F98">
        <v>31.6</v>
      </c>
      <c r="G98">
        <v>0.67200000000000004</v>
      </c>
      <c r="H98">
        <v>24</v>
      </c>
      <c r="I98">
        <v>0</v>
      </c>
    </row>
    <row r="99" spans="1:9" x14ac:dyDescent="0.25">
      <c r="A99">
        <v>1</v>
      </c>
      <c r="B99">
        <v>71</v>
      </c>
      <c r="C99">
        <v>48</v>
      </c>
      <c r="D99">
        <v>18</v>
      </c>
      <c r="E99">
        <v>76</v>
      </c>
      <c r="F99">
        <v>20.399999999999999</v>
      </c>
      <c r="G99">
        <v>0.67200000000000004</v>
      </c>
      <c r="H99">
        <v>22</v>
      </c>
      <c r="I99">
        <v>0</v>
      </c>
    </row>
    <row r="100" spans="1:9" x14ac:dyDescent="0.25">
      <c r="A100">
        <v>6</v>
      </c>
      <c r="B100">
        <v>93</v>
      </c>
      <c r="C100">
        <v>50</v>
      </c>
      <c r="D100">
        <v>30</v>
      </c>
      <c r="E100">
        <v>64</v>
      </c>
      <c r="F100">
        <v>28.7</v>
      </c>
      <c r="G100">
        <v>0.67200000000000004</v>
      </c>
      <c r="H100">
        <v>23</v>
      </c>
      <c r="I100">
        <v>0</v>
      </c>
    </row>
    <row r="101" spans="1:9" x14ac:dyDescent="0.25">
      <c r="A101">
        <v>1</v>
      </c>
      <c r="B101">
        <v>122</v>
      </c>
      <c r="C101">
        <v>90</v>
      </c>
      <c r="D101">
        <v>51</v>
      </c>
      <c r="E101">
        <v>220</v>
      </c>
      <c r="F101">
        <v>49.7</v>
      </c>
      <c r="G101">
        <v>0.67200000000000004</v>
      </c>
      <c r="H101">
        <v>31</v>
      </c>
      <c r="I101">
        <v>1</v>
      </c>
    </row>
    <row r="102" spans="1:9" x14ac:dyDescent="0.25">
      <c r="A102">
        <v>1</v>
      </c>
      <c r="B102">
        <v>163</v>
      </c>
      <c r="C102">
        <v>72</v>
      </c>
      <c r="D102">
        <v>21</v>
      </c>
      <c r="E102">
        <v>80</v>
      </c>
      <c r="F102">
        <v>39</v>
      </c>
      <c r="G102">
        <v>0.67200000000000004</v>
      </c>
      <c r="H102">
        <v>33</v>
      </c>
      <c r="I102">
        <v>1</v>
      </c>
    </row>
    <row r="103" spans="1:9" x14ac:dyDescent="0.25">
      <c r="A103">
        <v>1</v>
      </c>
      <c r="B103">
        <v>151</v>
      </c>
      <c r="C103">
        <v>60</v>
      </c>
      <c r="D103">
        <v>21</v>
      </c>
      <c r="E103">
        <v>80</v>
      </c>
      <c r="F103">
        <v>26.1</v>
      </c>
      <c r="G103">
        <v>0.67200000000000004</v>
      </c>
      <c r="H103">
        <v>22</v>
      </c>
      <c r="I103">
        <v>0</v>
      </c>
    </row>
    <row r="104" spans="1:9" x14ac:dyDescent="0.25">
      <c r="A104">
        <v>4</v>
      </c>
      <c r="B104">
        <v>125</v>
      </c>
      <c r="C104">
        <v>96</v>
      </c>
      <c r="D104">
        <v>21</v>
      </c>
      <c r="E104">
        <v>80</v>
      </c>
      <c r="F104">
        <v>22.5</v>
      </c>
      <c r="G104">
        <v>0.67200000000000004</v>
      </c>
      <c r="H104">
        <v>21</v>
      </c>
      <c r="I104">
        <v>0</v>
      </c>
    </row>
    <row r="105" spans="1:9" x14ac:dyDescent="0.25">
      <c r="A105">
        <v>1</v>
      </c>
      <c r="B105">
        <v>81</v>
      </c>
      <c r="C105">
        <v>72</v>
      </c>
      <c r="D105">
        <v>18</v>
      </c>
      <c r="E105">
        <v>40</v>
      </c>
      <c r="F105">
        <v>26.6</v>
      </c>
      <c r="G105">
        <v>0.67200000000000004</v>
      </c>
      <c r="H105">
        <v>24</v>
      </c>
      <c r="I105">
        <v>0</v>
      </c>
    </row>
    <row r="106" spans="1:9" x14ac:dyDescent="0.25">
      <c r="A106">
        <v>2</v>
      </c>
      <c r="B106">
        <v>85</v>
      </c>
      <c r="C106">
        <v>65</v>
      </c>
      <c r="D106">
        <v>21</v>
      </c>
      <c r="E106">
        <v>80</v>
      </c>
      <c r="F106">
        <v>39.6</v>
      </c>
      <c r="G106">
        <v>0.67200000000000004</v>
      </c>
      <c r="H106">
        <v>27</v>
      </c>
      <c r="I106">
        <v>0</v>
      </c>
    </row>
    <row r="107" spans="1:9" x14ac:dyDescent="0.25">
      <c r="A107">
        <v>1</v>
      </c>
      <c r="B107">
        <v>126</v>
      </c>
      <c r="C107">
        <v>56</v>
      </c>
      <c r="D107">
        <v>29</v>
      </c>
      <c r="E107">
        <v>152</v>
      </c>
      <c r="F107">
        <v>28.7</v>
      </c>
      <c r="G107">
        <v>0.67200000000000004</v>
      </c>
      <c r="H107">
        <v>21</v>
      </c>
      <c r="I107">
        <v>0</v>
      </c>
    </row>
    <row r="108" spans="1:9" x14ac:dyDescent="0.25">
      <c r="A108">
        <v>1</v>
      </c>
      <c r="B108">
        <v>96</v>
      </c>
      <c r="C108">
        <v>122</v>
      </c>
      <c r="D108">
        <v>21</v>
      </c>
      <c r="E108">
        <v>80</v>
      </c>
      <c r="F108">
        <v>22.4</v>
      </c>
      <c r="G108">
        <v>0.67200000000000004</v>
      </c>
      <c r="H108">
        <v>27</v>
      </c>
      <c r="I108">
        <v>0</v>
      </c>
    </row>
    <row r="109" spans="1:9" x14ac:dyDescent="0.25">
      <c r="A109">
        <v>4</v>
      </c>
      <c r="B109">
        <v>144</v>
      </c>
      <c r="C109">
        <v>58</v>
      </c>
      <c r="D109">
        <v>28</v>
      </c>
      <c r="E109">
        <v>140</v>
      </c>
      <c r="F109">
        <v>29.5</v>
      </c>
      <c r="G109">
        <v>0.67200000000000004</v>
      </c>
      <c r="H109">
        <v>37</v>
      </c>
      <c r="I109">
        <v>0</v>
      </c>
    </row>
    <row r="110" spans="1:9" x14ac:dyDescent="0.25">
      <c r="A110">
        <v>3</v>
      </c>
      <c r="B110">
        <v>83</v>
      </c>
      <c r="C110">
        <v>58</v>
      </c>
      <c r="D110">
        <v>31</v>
      </c>
      <c r="E110">
        <v>18</v>
      </c>
      <c r="F110">
        <v>34.299999999999997</v>
      </c>
      <c r="G110">
        <v>0.67200000000000004</v>
      </c>
      <c r="H110">
        <v>25</v>
      </c>
      <c r="I110">
        <v>0</v>
      </c>
    </row>
    <row r="111" spans="1:9" x14ac:dyDescent="0.25">
      <c r="A111">
        <v>4</v>
      </c>
      <c r="B111">
        <v>95</v>
      </c>
      <c r="C111">
        <v>85</v>
      </c>
      <c r="D111">
        <v>25</v>
      </c>
      <c r="E111">
        <v>36</v>
      </c>
      <c r="F111">
        <v>37.4</v>
      </c>
      <c r="G111">
        <v>0.67200000000000004</v>
      </c>
      <c r="H111">
        <v>24</v>
      </c>
      <c r="I111">
        <v>1</v>
      </c>
    </row>
    <row r="112" spans="1:9" x14ac:dyDescent="0.25">
      <c r="A112">
        <v>3</v>
      </c>
      <c r="B112">
        <v>171</v>
      </c>
      <c r="C112">
        <v>72</v>
      </c>
      <c r="D112">
        <v>33</v>
      </c>
      <c r="E112">
        <v>135</v>
      </c>
      <c r="F112">
        <v>33.299999999999997</v>
      </c>
      <c r="G112">
        <v>0.67200000000000004</v>
      </c>
      <c r="H112">
        <v>24</v>
      </c>
      <c r="I112">
        <v>1</v>
      </c>
    </row>
    <row r="113" spans="1:9" x14ac:dyDescent="0.25">
      <c r="A113">
        <v>8</v>
      </c>
      <c r="B113">
        <v>155</v>
      </c>
      <c r="C113">
        <v>62</v>
      </c>
      <c r="D113">
        <v>26</v>
      </c>
      <c r="E113">
        <v>495</v>
      </c>
      <c r="F113">
        <v>34</v>
      </c>
      <c r="G113">
        <v>0.67200000000000004</v>
      </c>
      <c r="H113">
        <v>46</v>
      </c>
      <c r="I113">
        <v>1</v>
      </c>
    </row>
    <row r="114" spans="1:9" x14ac:dyDescent="0.25">
      <c r="A114">
        <v>1</v>
      </c>
      <c r="B114">
        <v>89</v>
      </c>
      <c r="C114">
        <v>76</v>
      </c>
      <c r="D114">
        <v>34</v>
      </c>
      <c r="E114">
        <v>37</v>
      </c>
      <c r="F114">
        <v>31.2</v>
      </c>
      <c r="G114">
        <v>0.67200000000000004</v>
      </c>
      <c r="H114">
        <v>23</v>
      </c>
      <c r="I114">
        <v>0</v>
      </c>
    </row>
    <row r="115" spans="1:9" x14ac:dyDescent="0.25">
      <c r="A115">
        <v>4</v>
      </c>
      <c r="B115">
        <v>76</v>
      </c>
      <c r="C115">
        <v>62</v>
      </c>
      <c r="D115">
        <v>21</v>
      </c>
      <c r="E115">
        <v>80</v>
      </c>
      <c r="F115">
        <v>34</v>
      </c>
      <c r="G115">
        <v>0.67200000000000004</v>
      </c>
      <c r="H115">
        <v>25</v>
      </c>
      <c r="I115">
        <v>0</v>
      </c>
    </row>
    <row r="116" spans="1:9" x14ac:dyDescent="0.25">
      <c r="A116">
        <v>7</v>
      </c>
      <c r="B116">
        <v>160</v>
      </c>
      <c r="C116">
        <v>54</v>
      </c>
      <c r="D116">
        <v>32</v>
      </c>
      <c r="E116">
        <v>175</v>
      </c>
      <c r="F116">
        <v>30.5</v>
      </c>
      <c r="G116">
        <v>0.67200000000000004</v>
      </c>
      <c r="H116">
        <v>39</v>
      </c>
      <c r="I116">
        <v>1</v>
      </c>
    </row>
    <row r="117" spans="1:9" x14ac:dyDescent="0.25">
      <c r="A117">
        <v>4</v>
      </c>
      <c r="B117">
        <v>146</v>
      </c>
      <c r="C117">
        <v>92</v>
      </c>
      <c r="D117">
        <v>21</v>
      </c>
      <c r="E117">
        <v>80</v>
      </c>
      <c r="F117">
        <v>31.2</v>
      </c>
      <c r="G117">
        <v>0.67200000000000004</v>
      </c>
      <c r="H117">
        <v>61</v>
      </c>
      <c r="I117">
        <v>1</v>
      </c>
    </row>
    <row r="118" spans="1:9" x14ac:dyDescent="0.25">
      <c r="A118">
        <v>5</v>
      </c>
      <c r="B118">
        <v>124</v>
      </c>
      <c r="C118">
        <v>74</v>
      </c>
      <c r="D118">
        <v>21</v>
      </c>
      <c r="E118">
        <v>80</v>
      </c>
      <c r="F118">
        <v>34</v>
      </c>
      <c r="G118">
        <v>0.67200000000000004</v>
      </c>
      <c r="H118">
        <v>38</v>
      </c>
      <c r="I118">
        <v>1</v>
      </c>
    </row>
    <row r="119" spans="1:9" x14ac:dyDescent="0.25">
      <c r="A119">
        <v>5</v>
      </c>
      <c r="B119">
        <v>78</v>
      </c>
      <c r="C119">
        <v>48</v>
      </c>
      <c r="D119">
        <v>21</v>
      </c>
      <c r="E119">
        <v>80</v>
      </c>
      <c r="F119">
        <v>33.700000000000003</v>
      </c>
      <c r="G119">
        <v>0.67200000000000004</v>
      </c>
      <c r="H119">
        <v>25</v>
      </c>
      <c r="I119">
        <v>0</v>
      </c>
    </row>
    <row r="120" spans="1:9" x14ac:dyDescent="0.25">
      <c r="A120">
        <v>4</v>
      </c>
      <c r="B120">
        <v>97</v>
      </c>
      <c r="C120">
        <v>60</v>
      </c>
      <c r="D120">
        <v>23</v>
      </c>
      <c r="E120">
        <v>80</v>
      </c>
      <c r="F120">
        <v>28.2</v>
      </c>
      <c r="G120">
        <v>0.67200000000000004</v>
      </c>
      <c r="H120">
        <v>22</v>
      </c>
      <c r="I120">
        <v>0</v>
      </c>
    </row>
    <row r="121" spans="1:9" x14ac:dyDescent="0.25">
      <c r="A121">
        <v>4</v>
      </c>
      <c r="B121">
        <v>99</v>
      </c>
      <c r="C121">
        <v>76</v>
      </c>
      <c r="D121">
        <v>15</v>
      </c>
      <c r="E121">
        <v>51</v>
      </c>
      <c r="F121">
        <v>23.2</v>
      </c>
      <c r="G121">
        <v>0.67200000000000004</v>
      </c>
      <c r="H121">
        <v>21</v>
      </c>
      <c r="I121">
        <v>0</v>
      </c>
    </row>
    <row r="122" spans="1:9" x14ac:dyDescent="0.25">
      <c r="A122">
        <v>4</v>
      </c>
      <c r="B122">
        <v>162</v>
      </c>
      <c r="C122">
        <v>76</v>
      </c>
      <c r="D122">
        <v>56</v>
      </c>
      <c r="E122">
        <v>100</v>
      </c>
      <c r="F122">
        <v>53.2</v>
      </c>
      <c r="G122">
        <v>0.67200000000000004</v>
      </c>
      <c r="H122">
        <v>25</v>
      </c>
      <c r="I122">
        <v>1</v>
      </c>
    </row>
    <row r="123" spans="1:9" x14ac:dyDescent="0.25">
      <c r="A123">
        <v>6</v>
      </c>
      <c r="B123">
        <v>111</v>
      </c>
      <c r="C123">
        <v>64</v>
      </c>
      <c r="D123">
        <v>39</v>
      </c>
      <c r="E123">
        <v>80</v>
      </c>
      <c r="F123">
        <v>34.200000000000003</v>
      </c>
      <c r="G123">
        <v>0.67200000000000004</v>
      </c>
      <c r="H123">
        <v>24</v>
      </c>
      <c r="I123">
        <v>0</v>
      </c>
    </row>
    <row r="124" spans="1:9" x14ac:dyDescent="0.25">
      <c r="A124">
        <v>2</v>
      </c>
      <c r="B124">
        <v>107</v>
      </c>
      <c r="C124">
        <v>74</v>
      </c>
      <c r="D124">
        <v>30</v>
      </c>
      <c r="E124">
        <v>100</v>
      </c>
      <c r="F124">
        <v>33.6</v>
      </c>
      <c r="G124">
        <v>0.67200000000000004</v>
      </c>
      <c r="H124">
        <v>23</v>
      </c>
      <c r="I124">
        <v>0</v>
      </c>
    </row>
    <row r="125" spans="1:9" x14ac:dyDescent="0.25">
      <c r="A125">
        <v>5</v>
      </c>
      <c r="B125">
        <v>132</v>
      </c>
      <c r="C125">
        <v>80</v>
      </c>
      <c r="D125">
        <v>21</v>
      </c>
      <c r="E125">
        <v>80</v>
      </c>
      <c r="F125">
        <v>26.8</v>
      </c>
      <c r="G125">
        <v>0.67200000000000004</v>
      </c>
      <c r="H125">
        <v>69</v>
      </c>
      <c r="I125">
        <v>0</v>
      </c>
    </row>
    <row r="126" spans="1:9" x14ac:dyDescent="0.25">
      <c r="A126">
        <v>4</v>
      </c>
      <c r="B126">
        <v>113</v>
      </c>
      <c r="C126">
        <v>76</v>
      </c>
      <c r="D126">
        <v>21</v>
      </c>
      <c r="E126">
        <v>80</v>
      </c>
      <c r="F126">
        <v>33.299999999999997</v>
      </c>
      <c r="G126">
        <v>0.67200000000000004</v>
      </c>
      <c r="H126">
        <v>23</v>
      </c>
      <c r="I126">
        <v>1</v>
      </c>
    </row>
    <row r="127" spans="1:9" x14ac:dyDescent="0.25">
      <c r="A127">
        <v>1</v>
      </c>
      <c r="B127">
        <v>88</v>
      </c>
      <c r="C127">
        <v>30</v>
      </c>
      <c r="D127">
        <v>42</v>
      </c>
      <c r="E127">
        <v>99</v>
      </c>
      <c r="F127">
        <v>55</v>
      </c>
      <c r="G127">
        <v>0.67200000000000004</v>
      </c>
      <c r="H127">
        <v>26</v>
      </c>
      <c r="I127">
        <v>1</v>
      </c>
    </row>
    <row r="128" spans="1:9" x14ac:dyDescent="0.25">
      <c r="A128">
        <v>3</v>
      </c>
      <c r="B128">
        <v>120</v>
      </c>
      <c r="C128">
        <v>70</v>
      </c>
      <c r="D128">
        <v>30</v>
      </c>
      <c r="E128">
        <v>135</v>
      </c>
      <c r="F128">
        <v>42.9</v>
      </c>
      <c r="G128">
        <v>0.67200000000000004</v>
      </c>
      <c r="H128">
        <v>30</v>
      </c>
      <c r="I128">
        <v>0</v>
      </c>
    </row>
    <row r="129" spans="1:9" x14ac:dyDescent="0.25">
      <c r="A129">
        <v>1</v>
      </c>
      <c r="B129">
        <v>118</v>
      </c>
      <c r="C129">
        <v>58</v>
      </c>
      <c r="D129">
        <v>36</v>
      </c>
      <c r="E129">
        <v>94</v>
      </c>
      <c r="F129">
        <v>33.299999999999997</v>
      </c>
      <c r="G129">
        <v>0.67200000000000004</v>
      </c>
      <c r="H129">
        <v>23</v>
      </c>
      <c r="I129">
        <v>0</v>
      </c>
    </row>
    <row r="130" spans="1:9" x14ac:dyDescent="0.25">
      <c r="A130">
        <v>1</v>
      </c>
      <c r="B130">
        <v>117</v>
      </c>
      <c r="C130">
        <v>88</v>
      </c>
      <c r="D130">
        <v>24</v>
      </c>
      <c r="E130">
        <v>145</v>
      </c>
      <c r="F130">
        <v>34.5</v>
      </c>
      <c r="G130">
        <v>0.67200000000000004</v>
      </c>
      <c r="H130">
        <v>40</v>
      </c>
      <c r="I130">
        <v>1</v>
      </c>
    </row>
    <row r="131" spans="1:9" x14ac:dyDescent="0.25">
      <c r="A131">
        <v>4</v>
      </c>
      <c r="B131">
        <v>105</v>
      </c>
      <c r="C131">
        <v>84</v>
      </c>
      <c r="D131">
        <v>21</v>
      </c>
      <c r="E131">
        <v>80</v>
      </c>
      <c r="F131">
        <v>27.9</v>
      </c>
      <c r="G131">
        <v>0.67200000000000004</v>
      </c>
      <c r="H131">
        <v>62</v>
      </c>
      <c r="I131">
        <v>1</v>
      </c>
    </row>
    <row r="132" spans="1:9" x14ac:dyDescent="0.25">
      <c r="A132">
        <v>4</v>
      </c>
      <c r="B132">
        <v>173</v>
      </c>
      <c r="C132">
        <v>70</v>
      </c>
      <c r="D132">
        <v>14</v>
      </c>
      <c r="E132">
        <v>168</v>
      </c>
      <c r="F132">
        <v>29.7</v>
      </c>
      <c r="G132">
        <v>0.67200000000000004</v>
      </c>
      <c r="H132">
        <v>33</v>
      </c>
      <c r="I132">
        <v>1</v>
      </c>
    </row>
    <row r="133" spans="1:9" x14ac:dyDescent="0.25">
      <c r="A133">
        <v>9</v>
      </c>
      <c r="B133">
        <v>122</v>
      </c>
      <c r="C133">
        <v>56</v>
      </c>
      <c r="D133">
        <v>21</v>
      </c>
      <c r="E133">
        <v>80</v>
      </c>
      <c r="F133">
        <v>33.299999999999997</v>
      </c>
      <c r="G133">
        <v>0.67200000000000004</v>
      </c>
      <c r="H133">
        <v>33</v>
      </c>
      <c r="I133">
        <v>1</v>
      </c>
    </row>
    <row r="134" spans="1:9" x14ac:dyDescent="0.25">
      <c r="A134">
        <v>3</v>
      </c>
      <c r="B134">
        <v>170</v>
      </c>
      <c r="C134">
        <v>64</v>
      </c>
      <c r="D134">
        <v>37</v>
      </c>
      <c r="E134">
        <v>225</v>
      </c>
      <c r="F134">
        <v>34.5</v>
      </c>
      <c r="G134">
        <v>0.67200000000000004</v>
      </c>
      <c r="H134">
        <v>30</v>
      </c>
      <c r="I134">
        <v>1</v>
      </c>
    </row>
    <row r="135" spans="1:9" x14ac:dyDescent="0.25">
      <c r="A135">
        <v>8</v>
      </c>
      <c r="B135">
        <v>84</v>
      </c>
      <c r="C135">
        <v>74</v>
      </c>
      <c r="D135">
        <v>31</v>
      </c>
      <c r="E135">
        <v>80</v>
      </c>
      <c r="F135">
        <v>38.299999999999997</v>
      </c>
      <c r="G135">
        <v>0.67200000000000004</v>
      </c>
      <c r="H135">
        <v>39</v>
      </c>
      <c r="I135">
        <v>0</v>
      </c>
    </row>
    <row r="136" spans="1:9" x14ac:dyDescent="0.25">
      <c r="A136">
        <v>2</v>
      </c>
      <c r="B136">
        <v>96</v>
      </c>
      <c r="C136">
        <v>68</v>
      </c>
      <c r="D136">
        <v>13</v>
      </c>
      <c r="E136">
        <v>49</v>
      </c>
      <c r="F136">
        <v>21.1</v>
      </c>
      <c r="G136">
        <v>0.67200000000000004</v>
      </c>
      <c r="H136">
        <v>26</v>
      </c>
      <c r="I136">
        <v>0</v>
      </c>
    </row>
    <row r="137" spans="1:9" x14ac:dyDescent="0.25">
      <c r="A137">
        <v>2</v>
      </c>
      <c r="B137">
        <v>125</v>
      </c>
      <c r="C137">
        <v>60</v>
      </c>
      <c r="D137">
        <v>20</v>
      </c>
      <c r="E137">
        <v>140</v>
      </c>
      <c r="F137">
        <v>33.799999999999997</v>
      </c>
      <c r="G137">
        <v>0.67200000000000004</v>
      </c>
      <c r="H137">
        <v>31</v>
      </c>
      <c r="I137">
        <v>0</v>
      </c>
    </row>
    <row r="138" spans="1:9" x14ac:dyDescent="0.25">
      <c r="A138">
        <v>4</v>
      </c>
      <c r="B138">
        <v>100</v>
      </c>
      <c r="C138">
        <v>70</v>
      </c>
      <c r="D138">
        <v>26</v>
      </c>
      <c r="E138">
        <v>50</v>
      </c>
      <c r="F138">
        <v>30.8</v>
      </c>
      <c r="G138">
        <v>0.67200000000000004</v>
      </c>
      <c r="H138">
        <v>21</v>
      </c>
      <c r="I138">
        <v>0</v>
      </c>
    </row>
    <row r="139" spans="1:9" x14ac:dyDescent="0.25">
      <c r="A139">
        <v>4</v>
      </c>
      <c r="B139">
        <v>93</v>
      </c>
      <c r="C139">
        <v>60</v>
      </c>
      <c r="D139">
        <v>25</v>
      </c>
      <c r="E139">
        <v>92</v>
      </c>
      <c r="F139">
        <v>28.7</v>
      </c>
      <c r="G139">
        <v>0.67200000000000004</v>
      </c>
      <c r="H139">
        <v>22</v>
      </c>
      <c r="I139">
        <v>0</v>
      </c>
    </row>
    <row r="140" spans="1:9" x14ac:dyDescent="0.25">
      <c r="A140">
        <v>4</v>
      </c>
      <c r="B140">
        <v>129</v>
      </c>
      <c r="C140">
        <v>80</v>
      </c>
      <c r="D140">
        <v>21</v>
      </c>
      <c r="E140">
        <v>80</v>
      </c>
      <c r="F140">
        <v>31.2</v>
      </c>
      <c r="G140">
        <v>0.67200000000000004</v>
      </c>
      <c r="H140">
        <v>29</v>
      </c>
      <c r="I140">
        <v>0</v>
      </c>
    </row>
    <row r="141" spans="1:9" x14ac:dyDescent="0.25">
      <c r="A141">
        <v>5</v>
      </c>
      <c r="B141">
        <v>105</v>
      </c>
      <c r="C141">
        <v>72</v>
      </c>
      <c r="D141">
        <v>29</v>
      </c>
      <c r="E141">
        <v>325</v>
      </c>
      <c r="F141">
        <v>36.9</v>
      </c>
      <c r="G141">
        <v>0.67200000000000004</v>
      </c>
      <c r="H141">
        <v>28</v>
      </c>
      <c r="I141">
        <v>0</v>
      </c>
    </row>
    <row r="142" spans="1:9" x14ac:dyDescent="0.25">
      <c r="A142">
        <v>3</v>
      </c>
      <c r="B142">
        <v>128</v>
      </c>
      <c r="C142">
        <v>78</v>
      </c>
      <c r="D142">
        <v>21</v>
      </c>
      <c r="E142">
        <v>80</v>
      </c>
      <c r="F142">
        <v>21.1</v>
      </c>
      <c r="G142">
        <v>0.67200000000000004</v>
      </c>
      <c r="H142">
        <v>55</v>
      </c>
      <c r="I142">
        <v>0</v>
      </c>
    </row>
    <row r="143" spans="1:9" x14ac:dyDescent="0.25">
      <c r="A143">
        <v>5</v>
      </c>
      <c r="B143">
        <v>106</v>
      </c>
      <c r="C143">
        <v>82</v>
      </c>
      <c r="D143">
        <v>30</v>
      </c>
      <c r="E143">
        <v>80</v>
      </c>
      <c r="F143">
        <v>39.5</v>
      </c>
      <c r="G143">
        <v>0.67200000000000004</v>
      </c>
      <c r="H143">
        <v>38</v>
      </c>
      <c r="I143">
        <v>0</v>
      </c>
    </row>
    <row r="144" spans="1:9" x14ac:dyDescent="0.25">
      <c r="A144">
        <v>2</v>
      </c>
      <c r="B144">
        <v>108</v>
      </c>
      <c r="C144">
        <v>52</v>
      </c>
      <c r="D144">
        <v>26</v>
      </c>
      <c r="E144">
        <v>63</v>
      </c>
      <c r="F144">
        <v>32.5</v>
      </c>
      <c r="G144">
        <v>0.67200000000000004</v>
      </c>
      <c r="H144">
        <v>22</v>
      </c>
      <c r="I144">
        <v>0</v>
      </c>
    </row>
    <row r="145" spans="1:9" x14ac:dyDescent="0.25">
      <c r="A145">
        <v>10</v>
      </c>
      <c r="B145">
        <v>108</v>
      </c>
      <c r="C145">
        <v>66</v>
      </c>
      <c r="D145">
        <v>21</v>
      </c>
      <c r="E145">
        <v>80</v>
      </c>
      <c r="F145">
        <v>32.4</v>
      </c>
      <c r="G145">
        <v>0.67200000000000004</v>
      </c>
      <c r="H145">
        <v>42</v>
      </c>
      <c r="I145">
        <v>1</v>
      </c>
    </row>
    <row r="146" spans="1:9" x14ac:dyDescent="0.25">
      <c r="A146">
        <v>4</v>
      </c>
      <c r="B146">
        <v>154</v>
      </c>
      <c r="C146">
        <v>62</v>
      </c>
      <c r="D146">
        <v>31</v>
      </c>
      <c r="E146">
        <v>284</v>
      </c>
      <c r="F146">
        <v>32.799999999999997</v>
      </c>
      <c r="G146">
        <v>0.67200000000000004</v>
      </c>
      <c r="H146">
        <v>23</v>
      </c>
      <c r="I146">
        <v>0</v>
      </c>
    </row>
    <row r="147" spans="1:9" x14ac:dyDescent="0.25">
      <c r="A147">
        <v>4</v>
      </c>
      <c r="B147">
        <v>102</v>
      </c>
      <c r="C147">
        <v>75</v>
      </c>
      <c r="D147">
        <v>23</v>
      </c>
      <c r="E147">
        <v>80</v>
      </c>
      <c r="F147">
        <v>32</v>
      </c>
      <c r="G147">
        <v>0.67200000000000004</v>
      </c>
      <c r="H147">
        <v>21</v>
      </c>
      <c r="I147">
        <v>0</v>
      </c>
    </row>
    <row r="148" spans="1:9" x14ac:dyDescent="0.25">
      <c r="A148">
        <v>9</v>
      </c>
      <c r="B148">
        <v>57</v>
      </c>
      <c r="C148">
        <v>80</v>
      </c>
      <c r="D148">
        <v>37</v>
      </c>
      <c r="E148">
        <v>80</v>
      </c>
      <c r="F148">
        <v>32.799999999999997</v>
      </c>
      <c r="G148">
        <v>0.67200000000000004</v>
      </c>
      <c r="H148">
        <v>41</v>
      </c>
      <c r="I148">
        <v>0</v>
      </c>
    </row>
    <row r="149" spans="1:9" x14ac:dyDescent="0.25">
      <c r="A149">
        <v>2</v>
      </c>
      <c r="B149">
        <v>106</v>
      </c>
      <c r="C149">
        <v>64</v>
      </c>
      <c r="D149">
        <v>35</v>
      </c>
      <c r="E149">
        <v>119</v>
      </c>
      <c r="F149">
        <v>30.5</v>
      </c>
      <c r="G149">
        <v>0.67200000000000004</v>
      </c>
      <c r="H149">
        <v>34</v>
      </c>
      <c r="I149">
        <v>0</v>
      </c>
    </row>
    <row r="150" spans="1:9" x14ac:dyDescent="0.25">
      <c r="A150">
        <v>5</v>
      </c>
      <c r="B150">
        <v>147</v>
      </c>
      <c r="C150">
        <v>78</v>
      </c>
      <c r="D150">
        <v>21</v>
      </c>
      <c r="E150">
        <v>80</v>
      </c>
      <c r="F150">
        <v>33.700000000000003</v>
      </c>
      <c r="G150">
        <v>0.67200000000000004</v>
      </c>
      <c r="H150">
        <v>65</v>
      </c>
      <c r="I150">
        <v>0</v>
      </c>
    </row>
    <row r="151" spans="1:9" x14ac:dyDescent="0.25">
      <c r="A151">
        <v>2</v>
      </c>
      <c r="B151">
        <v>90</v>
      </c>
      <c r="C151">
        <v>70</v>
      </c>
      <c r="D151">
        <v>17</v>
      </c>
      <c r="E151">
        <v>80</v>
      </c>
      <c r="F151">
        <v>27.3</v>
      </c>
      <c r="G151">
        <v>0.67200000000000004</v>
      </c>
      <c r="H151">
        <v>22</v>
      </c>
      <c r="I151">
        <v>0</v>
      </c>
    </row>
    <row r="152" spans="1:9" x14ac:dyDescent="0.25">
      <c r="A152">
        <v>1</v>
      </c>
      <c r="B152">
        <v>136</v>
      </c>
      <c r="C152">
        <v>74</v>
      </c>
      <c r="D152">
        <v>50</v>
      </c>
      <c r="E152">
        <v>204</v>
      </c>
      <c r="F152">
        <v>37.4</v>
      </c>
      <c r="G152">
        <v>0.67200000000000004</v>
      </c>
      <c r="H152">
        <v>24</v>
      </c>
      <c r="I152">
        <v>0</v>
      </c>
    </row>
    <row r="153" spans="1:9" x14ac:dyDescent="0.25">
      <c r="A153">
        <v>4</v>
      </c>
      <c r="B153">
        <v>114</v>
      </c>
      <c r="C153">
        <v>65</v>
      </c>
      <c r="D153">
        <v>21</v>
      </c>
      <c r="E153">
        <v>80</v>
      </c>
      <c r="F153">
        <v>21.9</v>
      </c>
      <c r="G153">
        <v>0.67200000000000004</v>
      </c>
      <c r="H153">
        <v>37</v>
      </c>
      <c r="I153">
        <v>0</v>
      </c>
    </row>
    <row r="154" spans="1:9" x14ac:dyDescent="0.25">
      <c r="A154">
        <v>9</v>
      </c>
      <c r="B154">
        <v>156</v>
      </c>
      <c r="C154">
        <v>86</v>
      </c>
      <c r="D154">
        <v>28</v>
      </c>
      <c r="E154">
        <v>155</v>
      </c>
      <c r="F154">
        <v>34.299999999999997</v>
      </c>
      <c r="G154">
        <v>0.67200000000000004</v>
      </c>
      <c r="H154">
        <v>42</v>
      </c>
      <c r="I154">
        <v>1</v>
      </c>
    </row>
    <row r="155" spans="1:9" x14ac:dyDescent="0.25">
      <c r="A155">
        <v>1</v>
      </c>
      <c r="B155">
        <v>153</v>
      </c>
      <c r="C155">
        <v>82</v>
      </c>
      <c r="D155">
        <v>42</v>
      </c>
      <c r="E155">
        <v>485</v>
      </c>
      <c r="F155">
        <v>40.6</v>
      </c>
      <c r="G155">
        <v>0.67200000000000004</v>
      </c>
      <c r="H155">
        <v>23</v>
      </c>
      <c r="I155">
        <v>0</v>
      </c>
    </row>
    <row r="156" spans="1:9" x14ac:dyDescent="0.25">
      <c r="A156">
        <v>8</v>
      </c>
      <c r="B156">
        <v>188</v>
      </c>
      <c r="C156">
        <v>78</v>
      </c>
      <c r="D156">
        <v>21</v>
      </c>
      <c r="E156">
        <v>80</v>
      </c>
      <c r="F156">
        <v>47.9</v>
      </c>
      <c r="G156">
        <v>0.67200000000000004</v>
      </c>
      <c r="H156">
        <v>43</v>
      </c>
      <c r="I156">
        <v>1</v>
      </c>
    </row>
    <row r="157" spans="1:9" x14ac:dyDescent="0.25">
      <c r="A157">
        <v>7</v>
      </c>
      <c r="B157">
        <v>152</v>
      </c>
      <c r="C157">
        <v>88</v>
      </c>
      <c r="D157">
        <v>44</v>
      </c>
      <c r="E157">
        <v>80</v>
      </c>
      <c r="F157">
        <v>50</v>
      </c>
      <c r="G157">
        <v>0.67200000000000004</v>
      </c>
      <c r="H157">
        <v>36</v>
      </c>
      <c r="I157">
        <v>1</v>
      </c>
    </row>
    <row r="158" spans="1:9" x14ac:dyDescent="0.25">
      <c r="A158">
        <v>2</v>
      </c>
      <c r="B158">
        <v>99</v>
      </c>
      <c r="C158">
        <v>52</v>
      </c>
      <c r="D158">
        <v>15</v>
      </c>
      <c r="E158">
        <v>94</v>
      </c>
      <c r="F158">
        <v>24.6</v>
      </c>
      <c r="G158">
        <v>0.67200000000000004</v>
      </c>
      <c r="H158">
        <v>21</v>
      </c>
      <c r="I158">
        <v>0</v>
      </c>
    </row>
    <row r="159" spans="1:9" x14ac:dyDescent="0.25">
      <c r="A159">
        <v>1</v>
      </c>
      <c r="B159">
        <v>109</v>
      </c>
      <c r="C159">
        <v>56</v>
      </c>
      <c r="D159">
        <v>21</v>
      </c>
      <c r="E159">
        <v>135</v>
      </c>
      <c r="F159">
        <v>25.2</v>
      </c>
      <c r="G159">
        <v>0.67200000000000004</v>
      </c>
      <c r="H159">
        <v>23</v>
      </c>
      <c r="I159">
        <v>0</v>
      </c>
    </row>
    <row r="160" spans="1:9" x14ac:dyDescent="0.25">
      <c r="A160">
        <v>2</v>
      </c>
      <c r="B160">
        <v>88</v>
      </c>
      <c r="C160">
        <v>74</v>
      </c>
      <c r="D160">
        <v>19</v>
      </c>
      <c r="E160">
        <v>53</v>
      </c>
      <c r="F160">
        <v>29</v>
      </c>
      <c r="G160">
        <v>0.67200000000000004</v>
      </c>
      <c r="H160">
        <v>22</v>
      </c>
      <c r="I160">
        <v>0</v>
      </c>
    </row>
    <row r="161" spans="1:9" x14ac:dyDescent="0.25">
      <c r="A161">
        <v>17</v>
      </c>
      <c r="B161">
        <v>163</v>
      </c>
      <c r="C161">
        <v>72</v>
      </c>
      <c r="D161">
        <v>41</v>
      </c>
      <c r="E161">
        <v>114</v>
      </c>
      <c r="F161">
        <v>40.9</v>
      </c>
      <c r="G161">
        <v>0.67200000000000004</v>
      </c>
      <c r="H161">
        <v>47</v>
      </c>
      <c r="I161">
        <v>1</v>
      </c>
    </row>
    <row r="162" spans="1:9" x14ac:dyDescent="0.25">
      <c r="A162">
        <v>4</v>
      </c>
      <c r="B162">
        <v>151</v>
      </c>
      <c r="C162">
        <v>90</v>
      </c>
      <c r="D162">
        <v>38</v>
      </c>
      <c r="E162">
        <v>80</v>
      </c>
      <c r="F162">
        <v>29.7</v>
      </c>
      <c r="G162">
        <v>0.67200000000000004</v>
      </c>
      <c r="H162">
        <v>36</v>
      </c>
      <c r="I162">
        <v>0</v>
      </c>
    </row>
    <row r="163" spans="1:9" x14ac:dyDescent="0.25">
      <c r="A163">
        <v>7</v>
      </c>
      <c r="B163">
        <v>102</v>
      </c>
      <c r="C163">
        <v>74</v>
      </c>
      <c r="D163">
        <v>40</v>
      </c>
      <c r="E163">
        <v>105</v>
      </c>
      <c r="F163">
        <v>37.200000000000003</v>
      </c>
      <c r="G163">
        <v>0.67200000000000004</v>
      </c>
      <c r="H163">
        <v>45</v>
      </c>
      <c r="I163">
        <v>0</v>
      </c>
    </row>
    <row r="164" spans="1:9" x14ac:dyDescent="0.25">
      <c r="A164">
        <v>4</v>
      </c>
      <c r="B164">
        <v>114</v>
      </c>
      <c r="C164">
        <v>80</v>
      </c>
      <c r="D164">
        <v>34</v>
      </c>
      <c r="E164">
        <v>285</v>
      </c>
      <c r="F164">
        <v>44.2</v>
      </c>
      <c r="G164">
        <v>0.67200000000000004</v>
      </c>
      <c r="H164">
        <v>27</v>
      </c>
      <c r="I164">
        <v>0</v>
      </c>
    </row>
    <row r="165" spans="1:9" x14ac:dyDescent="0.25">
      <c r="A165">
        <v>2</v>
      </c>
      <c r="B165">
        <v>100</v>
      </c>
      <c r="C165">
        <v>64</v>
      </c>
      <c r="D165">
        <v>23</v>
      </c>
      <c r="E165">
        <v>80</v>
      </c>
      <c r="F165">
        <v>29.7</v>
      </c>
      <c r="G165">
        <v>0.67200000000000004</v>
      </c>
      <c r="H165">
        <v>21</v>
      </c>
      <c r="I165">
        <v>0</v>
      </c>
    </row>
    <row r="166" spans="1:9" x14ac:dyDescent="0.25">
      <c r="A166">
        <v>4</v>
      </c>
      <c r="B166">
        <v>131</v>
      </c>
      <c r="C166">
        <v>88</v>
      </c>
      <c r="D166">
        <v>21</v>
      </c>
      <c r="E166">
        <v>80</v>
      </c>
      <c r="F166">
        <v>31.6</v>
      </c>
      <c r="G166">
        <v>0.67200000000000004</v>
      </c>
      <c r="H166">
        <v>32</v>
      </c>
      <c r="I166">
        <v>1</v>
      </c>
    </row>
    <row r="167" spans="1:9" x14ac:dyDescent="0.25">
      <c r="A167">
        <v>6</v>
      </c>
      <c r="B167">
        <v>104</v>
      </c>
      <c r="C167">
        <v>74</v>
      </c>
      <c r="D167">
        <v>18</v>
      </c>
      <c r="E167">
        <v>156</v>
      </c>
      <c r="F167">
        <v>29.9</v>
      </c>
      <c r="G167">
        <v>0.67200000000000004</v>
      </c>
      <c r="H167">
        <v>41</v>
      </c>
      <c r="I167">
        <v>1</v>
      </c>
    </row>
    <row r="168" spans="1:9" x14ac:dyDescent="0.25">
      <c r="A168">
        <v>3</v>
      </c>
      <c r="B168">
        <v>148</v>
      </c>
      <c r="C168">
        <v>66</v>
      </c>
      <c r="D168">
        <v>25</v>
      </c>
      <c r="E168">
        <v>80</v>
      </c>
      <c r="F168">
        <v>32.5</v>
      </c>
      <c r="G168">
        <v>0.67200000000000004</v>
      </c>
      <c r="H168">
        <v>22</v>
      </c>
      <c r="I168">
        <v>0</v>
      </c>
    </row>
    <row r="169" spans="1:9" x14ac:dyDescent="0.25">
      <c r="A169">
        <v>4</v>
      </c>
      <c r="B169">
        <v>120</v>
      </c>
      <c r="C169">
        <v>68</v>
      </c>
      <c r="D169">
        <v>21</v>
      </c>
      <c r="E169">
        <v>80</v>
      </c>
      <c r="F169">
        <v>29.6</v>
      </c>
      <c r="G169">
        <v>0.67200000000000004</v>
      </c>
      <c r="H169">
        <v>34</v>
      </c>
      <c r="I169">
        <v>0</v>
      </c>
    </row>
    <row r="170" spans="1:9" x14ac:dyDescent="0.25">
      <c r="A170">
        <v>4</v>
      </c>
      <c r="B170">
        <v>110</v>
      </c>
      <c r="C170">
        <v>66</v>
      </c>
      <c r="D170">
        <v>21</v>
      </c>
      <c r="E170">
        <v>80</v>
      </c>
      <c r="F170">
        <v>31.9</v>
      </c>
      <c r="G170">
        <v>0.67200000000000004</v>
      </c>
      <c r="H170">
        <v>29</v>
      </c>
      <c r="I170">
        <v>0</v>
      </c>
    </row>
    <row r="171" spans="1:9" x14ac:dyDescent="0.25">
      <c r="A171">
        <v>3</v>
      </c>
      <c r="B171">
        <v>111</v>
      </c>
      <c r="C171">
        <v>90</v>
      </c>
      <c r="D171">
        <v>12</v>
      </c>
      <c r="E171">
        <v>78</v>
      </c>
      <c r="F171">
        <v>28.4</v>
      </c>
      <c r="G171">
        <v>0.67200000000000004</v>
      </c>
      <c r="H171">
        <v>29</v>
      </c>
      <c r="I171">
        <v>0</v>
      </c>
    </row>
    <row r="172" spans="1:9" x14ac:dyDescent="0.25">
      <c r="A172">
        <v>6</v>
      </c>
      <c r="B172">
        <v>102</v>
      </c>
      <c r="C172">
        <v>82</v>
      </c>
      <c r="D172">
        <v>21</v>
      </c>
      <c r="E172">
        <v>80</v>
      </c>
      <c r="F172">
        <v>30.8</v>
      </c>
      <c r="G172">
        <v>0.67200000000000004</v>
      </c>
      <c r="H172">
        <v>36</v>
      </c>
      <c r="I172">
        <v>1</v>
      </c>
    </row>
    <row r="173" spans="1:9" x14ac:dyDescent="0.25">
      <c r="A173">
        <v>6</v>
      </c>
      <c r="B173">
        <v>134</v>
      </c>
      <c r="C173">
        <v>70</v>
      </c>
      <c r="D173">
        <v>23</v>
      </c>
      <c r="E173">
        <v>130</v>
      </c>
      <c r="F173">
        <v>35.4</v>
      </c>
      <c r="G173">
        <v>0.67200000000000004</v>
      </c>
      <c r="H173">
        <v>29</v>
      </c>
      <c r="I173">
        <v>1</v>
      </c>
    </row>
    <row r="174" spans="1:9" x14ac:dyDescent="0.25">
      <c r="A174">
        <v>2</v>
      </c>
      <c r="B174">
        <v>87</v>
      </c>
      <c r="C174">
        <v>69</v>
      </c>
      <c r="D174">
        <v>23</v>
      </c>
      <c r="E174">
        <v>80</v>
      </c>
      <c r="F174">
        <v>28.9</v>
      </c>
      <c r="G174">
        <v>0.67200000000000004</v>
      </c>
      <c r="H174">
        <v>25</v>
      </c>
      <c r="I174">
        <v>0</v>
      </c>
    </row>
    <row r="175" spans="1:9" x14ac:dyDescent="0.25">
      <c r="A175">
        <v>1</v>
      </c>
      <c r="B175">
        <v>79</v>
      </c>
      <c r="C175">
        <v>60</v>
      </c>
      <c r="D175">
        <v>42</v>
      </c>
      <c r="E175">
        <v>48</v>
      </c>
      <c r="F175">
        <v>43.5</v>
      </c>
      <c r="G175">
        <v>0.67200000000000004</v>
      </c>
      <c r="H175">
        <v>23</v>
      </c>
      <c r="I175">
        <v>0</v>
      </c>
    </row>
    <row r="176" spans="1:9" x14ac:dyDescent="0.25">
      <c r="A176">
        <v>2</v>
      </c>
      <c r="B176">
        <v>75</v>
      </c>
      <c r="C176">
        <v>64</v>
      </c>
      <c r="D176">
        <v>24</v>
      </c>
      <c r="E176">
        <v>55</v>
      </c>
      <c r="F176">
        <v>29.7</v>
      </c>
      <c r="G176">
        <v>0.67200000000000004</v>
      </c>
      <c r="H176">
        <v>33</v>
      </c>
      <c r="I176">
        <v>0</v>
      </c>
    </row>
    <row r="177" spans="1:9" x14ac:dyDescent="0.25">
      <c r="A177">
        <v>8</v>
      </c>
      <c r="B177">
        <v>179</v>
      </c>
      <c r="C177">
        <v>72</v>
      </c>
      <c r="D177">
        <v>42</v>
      </c>
      <c r="E177">
        <v>130</v>
      </c>
      <c r="F177">
        <v>32.700000000000003</v>
      </c>
      <c r="G177">
        <v>0.67200000000000004</v>
      </c>
      <c r="H177">
        <v>36</v>
      </c>
      <c r="I177">
        <v>1</v>
      </c>
    </row>
    <row r="178" spans="1:9" x14ac:dyDescent="0.25">
      <c r="A178">
        <v>6</v>
      </c>
      <c r="B178">
        <v>85</v>
      </c>
      <c r="C178">
        <v>78</v>
      </c>
      <c r="D178">
        <v>21</v>
      </c>
      <c r="E178">
        <v>80</v>
      </c>
      <c r="F178">
        <v>31.2</v>
      </c>
      <c r="G178">
        <v>0.67200000000000004</v>
      </c>
      <c r="H178">
        <v>42</v>
      </c>
      <c r="I178">
        <v>0</v>
      </c>
    </row>
    <row r="179" spans="1:9" x14ac:dyDescent="0.25">
      <c r="A179">
        <v>4</v>
      </c>
      <c r="B179">
        <v>129</v>
      </c>
      <c r="C179">
        <v>110</v>
      </c>
      <c r="D179">
        <v>46</v>
      </c>
      <c r="E179">
        <v>130</v>
      </c>
      <c r="F179">
        <v>67.099999999999994</v>
      </c>
      <c r="G179">
        <v>0.67200000000000004</v>
      </c>
      <c r="H179">
        <v>26</v>
      </c>
      <c r="I179">
        <v>1</v>
      </c>
    </row>
    <row r="180" spans="1:9" x14ac:dyDescent="0.25">
      <c r="A180">
        <v>5</v>
      </c>
      <c r="B180">
        <v>143</v>
      </c>
      <c r="C180">
        <v>78</v>
      </c>
      <c r="D180">
        <v>21</v>
      </c>
      <c r="E180">
        <v>80</v>
      </c>
      <c r="F180">
        <v>45</v>
      </c>
      <c r="G180">
        <v>0.67200000000000004</v>
      </c>
      <c r="H180">
        <v>47</v>
      </c>
      <c r="I180">
        <v>0</v>
      </c>
    </row>
    <row r="181" spans="1:9" x14ac:dyDescent="0.25">
      <c r="A181">
        <v>5</v>
      </c>
      <c r="B181">
        <v>130</v>
      </c>
      <c r="C181">
        <v>82</v>
      </c>
      <c r="D181">
        <v>21</v>
      </c>
      <c r="E181">
        <v>80</v>
      </c>
      <c r="F181">
        <v>39.1</v>
      </c>
      <c r="G181">
        <v>0.67200000000000004</v>
      </c>
      <c r="H181">
        <v>37</v>
      </c>
      <c r="I181">
        <v>1</v>
      </c>
    </row>
    <row r="182" spans="1:9" x14ac:dyDescent="0.25">
      <c r="A182">
        <v>6</v>
      </c>
      <c r="B182">
        <v>87</v>
      </c>
      <c r="C182">
        <v>80</v>
      </c>
      <c r="D182">
        <v>21</v>
      </c>
      <c r="E182">
        <v>80</v>
      </c>
      <c r="F182">
        <v>23.2</v>
      </c>
      <c r="G182">
        <v>0.67200000000000004</v>
      </c>
      <c r="H182">
        <v>32</v>
      </c>
      <c r="I182">
        <v>0</v>
      </c>
    </row>
    <row r="183" spans="1:9" x14ac:dyDescent="0.25">
      <c r="A183">
        <v>4</v>
      </c>
      <c r="B183">
        <v>119</v>
      </c>
      <c r="C183">
        <v>64</v>
      </c>
      <c r="D183">
        <v>18</v>
      </c>
      <c r="E183">
        <v>92</v>
      </c>
      <c r="F183">
        <v>34.9</v>
      </c>
      <c r="G183">
        <v>0.67200000000000004</v>
      </c>
      <c r="H183">
        <v>23</v>
      </c>
      <c r="I183">
        <v>0</v>
      </c>
    </row>
    <row r="184" spans="1:9" x14ac:dyDescent="0.25">
      <c r="A184">
        <v>1</v>
      </c>
      <c r="B184">
        <v>121</v>
      </c>
      <c r="C184">
        <v>74</v>
      </c>
      <c r="D184">
        <v>20</v>
      </c>
      <c r="E184">
        <v>23</v>
      </c>
      <c r="F184">
        <v>27.7</v>
      </c>
      <c r="G184">
        <v>0.67200000000000004</v>
      </c>
      <c r="H184">
        <v>21</v>
      </c>
      <c r="I184">
        <v>0</v>
      </c>
    </row>
    <row r="185" spans="1:9" x14ac:dyDescent="0.25">
      <c r="A185">
        <v>5</v>
      </c>
      <c r="B185">
        <v>73</v>
      </c>
      <c r="C185">
        <v>60</v>
      </c>
      <c r="D185">
        <v>21</v>
      </c>
      <c r="E185">
        <v>80</v>
      </c>
      <c r="F185">
        <v>26.8</v>
      </c>
      <c r="G185">
        <v>0.67200000000000004</v>
      </c>
      <c r="H185">
        <v>27</v>
      </c>
      <c r="I185">
        <v>0</v>
      </c>
    </row>
    <row r="186" spans="1:9" x14ac:dyDescent="0.25">
      <c r="A186">
        <v>4</v>
      </c>
      <c r="B186">
        <v>141</v>
      </c>
      <c r="C186">
        <v>74</v>
      </c>
      <c r="D186">
        <v>21</v>
      </c>
      <c r="E186">
        <v>80</v>
      </c>
      <c r="F186">
        <v>27.6</v>
      </c>
      <c r="G186">
        <v>0.67200000000000004</v>
      </c>
      <c r="H186">
        <v>40</v>
      </c>
      <c r="I186">
        <v>0</v>
      </c>
    </row>
    <row r="187" spans="1:9" x14ac:dyDescent="0.25">
      <c r="A187">
        <v>7</v>
      </c>
      <c r="B187">
        <v>194</v>
      </c>
      <c r="C187">
        <v>68</v>
      </c>
      <c r="D187">
        <v>28</v>
      </c>
      <c r="E187">
        <v>80</v>
      </c>
      <c r="F187">
        <v>35.9</v>
      </c>
      <c r="G187">
        <v>0.67200000000000004</v>
      </c>
      <c r="H187">
        <v>41</v>
      </c>
      <c r="I187">
        <v>1</v>
      </c>
    </row>
    <row r="188" spans="1:9" x14ac:dyDescent="0.25">
      <c r="A188">
        <v>8</v>
      </c>
      <c r="B188">
        <v>181</v>
      </c>
      <c r="C188">
        <v>68</v>
      </c>
      <c r="D188">
        <v>36</v>
      </c>
      <c r="E188">
        <v>495</v>
      </c>
      <c r="F188">
        <v>30.1</v>
      </c>
      <c r="G188">
        <v>0.67200000000000004</v>
      </c>
      <c r="H188">
        <v>60</v>
      </c>
      <c r="I188">
        <v>1</v>
      </c>
    </row>
    <row r="189" spans="1:9" x14ac:dyDescent="0.25">
      <c r="A189">
        <v>1</v>
      </c>
      <c r="B189">
        <v>128</v>
      </c>
      <c r="C189">
        <v>98</v>
      </c>
      <c r="D189">
        <v>41</v>
      </c>
      <c r="E189">
        <v>58</v>
      </c>
      <c r="F189">
        <v>32</v>
      </c>
      <c r="G189">
        <v>0.67200000000000004</v>
      </c>
      <c r="H189">
        <v>33</v>
      </c>
      <c r="I189">
        <v>1</v>
      </c>
    </row>
    <row r="190" spans="1:9" x14ac:dyDescent="0.25">
      <c r="A190">
        <v>8</v>
      </c>
      <c r="B190">
        <v>109</v>
      </c>
      <c r="C190">
        <v>76</v>
      </c>
      <c r="D190">
        <v>39</v>
      </c>
      <c r="E190">
        <v>114</v>
      </c>
      <c r="F190">
        <v>27.9</v>
      </c>
      <c r="G190">
        <v>0.67200000000000004</v>
      </c>
      <c r="H190">
        <v>31</v>
      </c>
      <c r="I190">
        <v>1</v>
      </c>
    </row>
    <row r="191" spans="1:9" x14ac:dyDescent="0.25">
      <c r="A191">
        <v>5</v>
      </c>
      <c r="B191">
        <v>139</v>
      </c>
      <c r="C191">
        <v>80</v>
      </c>
      <c r="D191">
        <v>35</v>
      </c>
      <c r="E191">
        <v>160</v>
      </c>
      <c r="F191">
        <v>31.6</v>
      </c>
      <c r="G191">
        <v>0.67200000000000004</v>
      </c>
      <c r="H191">
        <v>25</v>
      </c>
      <c r="I191">
        <v>1</v>
      </c>
    </row>
    <row r="192" spans="1:9" x14ac:dyDescent="0.25">
      <c r="A192">
        <v>3</v>
      </c>
      <c r="B192">
        <v>111</v>
      </c>
      <c r="C192">
        <v>62</v>
      </c>
      <c r="D192">
        <v>21</v>
      </c>
      <c r="E192">
        <v>80</v>
      </c>
      <c r="F192">
        <v>22.6</v>
      </c>
      <c r="G192">
        <v>0.67200000000000004</v>
      </c>
      <c r="H192">
        <v>21</v>
      </c>
      <c r="I192">
        <v>0</v>
      </c>
    </row>
    <row r="193" spans="1:9" x14ac:dyDescent="0.25">
      <c r="A193">
        <v>9</v>
      </c>
      <c r="B193">
        <v>123</v>
      </c>
      <c r="C193">
        <v>70</v>
      </c>
      <c r="D193">
        <v>44</v>
      </c>
      <c r="E193">
        <v>94</v>
      </c>
      <c r="F193">
        <v>33.1</v>
      </c>
      <c r="G193">
        <v>0.67200000000000004</v>
      </c>
      <c r="H193">
        <v>40</v>
      </c>
      <c r="I193">
        <v>0</v>
      </c>
    </row>
    <row r="194" spans="1:9" x14ac:dyDescent="0.25">
      <c r="A194">
        <v>7</v>
      </c>
      <c r="B194">
        <v>159</v>
      </c>
      <c r="C194">
        <v>66</v>
      </c>
      <c r="D194">
        <v>21</v>
      </c>
      <c r="E194">
        <v>80</v>
      </c>
      <c r="F194">
        <v>30.4</v>
      </c>
      <c r="G194">
        <v>0.67200000000000004</v>
      </c>
      <c r="H194">
        <v>36</v>
      </c>
      <c r="I194">
        <v>1</v>
      </c>
    </row>
    <row r="195" spans="1:9" x14ac:dyDescent="0.25">
      <c r="A195">
        <v>11</v>
      </c>
      <c r="B195">
        <v>135</v>
      </c>
      <c r="C195">
        <v>69</v>
      </c>
      <c r="D195">
        <v>21</v>
      </c>
      <c r="E195">
        <v>80</v>
      </c>
      <c r="F195">
        <v>52.3</v>
      </c>
      <c r="G195">
        <v>0.67200000000000004</v>
      </c>
      <c r="H195">
        <v>40</v>
      </c>
      <c r="I195">
        <v>1</v>
      </c>
    </row>
    <row r="196" spans="1:9" x14ac:dyDescent="0.25">
      <c r="A196">
        <v>8</v>
      </c>
      <c r="B196">
        <v>85</v>
      </c>
      <c r="C196">
        <v>55</v>
      </c>
      <c r="D196">
        <v>20</v>
      </c>
      <c r="E196">
        <v>80</v>
      </c>
      <c r="F196">
        <v>24.4</v>
      </c>
      <c r="G196">
        <v>0.67200000000000004</v>
      </c>
      <c r="H196">
        <v>42</v>
      </c>
      <c r="I196">
        <v>0</v>
      </c>
    </row>
    <row r="197" spans="1:9" x14ac:dyDescent="0.25">
      <c r="A197">
        <v>5</v>
      </c>
      <c r="B197">
        <v>158</v>
      </c>
      <c r="C197">
        <v>84</v>
      </c>
      <c r="D197">
        <v>41</v>
      </c>
      <c r="E197">
        <v>210</v>
      </c>
      <c r="F197">
        <v>39.4</v>
      </c>
      <c r="G197">
        <v>0.67200000000000004</v>
      </c>
      <c r="H197">
        <v>29</v>
      </c>
      <c r="I197">
        <v>1</v>
      </c>
    </row>
    <row r="198" spans="1:9" x14ac:dyDescent="0.25">
      <c r="A198">
        <v>1</v>
      </c>
      <c r="B198">
        <v>105</v>
      </c>
      <c r="C198">
        <v>58</v>
      </c>
      <c r="D198">
        <v>21</v>
      </c>
      <c r="E198">
        <v>80</v>
      </c>
      <c r="F198">
        <v>24.3</v>
      </c>
      <c r="G198">
        <v>0.67200000000000004</v>
      </c>
      <c r="H198">
        <v>21</v>
      </c>
      <c r="I198">
        <v>0</v>
      </c>
    </row>
    <row r="199" spans="1:9" x14ac:dyDescent="0.25">
      <c r="A199">
        <v>3</v>
      </c>
      <c r="B199">
        <v>107</v>
      </c>
      <c r="C199">
        <v>62</v>
      </c>
      <c r="D199">
        <v>13</v>
      </c>
      <c r="E199">
        <v>48</v>
      </c>
      <c r="F199">
        <v>22.9</v>
      </c>
      <c r="G199">
        <v>0.67200000000000004</v>
      </c>
      <c r="H199">
        <v>23</v>
      </c>
      <c r="I199">
        <v>1</v>
      </c>
    </row>
    <row r="200" spans="1:9" x14ac:dyDescent="0.25">
      <c r="A200">
        <v>4</v>
      </c>
      <c r="B200">
        <v>109</v>
      </c>
      <c r="C200">
        <v>64</v>
      </c>
      <c r="D200">
        <v>44</v>
      </c>
      <c r="E200">
        <v>99</v>
      </c>
      <c r="F200">
        <v>34.799999999999997</v>
      </c>
      <c r="G200">
        <v>0.67200000000000004</v>
      </c>
      <c r="H200">
        <v>26</v>
      </c>
      <c r="I200">
        <v>1</v>
      </c>
    </row>
    <row r="201" spans="1:9" x14ac:dyDescent="0.25">
      <c r="A201">
        <v>4</v>
      </c>
      <c r="B201">
        <v>148</v>
      </c>
      <c r="C201">
        <v>60</v>
      </c>
      <c r="D201">
        <v>27</v>
      </c>
      <c r="E201">
        <v>318</v>
      </c>
      <c r="F201">
        <v>30.9</v>
      </c>
      <c r="G201">
        <v>0.67200000000000004</v>
      </c>
      <c r="H201">
        <v>29</v>
      </c>
      <c r="I201">
        <v>1</v>
      </c>
    </row>
    <row r="202" spans="1:9" x14ac:dyDescent="0.25">
      <c r="A202">
        <v>4</v>
      </c>
      <c r="B202">
        <v>113</v>
      </c>
      <c r="C202">
        <v>80</v>
      </c>
      <c r="D202">
        <v>16</v>
      </c>
      <c r="E202">
        <v>80</v>
      </c>
      <c r="F202">
        <v>31</v>
      </c>
      <c r="G202">
        <v>0.67200000000000004</v>
      </c>
      <c r="H202">
        <v>21</v>
      </c>
      <c r="I202">
        <v>0</v>
      </c>
    </row>
    <row r="203" spans="1:9" x14ac:dyDescent="0.25">
      <c r="A203">
        <v>1</v>
      </c>
      <c r="B203">
        <v>138</v>
      </c>
      <c r="C203">
        <v>82</v>
      </c>
      <c r="D203">
        <v>21</v>
      </c>
      <c r="E203">
        <v>80</v>
      </c>
      <c r="F203">
        <v>40.1</v>
      </c>
      <c r="G203">
        <v>0.67200000000000004</v>
      </c>
      <c r="H203">
        <v>28</v>
      </c>
      <c r="I203">
        <v>0</v>
      </c>
    </row>
    <row r="204" spans="1:9" x14ac:dyDescent="0.25">
      <c r="A204">
        <v>4</v>
      </c>
      <c r="B204">
        <v>108</v>
      </c>
      <c r="C204">
        <v>68</v>
      </c>
      <c r="D204">
        <v>20</v>
      </c>
      <c r="E204">
        <v>80</v>
      </c>
      <c r="F204">
        <v>27.3</v>
      </c>
      <c r="G204">
        <v>0.67200000000000004</v>
      </c>
      <c r="H204">
        <v>32</v>
      </c>
      <c r="I204">
        <v>0</v>
      </c>
    </row>
    <row r="205" spans="1:9" x14ac:dyDescent="0.25">
      <c r="A205">
        <v>2</v>
      </c>
      <c r="B205">
        <v>99</v>
      </c>
      <c r="C205">
        <v>70</v>
      </c>
      <c r="D205">
        <v>16</v>
      </c>
      <c r="E205">
        <v>44</v>
      </c>
      <c r="F205">
        <v>20.399999999999999</v>
      </c>
      <c r="G205">
        <v>0.67200000000000004</v>
      </c>
      <c r="H205">
        <v>27</v>
      </c>
      <c r="I205">
        <v>0</v>
      </c>
    </row>
    <row r="206" spans="1:9" x14ac:dyDescent="0.25">
      <c r="A206">
        <v>6</v>
      </c>
      <c r="B206">
        <v>103</v>
      </c>
      <c r="C206">
        <v>72</v>
      </c>
      <c r="D206">
        <v>32</v>
      </c>
      <c r="E206">
        <v>190</v>
      </c>
      <c r="F206">
        <v>37.700000000000003</v>
      </c>
      <c r="G206">
        <v>0.67200000000000004</v>
      </c>
      <c r="H206">
        <v>55</v>
      </c>
      <c r="I206">
        <v>0</v>
      </c>
    </row>
    <row r="207" spans="1:9" x14ac:dyDescent="0.25">
      <c r="A207">
        <v>5</v>
      </c>
      <c r="B207">
        <v>111</v>
      </c>
      <c r="C207">
        <v>72</v>
      </c>
      <c r="D207">
        <v>28</v>
      </c>
      <c r="E207">
        <v>80</v>
      </c>
      <c r="F207">
        <v>23.9</v>
      </c>
      <c r="G207">
        <v>0.67200000000000004</v>
      </c>
      <c r="H207">
        <v>27</v>
      </c>
      <c r="I207">
        <v>0</v>
      </c>
    </row>
    <row r="208" spans="1:9" x14ac:dyDescent="0.25">
      <c r="A208">
        <v>8</v>
      </c>
      <c r="B208">
        <v>196</v>
      </c>
      <c r="C208">
        <v>76</v>
      </c>
      <c r="D208">
        <v>29</v>
      </c>
      <c r="E208">
        <v>280</v>
      </c>
      <c r="F208">
        <v>37.5</v>
      </c>
      <c r="G208">
        <v>0.67200000000000004</v>
      </c>
      <c r="H208">
        <v>57</v>
      </c>
      <c r="I208">
        <v>1</v>
      </c>
    </row>
    <row r="209" spans="1:9" x14ac:dyDescent="0.25">
      <c r="A209">
        <v>5</v>
      </c>
      <c r="B209">
        <v>162</v>
      </c>
      <c r="C209">
        <v>104</v>
      </c>
      <c r="D209">
        <v>21</v>
      </c>
      <c r="E209">
        <v>80</v>
      </c>
      <c r="F209">
        <v>37.700000000000003</v>
      </c>
      <c r="G209">
        <v>0.67200000000000004</v>
      </c>
      <c r="H209">
        <v>52</v>
      </c>
      <c r="I209">
        <v>1</v>
      </c>
    </row>
    <row r="210" spans="1:9" x14ac:dyDescent="0.25">
      <c r="A210">
        <v>1</v>
      </c>
      <c r="B210">
        <v>96</v>
      </c>
      <c r="C210">
        <v>64</v>
      </c>
      <c r="D210">
        <v>27</v>
      </c>
      <c r="E210">
        <v>87</v>
      </c>
      <c r="F210">
        <v>33.200000000000003</v>
      </c>
      <c r="G210">
        <v>0.67200000000000004</v>
      </c>
      <c r="H210">
        <v>21</v>
      </c>
      <c r="I210">
        <v>0</v>
      </c>
    </row>
    <row r="211" spans="1:9" x14ac:dyDescent="0.25">
      <c r="A211">
        <v>7</v>
      </c>
      <c r="B211">
        <v>184</v>
      </c>
      <c r="C211">
        <v>84</v>
      </c>
      <c r="D211">
        <v>33</v>
      </c>
      <c r="E211">
        <v>80</v>
      </c>
      <c r="F211">
        <v>35.5</v>
      </c>
      <c r="G211">
        <v>0.67200000000000004</v>
      </c>
      <c r="H211">
        <v>41</v>
      </c>
      <c r="I211">
        <v>1</v>
      </c>
    </row>
    <row r="212" spans="1:9" x14ac:dyDescent="0.25">
      <c r="A212">
        <v>2</v>
      </c>
      <c r="B212">
        <v>81</v>
      </c>
      <c r="C212">
        <v>60</v>
      </c>
      <c r="D212">
        <v>22</v>
      </c>
      <c r="E212">
        <v>80</v>
      </c>
      <c r="F212">
        <v>27.7</v>
      </c>
      <c r="G212">
        <v>0.67200000000000004</v>
      </c>
      <c r="H212">
        <v>25</v>
      </c>
      <c r="I212">
        <v>0</v>
      </c>
    </row>
    <row r="213" spans="1:9" x14ac:dyDescent="0.25">
      <c r="A213">
        <v>4</v>
      </c>
      <c r="B213">
        <v>147</v>
      </c>
      <c r="C213">
        <v>85</v>
      </c>
      <c r="D213">
        <v>54</v>
      </c>
      <c r="E213">
        <v>80</v>
      </c>
      <c r="F213">
        <v>42.8</v>
      </c>
      <c r="G213">
        <v>0.67200000000000004</v>
      </c>
      <c r="H213">
        <v>24</v>
      </c>
      <c r="I213">
        <v>0</v>
      </c>
    </row>
    <row r="214" spans="1:9" x14ac:dyDescent="0.25">
      <c r="A214">
        <v>7</v>
      </c>
      <c r="B214">
        <v>179</v>
      </c>
      <c r="C214">
        <v>95</v>
      </c>
      <c r="D214">
        <v>31</v>
      </c>
      <c r="E214">
        <v>80</v>
      </c>
      <c r="F214">
        <v>34.200000000000003</v>
      </c>
      <c r="G214">
        <v>0.67200000000000004</v>
      </c>
      <c r="H214">
        <v>60</v>
      </c>
      <c r="I214">
        <v>0</v>
      </c>
    </row>
    <row r="215" spans="1:9" x14ac:dyDescent="0.25">
      <c r="A215">
        <v>4</v>
      </c>
      <c r="B215">
        <v>140</v>
      </c>
      <c r="C215">
        <v>65</v>
      </c>
      <c r="D215">
        <v>26</v>
      </c>
      <c r="E215">
        <v>130</v>
      </c>
      <c r="F215">
        <v>42.6</v>
      </c>
      <c r="G215">
        <v>0.67200000000000004</v>
      </c>
      <c r="H215">
        <v>24</v>
      </c>
      <c r="I215">
        <v>1</v>
      </c>
    </row>
    <row r="216" spans="1:9" x14ac:dyDescent="0.25">
      <c r="A216">
        <v>9</v>
      </c>
      <c r="B216">
        <v>112</v>
      </c>
      <c r="C216">
        <v>82</v>
      </c>
      <c r="D216">
        <v>32</v>
      </c>
      <c r="E216">
        <v>175</v>
      </c>
      <c r="F216">
        <v>34.200000000000003</v>
      </c>
      <c r="G216">
        <v>0.67200000000000004</v>
      </c>
      <c r="H216">
        <v>36</v>
      </c>
      <c r="I216">
        <v>1</v>
      </c>
    </row>
    <row r="217" spans="1:9" x14ac:dyDescent="0.25">
      <c r="A217">
        <v>12</v>
      </c>
      <c r="B217">
        <v>151</v>
      </c>
      <c r="C217">
        <v>70</v>
      </c>
      <c r="D217">
        <v>40</v>
      </c>
      <c r="E217">
        <v>271</v>
      </c>
      <c r="F217">
        <v>41.8</v>
      </c>
      <c r="G217">
        <v>0.67200000000000004</v>
      </c>
      <c r="H217">
        <v>38</v>
      </c>
      <c r="I217">
        <v>1</v>
      </c>
    </row>
    <row r="218" spans="1:9" x14ac:dyDescent="0.25">
      <c r="A218">
        <v>5</v>
      </c>
      <c r="B218">
        <v>109</v>
      </c>
      <c r="C218">
        <v>62</v>
      </c>
      <c r="D218">
        <v>41</v>
      </c>
      <c r="E218">
        <v>129</v>
      </c>
      <c r="F218">
        <v>35.799999999999997</v>
      </c>
      <c r="G218">
        <v>0.67200000000000004</v>
      </c>
      <c r="H218">
        <v>25</v>
      </c>
      <c r="I218">
        <v>1</v>
      </c>
    </row>
    <row r="219" spans="1:9" x14ac:dyDescent="0.25">
      <c r="A219">
        <v>6</v>
      </c>
      <c r="B219">
        <v>125</v>
      </c>
      <c r="C219">
        <v>68</v>
      </c>
      <c r="D219">
        <v>30</v>
      </c>
      <c r="E219">
        <v>120</v>
      </c>
      <c r="F219">
        <v>30</v>
      </c>
      <c r="G219">
        <v>0.67200000000000004</v>
      </c>
      <c r="H219">
        <v>32</v>
      </c>
      <c r="I219">
        <v>0</v>
      </c>
    </row>
    <row r="220" spans="1:9" x14ac:dyDescent="0.25">
      <c r="A220">
        <v>5</v>
      </c>
      <c r="B220">
        <v>85</v>
      </c>
      <c r="C220">
        <v>74</v>
      </c>
      <c r="D220">
        <v>22</v>
      </c>
      <c r="E220">
        <v>80</v>
      </c>
      <c r="F220">
        <v>29</v>
      </c>
      <c r="G220">
        <v>0.67200000000000004</v>
      </c>
      <c r="H220">
        <v>32</v>
      </c>
      <c r="I220">
        <v>1</v>
      </c>
    </row>
    <row r="221" spans="1:9" x14ac:dyDescent="0.25">
      <c r="A221">
        <v>5</v>
      </c>
      <c r="B221">
        <v>112</v>
      </c>
      <c r="C221">
        <v>66</v>
      </c>
      <c r="D221">
        <v>21</v>
      </c>
      <c r="E221">
        <v>80</v>
      </c>
      <c r="F221">
        <v>37.799999999999997</v>
      </c>
      <c r="G221">
        <v>0.67200000000000004</v>
      </c>
      <c r="H221">
        <v>41</v>
      </c>
      <c r="I221">
        <v>1</v>
      </c>
    </row>
    <row r="222" spans="1:9" x14ac:dyDescent="0.25">
      <c r="A222">
        <v>4</v>
      </c>
      <c r="B222">
        <v>177</v>
      </c>
      <c r="C222">
        <v>60</v>
      </c>
      <c r="D222">
        <v>29</v>
      </c>
      <c r="E222">
        <v>478</v>
      </c>
      <c r="F222">
        <v>34.6</v>
      </c>
      <c r="G222">
        <v>0.67200000000000004</v>
      </c>
      <c r="H222">
        <v>21</v>
      </c>
      <c r="I222">
        <v>1</v>
      </c>
    </row>
    <row r="223" spans="1:9" x14ac:dyDescent="0.25">
      <c r="A223">
        <v>2</v>
      </c>
      <c r="B223">
        <v>158</v>
      </c>
      <c r="C223">
        <v>90</v>
      </c>
      <c r="D223">
        <v>21</v>
      </c>
      <c r="E223">
        <v>80</v>
      </c>
      <c r="F223">
        <v>31.6</v>
      </c>
      <c r="G223">
        <v>0.67200000000000004</v>
      </c>
      <c r="H223">
        <v>66</v>
      </c>
      <c r="I223">
        <v>1</v>
      </c>
    </row>
    <row r="224" spans="1:9" x14ac:dyDescent="0.25">
      <c r="A224">
        <v>7</v>
      </c>
      <c r="B224">
        <v>119</v>
      </c>
      <c r="C224">
        <v>69</v>
      </c>
      <c r="D224">
        <v>21</v>
      </c>
      <c r="E224">
        <v>80</v>
      </c>
      <c r="F224">
        <v>25.2</v>
      </c>
      <c r="G224">
        <v>0.67200000000000004</v>
      </c>
      <c r="H224">
        <v>37</v>
      </c>
      <c r="I224">
        <v>0</v>
      </c>
    </row>
    <row r="225" spans="1:9" x14ac:dyDescent="0.25">
      <c r="A225">
        <v>7</v>
      </c>
      <c r="B225">
        <v>142</v>
      </c>
      <c r="C225">
        <v>60</v>
      </c>
      <c r="D225">
        <v>33</v>
      </c>
      <c r="E225">
        <v>190</v>
      </c>
      <c r="F225">
        <v>28.8</v>
      </c>
      <c r="G225">
        <v>0.67200000000000004</v>
      </c>
      <c r="H225">
        <v>61</v>
      </c>
      <c r="I225">
        <v>0</v>
      </c>
    </row>
    <row r="226" spans="1:9" x14ac:dyDescent="0.25">
      <c r="A226">
        <v>1</v>
      </c>
      <c r="B226">
        <v>100</v>
      </c>
      <c r="C226">
        <v>66</v>
      </c>
      <c r="D226">
        <v>15</v>
      </c>
      <c r="E226">
        <v>56</v>
      </c>
      <c r="F226">
        <v>23.6</v>
      </c>
      <c r="G226">
        <v>0.67200000000000004</v>
      </c>
      <c r="H226">
        <v>26</v>
      </c>
      <c r="I226">
        <v>0</v>
      </c>
    </row>
    <row r="227" spans="1:9" x14ac:dyDescent="0.25">
      <c r="A227">
        <v>1</v>
      </c>
      <c r="B227">
        <v>87</v>
      </c>
      <c r="C227">
        <v>78</v>
      </c>
      <c r="D227">
        <v>27</v>
      </c>
      <c r="E227">
        <v>32</v>
      </c>
      <c r="F227">
        <v>34.6</v>
      </c>
      <c r="G227">
        <v>0.67200000000000004</v>
      </c>
      <c r="H227">
        <v>22</v>
      </c>
      <c r="I227">
        <v>0</v>
      </c>
    </row>
    <row r="228" spans="1:9" x14ac:dyDescent="0.25">
      <c r="A228">
        <v>4</v>
      </c>
      <c r="B228">
        <v>101</v>
      </c>
      <c r="C228">
        <v>76</v>
      </c>
      <c r="D228">
        <v>21</v>
      </c>
      <c r="E228">
        <v>80</v>
      </c>
      <c r="F228">
        <v>35.700000000000003</v>
      </c>
      <c r="G228">
        <v>0.67200000000000004</v>
      </c>
      <c r="H228">
        <v>26</v>
      </c>
      <c r="I228">
        <v>0</v>
      </c>
    </row>
    <row r="229" spans="1:9" x14ac:dyDescent="0.25">
      <c r="A229">
        <v>3</v>
      </c>
      <c r="B229">
        <v>162</v>
      </c>
      <c r="C229">
        <v>52</v>
      </c>
      <c r="D229">
        <v>38</v>
      </c>
      <c r="E229">
        <v>80</v>
      </c>
      <c r="F229">
        <v>37.200000000000003</v>
      </c>
      <c r="G229">
        <v>0.67200000000000004</v>
      </c>
      <c r="H229">
        <v>24</v>
      </c>
      <c r="I229">
        <v>1</v>
      </c>
    </row>
    <row r="230" spans="1:9" x14ac:dyDescent="0.25">
      <c r="A230">
        <v>4</v>
      </c>
      <c r="B230">
        <v>197</v>
      </c>
      <c r="C230">
        <v>70</v>
      </c>
      <c r="D230">
        <v>39</v>
      </c>
      <c r="E230">
        <v>744</v>
      </c>
      <c r="F230">
        <v>36.700000000000003</v>
      </c>
      <c r="G230">
        <v>0.67200000000000004</v>
      </c>
      <c r="H230">
        <v>31</v>
      </c>
      <c r="I230">
        <v>0</v>
      </c>
    </row>
    <row r="231" spans="1:9" x14ac:dyDescent="0.25">
      <c r="A231">
        <v>4</v>
      </c>
      <c r="B231">
        <v>117</v>
      </c>
      <c r="C231">
        <v>80</v>
      </c>
      <c r="D231">
        <v>31</v>
      </c>
      <c r="E231">
        <v>53</v>
      </c>
      <c r="F231">
        <v>45.2</v>
      </c>
      <c r="G231">
        <v>0.67200000000000004</v>
      </c>
      <c r="H231">
        <v>24</v>
      </c>
      <c r="I231">
        <v>0</v>
      </c>
    </row>
    <row r="232" spans="1:9" x14ac:dyDescent="0.25">
      <c r="A232">
        <v>4</v>
      </c>
      <c r="B232">
        <v>142</v>
      </c>
      <c r="C232">
        <v>86</v>
      </c>
      <c r="D232">
        <v>21</v>
      </c>
      <c r="E232">
        <v>80</v>
      </c>
      <c r="F232">
        <v>44</v>
      </c>
      <c r="G232">
        <v>0.67200000000000004</v>
      </c>
      <c r="H232">
        <v>22</v>
      </c>
      <c r="I232">
        <v>1</v>
      </c>
    </row>
    <row r="233" spans="1:9" x14ac:dyDescent="0.25">
      <c r="A233">
        <v>6</v>
      </c>
      <c r="B233">
        <v>134</v>
      </c>
      <c r="C233">
        <v>80</v>
      </c>
      <c r="D233">
        <v>37</v>
      </c>
      <c r="E233">
        <v>370</v>
      </c>
      <c r="F233">
        <v>46.2</v>
      </c>
      <c r="G233">
        <v>0.67200000000000004</v>
      </c>
      <c r="H233">
        <v>46</v>
      </c>
      <c r="I233">
        <v>1</v>
      </c>
    </row>
    <row r="234" spans="1:9" x14ac:dyDescent="0.25">
      <c r="A234">
        <v>1</v>
      </c>
      <c r="B234">
        <v>79</v>
      </c>
      <c r="C234">
        <v>80</v>
      </c>
      <c r="D234">
        <v>25</v>
      </c>
      <c r="E234">
        <v>37</v>
      </c>
      <c r="F234">
        <v>25.4</v>
      </c>
      <c r="G234">
        <v>0.67200000000000004</v>
      </c>
      <c r="H234">
        <v>22</v>
      </c>
      <c r="I234">
        <v>0</v>
      </c>
    </row>
    <row r="235" spans="1:9" x14ac:dyDescent="0.25">
      <c r="A235">
        <v>4</v>
      </c>
      <c r="B235">
        <v>122</v>
      </c>
      <c r="C235">
        <v>68</v>
      </c>
      <c r="D235">
        <v>21</v>
      </c>
      <c r="E235">
        <v>80</v>
      </c>
      <c r="F235">
        <v>35</v>
      </c>
      <c r="G235">
        <v>0.67200000000000004</v>
      </c>
      <c r="H235">
        <v>29</v>
      </c>
      <c r="I235">
        <v>0</v>
      </c>
    </row>
    <row r="236" spans="1:9" x14ac:dyDescent="0.25">
      <c r="A236">
        <v>3</v>
      </c>
      <c r="B236">
        <v>74</v>
      </c>
      <c r="C236">
        <v>68</v>
      </c>
      <c r="D236">
        <v>28</v>
      </c>
      <c r="E236">
        <v>45</v>
      </c>
      <c r="F236">
        <v>29.7</v>
      </c>
      <c r="G236">
        <v>0.67200000000000004</v>
      </c>
      <c r="H236">
        <v>23</v>
      </c>
      <c r="I236">
        <v>0</v>
      </c>
    </row>
    <row r="237" spans="1:9" x14ac:dyDescent="0.25">
      <c r="A237">
        <v>4</v>
      </c>
      <c r="B237">
        <v>171</v>
      </c>
      <c r="C237">
        <v>72</v>
      </c>
      <c r="D237">
        <v>21</v>
      </c>
      <c r="E237">
        <v>80</v>
      </c>
      <c r="F237">
        <v>43.6</v>
      </c>
      <c r="G237">
        <v>0.67200000000000004</v>
      </c>
      <c r="H237">
        <v>26</v>
      </c>
      <c r="I237">
        <v>1</v>
      </c>
    </row>
    <row r="238" spans="1:9" x14ac:dyDescent="0.25">
      <c r="A238">
        <v>7</v>
      </c>
      <c r="B238">
        <v>181</v>
      </c>
      <c r="C238">
        <v>84</v>
      </c>
      <c r="D238">
        <v>21</v>
      </c>
      <c r="E238">
        <v>192</v>
      </c>
      <c r="F238">
        <v>35.9</v>
      </c>
      <c r="G238">
        <v>0.67200000000000004</v>
      </c>
      <c r="H238">
        <v>51</v>
      </c>
      <c r="I238">
        <v>1</v>
      </c>
    </row>
    <row r="239" spans="1:9" x14ac:dyDescent="0.25">
      <c r="A239">
        <v>4</v>
      </c>
      <c r="B239">
        <v>179</v>
      </c>
      <c r="C239">
        <v>90</v>
      </c>
      <c r="D239">
        <v>27</v>
      </c>
      <c r="E239">
        <v>80</v>
      </c>
      <c r="F239">
        <v>44.1</v>
      </c>
      <c r="G239">
        <v>0.67200000000000004</v>
      </c>
      <c r="H239">
        <v>23</v>
      </c>
      <c r="I239">
        <v>1</v>
      </c>
    </row>
    <row r="240" spans="1:9" x14ac:dyDescent="0.25">
      <c r="A240">
        <v>9</v>
      </c>
      <c r="B240">
        <v>164</v>
      </c>
      <c r="C240">
        <v>84</v>
      </c>
      <c r="D240">
        <v>21</v>
      </c>
      <c r="E240">
        <v>80</v>
      </c>
      <c r="F240">
        <v>30.8</v>
      </c>
      <c r="G240">
        <v>0.67200000000000004</v>
      </c>
      <c r="H240">
        <v>32</v>
      </c>
      <c r="I240">
        <v>1</v>
      </c>
    </row>
    <row r="241" spans="1:9" x14ac:dyDescent="0.25">
      <c r="A241">
        <v>4</v>
      </c>
      <c r="B241">
        <v>104</v>
      </c>
      <c r="C241">
        <v>76</v>
      </c>
      <c r="D241">
        <v>21</v>
      </c>
      <c r="E241">
        <v>80</v>
      </c>
      <c r="F241">
        <v>18.399999999999999</v>
      </c>
      <c r="G241">
        <v>0.67200000000000004</v>
      </c>
      <c r="H241">
        <v>27</v>
      </c>
      <c r="I241">
        <v>0</v>
      </c>
    </row>
    <row r="242" spans="1:9" x14ac:dyDescent="0.25">
      <c r="A242">
        <v>1</v>
      </c>
      <c r="B242">
        <v>91</v>
      </c>
      <c r="C242">
        <v>64</v>
      </c>
      <c r="D242">
        <v>24</v>
      </c>
      <c r="E242">
        <v>80</v>
      </c>
      <c r="F242">
        <v>29.2</v>
      </c>
      <c r="G242">
        <v>0.67200000000000004</v>
      </c>
      <c r="H242">
        <v>21</v>
      </c>
      <c r="I242">
        <v>0</v>
      </c>
    </row>
    <row r="243" spans="1:9" x14ac:dyDescent="0.25">
      <c r="A243">
        <v>4</v>
      </c>
      <c r="B243">
        <v>91</v>
      </c>
      <c r="C243">
        <v>70</v>
      </c>
      <c r="D243">
        <v>32</v>
      </c>
      <c r="E243">
        <v>88</v>
      </c>
      <c r="F243">
        <v>33.1</v>
      </c>
      <c r="G243">
        <v>0.67200000000000004</v>
      </c>
      <c r="H243">
        <v>22</v>
      </c>
      <c r="I243">
        <v>0</v>
      </c>
    </row>
    <row r="244" spans="1:9" x14ac:dyDescent="0.25">
      <c r="A244">
        <v>3</v>
      </c>
      <c r="B244">
        <v>139</v>
      </c>
      <c r="C244">
        <v>54</v>
      </c>
      <c r="D244">
        <v>21</v>
      </c>
      <c r="E244">
        <v>80</v>
      </c>
      <c r="F244">
        <v>25.6</v>
      </c>
      <c r="G244">
        <v>0.67200000000000004</v>
      </c>
      <c r="H244">
        <v>22</v>
      </c>
      <c r="I244">
        <v>1</v>
      </c>
    </row>
    <row r="245" spans="1:9" x14ac:dyDescent="0.25">
      <c r="A245">
        <v>6</v>
      </c>
      <c r="B245">
        <v>119</v>
      </c>
      <c r="C245">
        <v>50</v>
      </c>
      <c r="D245">
        <v>22</v>
      </c>
      <c r="E245">
        <v>176</v>
      </c>
      <c r="F245">
        <v>27.1</v>
      </c>
      <c r="G245">
        <v>0.67200000000000004</v>
      </c>
      <c r="H245">
        <v>33</v>
      </c>
      <c r="I245">
        <v>1</v>
      </c>
    </row>
    <row r="246" spans="1:9" x14ac:dyDescent="0.25">
      <c r="A246">
        <v>2</v>
      </c>
      <c r="B246">
        <v>146</v>
      </c>
      <c r="C246">
        <v>76</v>
      </c>
      <c r="D246">
        <v>35</v>
      </c>
      <c r="E246">
        <v>194</v>
      </c>
      <c r="F246">
        <v>38.200000000000003</v>
      </c>
      <c r="G246">
        <v>0.67200000000000004</v>
      </c>
      <c r="H246">
        <v>29</v>
      </c>
      <c r="I246">
        <v>0</v>
      </c>
    </row>
    <row r="247" spans="1:9" x14ac:dyDescent="0.25">
      <c r="A247">
        <v>9</v>
      </c>
      <c r="B247">
        <v>184</v>
      </c>
      <c r="C247">
        <v>85</v>
      </c>
      <c r="D247">
        <v>15</v>
      </c>
      <c r="E247">
        <v>80</v>
      </c>
      <c r="F247">
        <v>30</v>
      </c>
      <c r="G247">
        <v>0.67200000000000004</v>
      </c>
      <c r="H247">
        <v>49</v>
      </c>
      <c r="I247">
        <v>1</v>
      </c>
    </row>
    <row r="248" spans="1:9" x14ac:dyDescent="0.25">
      <c r="A248">
        <v>10</v>
      </c>
      <c r="B248">
        <v>122</v>
      </c>
      <c r="C248">
        <v>68</v>
      </c>
      <c r="D248">
        <v>21</v>
      </c>
      <c r="E248">
        <v>80</v>
      </c>
      <c r="F248">
        <v>31.2</v>
      </c>
      <c r="G248">
        <v>0.67200000000000004</v>
      </c>
      <c r="H248">
        <v>41</v>
      </c>
      <c r="I248">
        <v>0</v>
      </c>
    </row>
    <row r="249" spans="1:9" x14ac:dyDescent="0.25">
      <c r="A249">
        <v>4</v>
      </c>
      <c r="B249">
        <v>165</v>
      </c>
      <c r="C249">
        <v>90</v>
      </c>
      <c r="D249">
        <v>33</v>
      </c>
      <c r="E249">
        <v>680</v>
      </c>
      <c r="F249">
        <v>52.3</v>
      </c>
      <c r="G249">
        <v>0.67200000000000004</v>
      </c>
      <c r="H249">
        <v>23</v>
      </c>
      <c r="I249">
        <v>0</v>
      </c>
    </row>
    <row r="250" spans="1:9" x14ac:dyDescent="0.25">
      <c r="A250">
        <v>9</v>
      </c>
      <c r="B250">
        <v>124</v>
      </c>
      <c r="C250">
        <v>70</v>
      </c>
      <c r="D250">
        <v>33</v>
      </c>
      <c r="E250">
        <v>402</v>
      </c>
      <c r="F250">
        <v>35.4</v>
      </c>
      <c r="G250">
        <v>0.67200000000000004</v>
      </c>
      <c r="H250">
        <v>34</v>
      </c>
      <c r="I250">
        <v>0</v>
      </c>
    </row>
    <row r="251" spans="1:9" x14ac:dyDescent="0.25">
      <c r="A251">
        <v>1</v>
      </c>
      <c r="B251">
        <v>111</v>
      </c>
      <c r="C251">
        <v>86</v>
      </c>
      <c r="D251">
        <v>19</v>
      </c>
      <c r="E251">
        <v>80</v>
      </c>
      <c r="F251">
        <v>30.1</v>
      </c>
      <c r="G251">
        <v>0.67200000000000004</v>
      </c>
      <c r="H251">
        <v>23</v>
      </c>
      <c r="I251">
        <v>0</v>
      </c>
    </row>
    <row r="252" spans="1:9" x14ac:dyDescent="0.25">
      <c r="A252">
        <v>9</v>
      </c>
      <c r="B252">
        <v>106</v>
      </c>
      <c r="C252">
        <v>52</v>
      </c>
      <c r="D252">
        <v>21</v>
      </c>
      <c r="E252">
        <v>80</v>
      </c>
      <c r="F252">
        <v>31.2</v>
      </c>
      <c r="G252">
        <v>0.67200000000000004</v>
      </c>
      <c r="H252">
        <v>42</v>
      </c>
      <c r="I252">
        <v>0</v>
      </c>
    </row>
    <row r="253" spans="1:9" x14ac:dyDescent="0.25">
      <c r="A253">
        <v>2</v>
      </c>
      <c r="B253">
        <v>129</v>
      </c>
      <c r="C253">
        <v>84</v>
      </c>
      <c r="D253">
        <v>21</v>
      </c>
      <c r="E253">
        <v>80</v>
      </c>
      <c r="F253">
        <v>28</v>
      </c>
      <c r="G253">
        <v>0.67200000000000004</v>
      </c>
      <c r="H253">
        <v>27</v>
      </c>
      <c r="I253">
        <v>0</v>
      </c>
    </row>
    <row r="254" spans="1:9" x14ac:dyDescent="0.25">
      <c r="A254">
        <v>2</v>
      </c>
      <c r="B254">
        <v>90</v>
      </c>
      <c r="C254">
        <v>80</v>
      </c>
      <c r="D254">
        <v>14</v>
      </c>
      <c r="E254">
        <v>55</v>
      </c>
      <c r="F254">
        <v>24.4</v>
      </c>
      <c r="G254">
        <v>0.67200000000000004</v>
      </c>
      <c r="H254">
        <v>24</v>
      </c>
      <c r="I254">
        <v>0</v>
      </c>
    </row>
    <row r="255" spans="1:9" x14ac:dyDescent="0.25">
      <c r="A255">
        <v>4</v>
      </c>
      <c r="B255">
        <v>86</v>
      </c>
      <c r="C255">
        <v>68</v>
      </c>
      <c r="D255">
        <v>32</v>
      </c>
      <c r="E255">
        <v>80</v>
      </c>
      <c r="F255">
        <v>35.799999999999997</v>
      </c>
      <c r="G255">
        <v>0.67200000000000004</v>
      </c>
      <c r="H255">
        <v>25</v>
      </c>
      <c r="I255">
        <v>0</v>
      </c>
    </row>
    <row r="256" spans="1:9" x14ac:dyDescent="0.25">
      <c r="A256">
        <v>12</v>
      </c>
      <c r="B256">
        <v>92</v>
      </c>
      <c r="C256">
        <v>62</v>
      </c>
      <c r="D256">
        <v>7</v>
      </c>
      <c r="E256">
        <v>258</v>
      </c>
      <c r="F256">
        <v>27.6</v>
      </c>
      <c r="G256">
        <v>0.67200000000000004</v>
      </c>
      <c r="H256">
        <v>44</v>
      </c>
      <c r="I256">
        <v>1</v>
      </c>
    </row>
    <row r="257" spans="1:9" x14ac:dyDescent="0.25">
      <c r="A257">
        <v>1</v>
      </c>
      <c r="B257">
        <v>113</v>
      </c>
      <c r="C257">
        <v>64</v>
      </c>
      <c r="D257">
        <v>35</v>
      </c>
      <c r="E257">
        <v>80</v>
      </c>
      <c r="F257">
        <v>33.6</v>
      </c>
      <c r="G257">
        <v>0.67200000000000004</v>
      </c>
      <c r="H257">
        <v>21</v>
      </c>
      <c r="I257">
        <v>1</v>
      </c>
    </row>
    <row r="258" spans="1:9" x14ac:dyDescent="0.25">
      <c r="A258">
        <v>3</v>
      </c>
      <c r="B258">
        <v>111</v>
      </c>
      <c r="C258">
        <v>56</v>
      </c>
      <c r="D258">
        <v>39</v>
      </c>
      <c r="E258">
        <v>80</v>
      </c>
      <c r="F258">
        <v>30.1</v>
      </c>
      <c r="G258">
        <v>0.67200000000000004</v>
      </c>
      <c r="H258">
        <v>30</v>
      </c>
      <c r="I258">
        <v>0</v>
      </c>
    </row>
    <row r="259" spans="1:9" x14ac:dyDescent="0.25">
      <c r="A259">
        <v>2</v>
      </c>
      <c r="B259">
        <v>114</v>
      </c>
      <c r="C259">
        <v>68</v>
      </c>
      <c r="D259">
        <v>22</v>
      </c>
      <c r="E259">
        <v>80</v>
      </c>
      <c r="F259">
        <v>28.7</v>
      </c>
      <c r="G259">
        <v>0.67200000000000004</v>
      </c>
      <c r="H259">
        <v>25</v>
      </c>
      <c r="I259">
        <v>0</v>
      </c>
    </row>
    <row r="260" spans="1:9" x14ac:dyDescent="0.25">
      <c r="A260">
        <v>1</v>
      </c>
      <c r="B260">
        <v>193</v>
      </c>
      <c r="C260">
        <v>50</v>
      </c>
      <c r="D260">
        <v>16</v>
      </c>
      <c r="E260">
        <v>375</v>
      </c>
      <c r="F260">
        <v>25.9</v>
      </c>
      <c r="G260">
        <v>0.67200000000000004</v>
      </c>
      <c r="H260">
        <v>24</v>
      </c>
      <c r="I260">
        <v>0</v>
      </c>
    </row>
    <row r="261" spans="1:9" x14ac:dyDescent="0.25">
      <c r="A261">
        <v>11</v>
      </c>
      <c r="B261">
        <v>155</v>
      </c>
      <c r="C261">
        <v>76</v>
      </c>
      <c r="D261">
        <v>28</v>
      </c>
      <c r="E261">
        <v>150</v>
      </c>
      <c r="F261">
        <v>33.299999999999997</v>
      </c>
      <c r="G261">
        <v>0.67200000000000004</v>
      </c>
      <c r="H261">
        <v>51</v>
      </c>
      <c r="I261">
        <v>1</v>
      </c>
    </row>
    <row r="262" spans="1:9" x14ac:dyDescent="0.25">
      <c r="A262">
        <v>3</v>
      </c>
      <c r="B262">
        <v>191</v>
      </c>
      <c r="C262">
        <v>68</v>
      </c>
      <c r="D262">
        <v>15</v>
      </c>
      <c r="E262">
        <v>130</v>
      </c>
      <c r="F262">
        <v>30.9</v>
      </c>
      <c r="G262">
        <v>0.67200000000000004</v>
      </c>
      <c r="H262">
        <v>34</v>
      </c>
      <c r="I262">
        <v>0</v>
      </c>
    </row>
    <row r="263" spans="1:9" x14ac:dyDescent="0.25">
      <c r="A263">
        <v>3</v>
      </c>
      <c r="B263">
        <v>141</v>
      </c>
      <c r="C263">
        <v>69</v>
      </c>
      <c r="D263">
        <v>21</v>
      </c>
      <c r="E263">
        <v>80</v>
      </c>
      <c r="F263">
        <v>30</v>
      </c>
      <c r="G263">
        <v>0.67200000000000004</v>
      </c>
      <c r="H263">
        <v>27</v>
      </c>
      <c r="I263">
        <v>1</v>
      </c>
    </row>
    <row r="264" spans="1:9" x14ac:dyDescent="0.25">
      <c r="A264">
        <v>4</v>
      </c>
      <c r="B264">
        <v>95</v>
      </c>
      <c r="C264">
        <v>70</v>
      </c>
      <c r="D264">
        <v>32</v>
      </c>
      <c r="E264">
        <v>80</v>
      </c>
      <c r="F264">
        <v>32.1</v>
      </c>
      <c r="G264">
        <v>0.67200000000000004</v>
      </c>
      <c r="H264">
        <v>24</v>
      </c>
      <c r="I264">
        <v>0</v>
      </c>
    </row>
    <row r="265" spans="1:9" x14ac:dyDescent="0.25">
      <c r="A265">
        <v>3</v>
      </c>
      <c r="B265">
        <v>142</v>
      </c>
      <c r="C265">
        <v>80</v>
      </c>
      <c r="D265">
        <v>15</v>
      </c>
      <c r="E265">
        <v>80</v>
      </c>
      <c r="F265">
        <v>32.4</v>
      </c>
      <c r="G265">
        <v>0.67200000000000004</v>
      </c>
      <c r="H265">
        <v>63</v>
      </c>
      <c r="I265">
        <v>0</v>
      </c>
    </row>
    <row r="266" spans="1:9" x14ac:dyDescent="0.25">
      <c r="A266">
        <v>4</v>
      </c>
      <c r="B266">
        <v>123</v>
      </c>
      <c r="C266">
        <v>62</v>
      </c>
      <c r="D266">
        <v>21</v>
      </c>
      <c r="E266">
        <v>80</v>
      </c>
      <c r="F266">
        <v>32</v>
      </c>
      <c r="G266">
        <v>0.67200000000000004</v>
      </c>
      <c r="H266">
        <v>35</v>
      </c>
      <c r="I266">
        <v>1</v>
      </c>
    </row>
    <row r="267" spans="1:9" x14ac:dyDescent="0.25">
      <c r="A267">
        <v>5</v>
      </c>
      <c r="B267">
        <v>96</v>
      </c>
      <c r="C267">
        <v>74</v>
      </c>
      <c r="D267">
        <v>18</v>
      </c>
      <c r="E267">
        <v>67</v>
      </c>
      <c r="F267">
        <v>33.6</v>
      </c>
      <c r="G267">
        <v>0.67200000000000004</v>
      </c>
      <c r="H267">
        <v>43</v>
      </c>
      <c r="I267">
        <v>0</v>
      </c>
    </row>
    <row r="268" spans="1:9" x14ac:dyDescent="0.25">
      <c r="A268">
        <v>4</v>
      </c>
      <c r="B268">
        <v>138</v>
      </c>
      <c r="C268">
        <v>69</v>
      </c>
      <c r="D268">
        <v>21</v>
      </c>
      <c r="E268">
        <v>80</v>
      </c>
      <c r="F268">
        <v>36.299999999999997</v>
      </c>
      <c r="G268">
        <v>0.67200000000000004</v>
      </c>
      <c r="H268">
        <v>25</v>
      </c>
      <c r="I268">
        <v>1</v>
      </c>
    </row>
    <row r="269" spans="1:9" x14ac:dyDescent="0.25">
      <c r="A269">
        <v>2</v>
      </c>
      <c r="B269">
        <v>128</v>
      </c>
      <c r="C269">
        <v>64</v>
      </c>
      <c r="D269">
        <v>42</v>
      </c>
      <c r="E269">
        <v>80</v>
      </c>
      <c r="F269">
        <v>40</v>
      </c>
      <c r="G269">
        <v>0.67200000000000004</v>
      </c>
      <c r="H269">
        <v>24</v>
      </c>
      <c r="I269">
        <v>0</v>
      </c>
    </row>
    <row r="270" spans="1:9" x14ac:dyDescent="0.25">
      <c r="A270">
        <v>4</v>
      </c>
      <c r="B270">
        <v>102</v>
      </c>
      <c r="C270">
        <v>52</v>
      </c>
      <c r="D270">
        <v>21</v>
      </c>
      <c r="E270">
        <v>80</v>
      </c>
      <c r="F270">
        <v>25.1</v>
      </c>
      <c r="G270">
        <v>0.67200000000000004</v>
      </c>
      <c r="H270">
        <v>21</v>
      </c>
      <c r="I270">
        <v>0</v>
      </c>
    </row>
    <row r="271" spans="1:9" x14ac:dyDescent="0.25">
      <c r="A271">
        <v>2</v>
      </c>
      <c r="B271">
        <v>146</v>
      </c>
      <c r="C271">
        <v>69</v>
      </c>
      <c r="D271">
        <v>21</v>
      </c>
      <c r="E271">
        <v>80</v>
      </c>
      <c r="F271">
        <v>27.5</v>
      </c>
      <c r="G271">
        <v>0.67200000000000004</v>
      </c>
      <c r="H271">
        <v>28</v>
      </c>
      <c r="I271">
        <v>1</v>
      </c>
    </row>
    <row r="272" spans="1:9" x14ac:dyDescent="0.25">
      <c r="A272">
        <v>10</v>
      </c>
      <c r="B272">
        <v>101</v>
      </c>
      <c r="C272">
        <v>86</v>
      </c>
      <c r="D272">
        <v>37</v>
      </c>
      <c r="E272">
        <v>80</v>
      </c>
      <c r="F272">
        <v>45.6</v>
      </c>
      <c r="G272">
        <v>0.67200000000000004</v>
      </c>
      <c r="H272">
        <v>38</v>
      </c>
      <c r="I272">
        <v>1</v>
      </c>
    </row>
    <row r="273" spans="1:9" x14ac:dyDescent="0.25">
      <c r="A273">
        <v>2</v>
      </c>
      <c r="B273">
        <v>108</v>
      </c>
      <c r="C273">
        <v>62</v>
      </c>
      <c r="D273">
        <v>32</v>
      </c>
      <c r="E273">
        <v>56</v>
      </c>
      <c r="F273">
        <v>25.2</v>
      </c>
      <c r="G273">
        <v>0.67200000000000004</v>
      </c>
      <c r="H273">
        <v>21</v>
      </c>
      <c r="I273">
        <v>0</v>
      </c>
    </row>
    <row r="274" spans="1:9" x14ac:dyDescent="0.25">
      <c r="A274">
        <v>3</v>
      </c>
      <c r="B274">
        <v>122</v>
      </c>
      <c r="C274">
        <v>78</v>
      </c>
      <c r="D274">
        <v>21</v>
      </c>
      <c r="E274">
        <v>80</v>
      </c>
      <c r="F274">
        <v>23</v>
      </c>
      <c r="G274">
        <v>0.67200000000000004</v>
      </c>
      <c r="H274">
        <v>40</v>
      </c>
      <c r="I274">
        <v>0</v>
      </c>
    </row>
    <row r="275" spans="1:9" x14ac:dyDescent="0.25">
      <c r="A275">
        <v>1</v>
      </c>
      <c r="B275">
        <v>71</v>
      </c>
      <c r="C275">
        <v>78</v>
      </c>
      <c r="D275">
        <v>50</v>
      </c>
      <c r="E275">
        <v>45</v>
      </c>
      <c r="F275">
        <v>33.200000000000003</v>
      </c>
      <c r="G275">
        <v>0.67200000000000004</v>
      </c>
      <c r="H275">
        <v>21</v>
      </c>
      <c r="I275">
        <v>0</v>
      </c>
    </row>
    <row r="276" spans="1:9" x14ac:dyDescent="0.25">
      <c r="A276">
        <v>13</v>
      </c>
      <c r="B276">
        <v>106</v>
      </c>
      <c r="C276">
        <v>70</v>
      </c>
      <c r="D276">
        <v>21</v>
      </c>
      <c r="E276">
        <v>80</v>
      </c>
      <c r="F276">
        <v>34.200000000000003</v>
      </c>
      <c r="G276">
        <v>0.67200000000000004</v>
      </c>
      <c r="H276">
        <v>52</v>
      </c>
      <c r="I276">
        <v>0</v>
      </c>
    </row>
    <row r="277" spans="1:9" x14ac:dyDescent="0.25">
      <c r="A277">
        <v>2</v>
      </c>
      <c r="B277">
        <v>100</v>
      </c>
      <c r="C277">
        <v>70</v>
      </c>
      <c r="D277">
        <v>52</v>
      </c>
      <c r="E277">
        <v>57</v>
      </c>
      <c r="F277">
        <v>40.5</v>
      </c>
      <c r="G277">
        <v>0.67200000000000004</v>
      </c>
      <c r="H277">
        <v>25</v>
      </c>
      <c r="I277">
        <v>0</v>
      </c>
    </row>
    <row r="278" spans="1:9" x14ac:dyDescent="0.25">
      <c r="A278">
        <v>7</v>
      </c>
      <c r="B278">
        <v>106</v>
      </c>
      <c r="C278">
        <v>60</v>
      </c>
      <c r="D278">
        <v>24</v>
      </c>
      <c r="E278">
        <v>80</v>
      </c>
      <c r="F278">
        <v>26.5</v>
      </c>
      <c r="G278">
        <v>0.67200000000000004</v>
      </c>
      <c r="H278">
        <v>29</v>
      </c>
      <c r="I278">
        <v>1</v>
      </c>
    </row>
    <row r="279" spans="1:9" x14ac:dyDescent="0.25">
      <c r="A279">
        <v>4</v>
      </c>
      <c r="B279">
        <v>104</v>
      </c>
      <c r="C279">
        <v>64</v>
      </c>
      <c r="D279">
        <v>23</v>
      </c>
      <c r="E279">
        <v>116</v>
      </c>
      <c r="F279">
        <v>27.8</v>
      </c>
      <c r="G279">
        <v>0.67200000000000004</v>
      </c>
      <c r="H279">
        <v>23</v>
      </c>
      <c r="I279">
        <v>0</v>
      </c>
    </row>
    <row r="280" spans="1:9" x14ac:dyDescent="0.25">
      <c r="A280">
        <v>5</v>
      </c>
      <c r="B280">
        <v>114</v>
      </c>
      <c r="C280">
        <v>74</v>
      </c>
      <c r="D280">
        <v>21</v>
      </c>
      <c r="E280">
        <v>80</v>
      </c>
      <c r="F280">
        <v>24.9</v>
      </c>
      <c r="G280">
        <v>0.67200000000000004</v>
      </c>
      <c r="H280">
        <v>57</v>
      </c>
      <c r="I280">
        <v>0</v>
      </c>
    </row>
    <row r="281" spans="1:9" x14ac:dyDescent="0.25">
      <c r="A281">
        <v>2</v>
      </c>
      <c r="B281">
        <v>108</v>
      </c>
      <c r="C281">
        <v>62</v>
      </c>
      <c r="D281">
        <v>10</v>
      </c>
      <c r="E281">
        <v>278</v>
      </c>
      <c r="F281">
        <v>25.3</v>
      </c>
      <c r="G281">
        <v>0.67200000000000004</v>
      </c>
      <c r="H281">
        <v>22</v>
      </c>
      <c r="I281">
        <v>0</v>
      </c>
    </row>
    <row r="282" spans="1:9" x14ac:dyDescent="0.25">
      <c r="A282">
        <v>4</v>
      </c>
      <c r="B282">
        <v>146</v>
      </c>
      <c r="C282">
        <v>70</v>
      </c>
      <c r="D282">
        <v>21</v>
      </c>
      <c r="E282">
        <v>80</v>
      </c>
      <c r="F282">
        <v>37.9</v>
      </c>
      <c r="G282">
        <v>0.67200000000000004</v>
      </c>
      <c r="H282">
        <v>28</v>
      </c>
      <c r="I282">
        <v>1</v>
      </c>
    </row>
    <row r="283" spans="1:9" x14ac:dyDescent="0.25">
      <c r="A283">
        <v>10</v>
      </c>
      <c r="B283">
        <v>129</v>
      </c>
      <c r="C283">
        <v>76</v>
      </c>
      <c r="D283">
        <v>28</v>
      </c>
      <c r="E283">
        <v>122</v>
      </c>
      <c r="F283">
        <v>35.9</v>
      </c>
      <c r="G283">
        <v>0.67200000000000004</v>
      </c>
      <c r="H283">
        <v>39</v>
      </c>
      <c r="I283">
        <v>0</v>
      </c>
    </row>
    <row r="284" spans="1:9" x14ac:dyDescent="0.25">
      <c r="A284">
        <v>7</v>
      </c>
      <c r="B284">
        <v>133</v>
      </c>
      <c r="C284">
        <v>88</v>
      </c>
      <c r="D284">
        <v>15</v>
      </c>
      <c r="E284">
        <v>155</v>
      </c>
      <c r="F284">
        <v>32.4</v>
      </c>
      <c r="G284">
        <v>0.67200000000000004</v>
      </c>
      <c r="H284">
        <v>37</v>
      </c>
      <c r="I284">
        <v>0</v>
      </c>
    </row>
    <row r="285" spans="1:9" x14ac:dyDescent="0.25">
      <c r="A285">
        <v>7</v>
      </c>
      <c r="B285">
        <v>161</v>
      </c>
      <c r="C285">
        <v>86</v>
      </c>
      <c r="D285">
        <v>21</v>
      </c>
      <c r="E285">
        <v>80</v>
      </c>
      <c r="F285">
        <v>30.4</v>
      </c>
      <c r="G285">
        <v>0.67200000000000004</v>
      </c>
      <c r="H285">
        <v>47</v>
      </c>
      <c r="I285">
        <v>1</v>
      </c>
    </row>
    <row r="286" spans="1:9" x14ac:dyDescent="0.25">
      <c r="A286">
        <v>2</v>
      </c>
      <c r="B286">
        <v>108</v>
      </c>
      <c r="C286">
        <v>80</v>
      </c>
      <c r="D286">
        <v>21</v>
      </c>
      <c r="E286">
        <v>80</v>
      </c>
      <c r="F286">
        <v>27</v>
      </c>
      <c r="G286">
        <v>0.67200000000000004</v>
      </c>
      <c r="H286">
        <v>52</v>
      </c>
      <c r="I286">
        <v>1</v>
      </c>
    </row>
    <row r="287" spans="1:9" x14ac:dyDescent="0.25">
      <c r="A287">
        <v>7</v>
      </c>
      <c r="B287">
        <v>136</v>
      </c>
      <c r="C287">
        <v>74</v>
      </c>
      <c r="D287">
        <v>26</v>
      </c>
      <c r="E287">
        <v>135</v>
      </c>
      <c r="F287">
        <v>26</v>
      </c>
      <c r="G287">
        <v>0.67200000000000004</v>
      </c>
      <c r="H287">
        <v>51</v>
      </c>
      <c r="I287">
        <v>0</v>
      </c>
    </row>
    <row r="288" spans="1:9" x14ac:dyDescent="0.25">
      <c r="A288">
        <v>5</v>
      </c>
      <c r="B288">
        <v>155</v>
      </c>
      <c r="C288">
        <v>84</v>
      </c>
      <c r="D288">
        <v>44</v>
      </c>
      <c r="E288">
        <v>545</v>
      </c>
      <c r="F288">
        <v>38.700000000000003</v>
      </c>
      <c r="G288">
        <v>0.67200000000000004</v>
      </c>
      <c r="H288">
        <v>34</v>
      </c>
      <c r="I288">
        <v>0</v>
      </c>
    </row>
    <row r="289" spans="1:9" x14ac:dyDescent="0.25">
      <c r="A289">
        <v>1</v>
      </c>
      <c r="B289">
        <v>119</v>
      </c>
      <c r="C289">
        <v>86</v>
      </c>
      <c r="D289">
        <v>39</v>
      </c>
      <c r="E289">
        <v>220</v>
      </c>
      <c r="F289">
        <v>45.6</v>
      </c>
      <c r="G289">
        <v>0.67200000000000004</v>
      </c>
      <c r="H289">
        <v>29</v>
      </c>
      <c r="I289">
        <v>1</v>
      </c>
    </row>
    <row r="290" spans="1:9" x14ac:dyDescent="0.25">
      <c r="A290">
        <v>4</v>
      </c>
      <c r="B290">
        <v>96</v>
      </c>
      <c r="C290">
        <v>56</v>
      </c>
      <c r="D290">
        <v>17</v>
      </c>
      <c r="E290">
        <v>49</v>
      </c>
      <c r="F290">
        <v>20.8</v>
      </c>
      <c r="G290">
        <v>0.67200000000000004</v>
      </c>
      <c r="H290">
        <v>26</v>
      </c>
      <c r="I290">
        <v>0</v>
      </c>
    </row>
    <row r="291" spans="1:9" x14ac:dyDescent="0.25">
      <c r="A291">
        <v>5</v>
      </c>
      <c r="B291">
        <v>108</v>
      </c>
      <c r="C291">
        <v>72</v>
      </c>
      <c r="D291">
        <v>43</v>
      </c>
      <c r="E291">
        <v>75</v>
      </c>
      <c r="F291">
        <v>36.1</v>
      </c>
      <c r="G291">
        <v>0.67200000000000004</v>
      </c>
      <c r="H291">
        <v>33</v>
      </c>
      <c r="I291">
        <v>0</v>
      </c>
    </row>
    <row r="292" spans="1:9" x14ac:dyDescent="0.25">
      <c r="A292">
        <v>4</v>
      </c>
      <c r="B292">
        <v>78</v>
      </c>
      <c r="C292">
        <v>88</v>
      </c>
      <c r="D292">
        <v>29</v>
      </c>
      <c r="E292">
        <v>40</v>
      </c>
      <c r="F292">
        <v>36.9</v>
      </c>
      <c r="G292">
        <v>0.67200000000000004</v>
      </c>
      <c r="H292">
        <v>21</v>
      </c>
      <c r="I292">
        <v>0</v>
      </c>
    </row>
    <row r="293" spans="1:9" x14ac:dyDescent="0.25">
      <c r="A293">
        <v>4</v>
      </c>
      <c r="B293">
        <v>107</v>
      </c>
      <c r="C293">
        <v>62</v>
      </c>
      <c r="D293">
        <v>30</v>
      </c>
      <c r="E293">
        <v>74</v>
      </c>
      <c r="F293">
        <v>36.6</v>
      </c>
      <c r="G293">
        <v>0.67200000000000004</v>
      </c>
      <c r="H293">
        <v>25</v>
      </c>
      <c r="I293">
        <v>1</v>
      </c>
    </row>
    <row r="294" spans="1:9" x14ac:dyDescent="0.25">
      <c r="A294">
        <v>2</v>
      </c>
      <c r="B294">
        <v>128</v>
      </c>
      <c r="C294">
        <v>78</v>
      </c>
      <c r="D294">
        <v>37</v>
      </c>
      <c r="E294">
        <v>182</v>
      </c>
      <c r="F294">
        <v>43.3</v>
      </c>
      <c r="G294">
        <v>0.67200000000000004</v>
      </c>
      <c r="H294">
        <v>31</v>
      </c>
      <c r="I294">
        <v>1</v>
      </c>
    </row>
    <row r="295" spans="1:9" x14ac:dyDescent="0.25">
      <c r="A295">
        <v>1</v>
      </c>
      <c r="B295">
        <v>128</v>
      </c>
      <c r="C295">
        <v>48</v>
      </c>
      <c r="D295">
        <v>45</v>
      </c>
      <c r="E295">
        <v>194</v>
      </c>
      <c r="F295">
        <v>40.5</v>
      </c>
      <c r="G295">
        <v>0.67200000000000004</v>
      </c>
      <c r="H295">
        <v>24</v>
      </c>
      <c r="I295">
        <v>1</v>
      </c>
    </row>
    <row r="296" spans="1:9" x14ac:dyDescent="0.25">
      <c r="A296">
        <v>4</v>
      </c>
      <c r="B296">
        <v>161</v>
      </c>
      <c r="C296">
        <v>50</v>
      </c>
      <c r="D296">
        <v>21</v>
      </c>
      <c r="E296">
        <v>80</v>
      </c>
      <c r="F296">
        <v>21.9</v>
      </c>
      <c r="G296">
        <v>0.67200000000000004</v>
      </c>
      <c r="H296">
        <v>65</v>
      </c>
      <c r="I296">
        <v>0</v>
      </c>
    </row>
    <row r="297" spans="1:9" x14ac:dyDescent="0.25">
      <c r="A297">
        <v>6</v>
      </c>
      <c r="B297">
        <v>151</v>
      </c>
      <c r="C297">
        <v>62</v>
      </c>
      <c r="D297">
        <v>31</v>
      </c>
      <c r="E297">
        <v>120</v>
      </c>
      <c r="F297">
        <v>35.5</v>
      </c>
      <c r="G297">
        <v>0.67200000000000004</v>
      </c>
      <c r="H297">
        <v>28</v>
      </c>
      <c r="I297">
        <v>0</v>
      </c>
    </row>
    <row r="298" spans="1:9" x14ac:dyDescent="0.25">
      <c r="A298">
        <v>2</v>
      </c>
      <c r="B298">
        <v>146</v>
      </c>
      <c r="C298">
        <v>70</v>
      </c>
      <c r="D298">
        <v>38</v>
      </c>
      <c r="E298">
        <v>360</v>
      </c>
      <c r="F298">
        <v>28</v>
      </c>
      <c r="G298">
        <v>0.67200000000000004</v>
      </c>
      <c r="H298">
        <v>29</v>
      </c>
      <c r="I298">
        <v>1</v>
      </c>
    </row>
    <row r="299" spans="1:9" x14ac:dyDescent="0.25">
      <c r="A299">
        <v>4</v>
      </c>
      <c r="B299">
        <v>126</v>
      </c>
      <c r="C299">
        <v>84</v>
      </c>
      <c r="D299">
        <v>29</v>
      </c>
      <c r="E299">
        <v>215</v>
      </c>
      <c r="F299">
        <v>30.7</v>
      </c>
      <c r="G299">
        <v>0.67200000000000004</v>
      </c>
      <c r="H299">
        <v>24</v>
      </c>
      <c r="I299">
        <v>0</v>
      </c>
    </row>
    <row r="300" spans="1:9" x14ac:dyDescent="0.25">
      <c r="A300">
        <v>14</v>
      </c>
      <c r="B300">
        <v>100</v>
      </c>
      <c r="C300">
        <v>78</v>
      </c>
      <c r="D300">
        <v>25</v>
      </c>
      <c r="E300">
        <v>184</v>
      </c>
      <c r="F300">
        <v>36.6</v>
      </c>
      <c r="G300">
        <v>0.67200000000000004</v>
      </c>
      <c r="H300">
        <v>46</v>
      </c>
      <c r="I300">
        <v>1</v>
      </c>
    </row>
    <row r="301" spans="1:9" x14ac:dyDescent="0.25">
      <c r="A301">
        <v>8</v>
      </c>
      <c r="B301">
        <v>112</v>
      </c>
      <c r="C301">
        <v>72</v>
      </c>
      <c r="D301">
        <v>21</v>
      </c>
      <c r="E301">
        <v>80</v>
      </c>
      <c r="F301">
        <v>23.6</v>
      </c>
      <c r="G301">
        <v>0.67200000000000004</v>
      </c>
      <c r="H301">
        <v>58</v>
      </c>
      <c r="I301">
        <v>0</v>
      </c>
    </row>
    <row r="302" spans="1:9" x14ac:dyDescent="0.25">
      <c r="A302">
        <v>4</v>
      </c>
      <c r="B302">
        <v>167</v>
      </c>
      <c r="C302">
        <v>69</v>
      </c>
      <c r="D302">
        <v>21</v>
      </c>
      <c r="E302">
        <v>80</v>
      </c>
      <c r="F302">
        <v>32.299999999999997</v>
      </c>
      <c r="G302">
        <v>0.67200000000000004</v>
      </c>
      <c r="H302">
        <v>30</v>
      </c>
      <c r="I302">
        <v>1</v>
      </c>
    </row>
    <row r="303" spans="1:9" x14ac:dyDescent="0.25">
      <c r="A303">
        <v>2</v>
      </c>
      <c r="B303">
        <v>144</v>
      </c>
      <c r="C303">
        <v>58</v>
      </c>
      <c r="D303">
        <v>33</v>
      </c>
      <c r="E303">
        <v>135</v>
      </c>
      <c r="F303">
        <v>31.6</v>
      </c>
      <c r="G303">
        <v>0.67200000000000004</v>
      </c>
      <c r="H303">
        <v>25</v>
      </c>
      <c r="I303">
        <v>1</v>
      </c>
    </row>
    <row r="304" spans="1:9" x14ac:dyDescent="0.25">
      <c r="A304">
        <v>5</v>
      </c>
      <c r="B304">
        <v>77</v>
      </c>
      <c r="C304">
        <v>82</v>
      </c>
      <c r="D304">
        <v>41</v>
      </c>
      <c r="E304">
        <v>42</v>
      </c>
      <c r="F304">
        <v>35.799999999999997</v>
      </c>
      <c r="G304">
        <v>0.67200000000000004</v>
      </c>
      <c r="H304">
        <v>35</v>
      </c>
      <c r="I304">
        <v>0</v>
      </c>
    </row>
    <row r="305" spans="1:9" x14ac:dyDescent="0.25">
      <c r="A305">
        <v>5</v>
      </c>
      <c r="B305">
        <v>115</v>
      </c>
      <c r="C305">
        <v>98</v>
      </c>
      <c r="D305">
        <v>21</v>
      </c>
      <c r="E305">
        <v>80</v>
      </c>
      <c r="F305">
        <v>52.9</v>
      </c>
      <c r="G305">
        <v>0.67200000000000004</v>
      </c>
      <c r="H305">
        <v>28</v>
      </c>
      <c r="I305">
        <v>1</v>
      </c>
    </row>
    <row r="306" spans="1:9" x14ac:dyDescent="0.25">
      <c r="A306">
        <v>3</v>
      </c>
      <c r="B306">
        <v>150</v>
      </c>
      <c r="C306">
        <v>76</v>
      </c>
      <c r="D306">
        <v>21</v>
      </c>
      <c r="E306">
        <v>80</v>
      </c>
      <c r="F306">
        <v>21</v>
      </c>
      <c r="G306">
        <v>0.67200000000000004</v>
      </c>
      <c r="H306">
        <v>37</v>
      </c>
      <c r="I306">
        <v>0</v>
      </c>
    </row>
    <row r="307" spans="1:9" x14ac:dyDescent="0.25">
      <c r="A307">
        <v>2</v>
      </c>
      <c r="B307">
        <v>120</v>
      </c>
      <c r="C307">
        <v>76</v>
      </c>
      <c r="D307">
        <v>37</v>
      </c>
      <c r="E307">
        <v>105</v>
      </c>
      <c r="F307">
        <v>39.700000000000003</v>
      </c>
      <c r="G307">
        <v>0.67200000000000004</v>
      </c>
      <c r="H307">
        <v>29</v>
      </c>
      <c r="I307">
        <v>0</v>
      </c>
    </row>
    <row r="308" spans="1:9" x14ac:dyDescent="0.25">
      <c r="A308">
        <v>10</v>
      </c>
      <c r="B308">
        <v>161</v>
      </c>
      <c r="C308">
        <v>68</v>
      </c>
      <c r="D308">
        <v>23</v>
      </c>
      <c r="E308">
        <v>132</v>
      </c>
      <c r="F308">
        <v>25.5</v>
      </c>
      <c r="G308">
        <v>0.67200000000000004</v>
      </c>
      <c r="H308">
        <v>47</v>
      </c>
      <c r="I308">
        <v>1</v>
      </c>
    </row>
    <row r="309" spans="1:9" x14ac:dyDescent="0.25">
      <c r="A309">
        <v>4</v>
      </c>
      <c r="B309">
        <v>137</v>
      </c>
      <c r="C309">
        <v>68</v>
      </c>
      <c r="D309">
        <v>14</v>
      </c>
      <c r="E309">
        <v>148</v>
      </c>
      <c r="F309">
        <v>24.8</v>
      </c>
      <c r="G309">
        <v>0.67200000000000004</v>
      </c>
      <c r="H309">
        <v>21</v>
      </c>
      <c r="I309">
        <v>0</v>
      </c>
    </row>
    <row r="310" spans="1:9" x14ac:dyDescent="0.25">
      <c r="A310">
        <v>4</v>
      </c>
      <c r="B310">
        <v>128</v>
      </c>
      <c r="C310">
        <v>68</v>
      </c>
      <c r="D310">
        <v>19</v>
      </c>
      <c r="E310">
        <v>180</v>
      </c>
      <c r="F310">
        <v>30.5</v>
      </c>
      <c r="G310">
        <v>0.67200000000000004</v>
      </c>
      <c r="H310">
        <v>25</v>
      </c>
      <c r="I310">
        <v>1</v>
      </c>
    </row>
    <row r="311" spans="1:9" x14ac:dyDescent="0.25">
      <c r="A311">
        <v>2</v>
      </c>
      <c r="B311">
        <v>124</v>
      </c>
      <c r="C311">
        <v>68</v>
      </c>
      <c r="D311">
        <v>28</v>
      </c>
      <c r="E311">
        <v>205</v>
      </c>
      <c r="F311">
        <v>32.9</v>
      </c>
      <c r="G311">
        <v>0.67200000000000004</v>
      </c>
      <c r="H311">
        <v>30</v>
      </c>
      <c r="I311">
        <v>1</v>
      </c>
    </row>
    <row r="312" spans="1:9" x14ac:dyDescent="0.25">
      <c r="A312">
        <v>6</v>
      </c>
      <c r="B312">
        <v>80</v>
      </c>
      <c r="C312">
        <v>66</v>
      </c>
      <c r="D312">
        <v>30</v>
      </c>
      <c r="E312">
        <v>80</v>
      </c>
      <c r="F312">
        <v>26.2</v>
      </c>
      <c r="G312">
        <v>0.67200000000000004</v>
      </c>
      <c r="H312">
        <v>41</v>
      </c>
      <c r="I312">
        <v>0</v>
      </c>
    </row>
    <row r="313" spans="1:9" x14ac:dyDescent="0.25">
      <c r="A313">
        <v>4</v>
      </c>
      <c r="B313">
        <v>106</v>
      </c>
      <c r="C313">
        <v>70</v>
      </c>
      <c r="D313">
        <v>37</v>
      </c>
      <c r="E313">
        <v>148</v>
      </c>
      <c r="F313">
        <v>39.4</v>
      </c>
      <c r="G313">
        <v>0.67200000000000004</v>
      </c>
      <c r="H313">
        <v>22</v>
      </c>
      <c r="I313">
        <v>0</v>
      </c>
    </row>
    <row r="314" spans="1:9" x14ac:dyDescent="0.25">
      <c r="A314">
        <v>2</v>
      </c>
      <c r="B314">
        <v>155</v>
      </c>
      <c r="C314">
        <v>74</v>
      </c>
      <c r="D314">
        <v>17</v>
      </c>
      <c r="E314">
        <v>96</v>
      </c>
      <c r="F314">
        <v>26.6</v>
      </c>
      <c r="G314">
        <v>0.67200000000000004</v>
      </c>
      <c r="H314">
        <v>27</v>
      </c>
      <c r="I314">
        <v>1</v>
      </c>
    </row>
    <row r="315" spans="1:9" x14ac:dyDescent="0.25">
      <c r="A315">
        <v>3</v>
      </c>
      <c r="B315">
        <v>113</v>
      </c>
      <c r="C315">
        <v>50</v>
      </c>
      <c r="D315">
        <v>10</v>
      </c>
      <c r="E315">
        <v>85</v>
      </c>
      <c r="F315">
        <v>29.5</v>
      </c>
      <c r="G315">
        <v>0.67200000000000004</v>
      </c>
      <c r="H315">
        <v>25</v>
      </c>
      <c r="I315">
        <v>0</v>
      </c>
    </row>
    <row r="316" spans="1:9" x14ac:dyDescent="0.25">
      <c r="A316">
        <v>7</v>
      </c>
      <c r="B316">
        <v>109</v>
      </c>
      <c r="C316">
        <v>80</v>
      </c>
      <c r="D316">
        <v>31</v>
      </c>
      <c r="E316">
        <v>80</v>
      </c>
      <c r="F316">
        <v>35.9</v>
      </c>
      <c r="G316">
        <v>0.67200000000000004</v>
      </c>
      <c r="H316">
        <v>43</v>
      </c>
      <c r="I316">
        <v>1</v>
      </c>
    </row>
    <row r="317" spans="1:9" x14ac:dyDescent="0.25">
      <c r="A317">
        <v>2</v>
      </c>
      <c r="B317">
        <v>112</v>
      </c>
      <c r="C317">
        <v>68</v>
      </c>
      <c r="D317">
        <v>22</v>
      </c>
      <c r="E317">
        <v>94</v>
      </c>
      <c r="F317">
        <v>34.1</v>
      </c>
      <c r="G317">
        <v>0.67200000000000004</v>
      </c>
      <c r="H317">
        <v>26</v>
      </c>
      <c r="I317">
        <v>0</v>
      </c>
    </row>
    <row r="318" spans="1:9" x14ac:dyDescent="0.25">
      <c r="A318">
        <v>3</v>
      </c>
      <c r="B318">
        <v>99</v>
      </c>
      <c r="C318">
        <v>80</v>
      </c>
      <c r="D318">
        <v>11</v>
      </c>
      <c r="E318">
        <v>64</v>
      </c>
      <c r="F318">
        <v>19.3</v>
      </c>
      <c r="G318">
        <v>0.67200000000000004</v>
      </c>
      <c r="H318">
        <v>30</v>
      </c>
      <c r="I318">
        <v>0</v>
      </c>
    </row>
    <row r="319" spans="1:9" x14ac:dyDescent="0.25">
      <c r="A319">
        <v>3</v>
      </c>
      <c r="B319">
        <v>182</v>
      </c>
      <c r="C319">
        <v>74</v>
      </c>
      <c r="D319">
        <v>21</v>
      </c>
      <c r="E319">
        <v>80</v>
      </c>
      <c r="F319">
        <v>30.5</v>
      </c>
      <c r="G319">
        <v>0.67200000000000004</v>
      </c>
      <c r="H319">
        <v>29</v>
      </c>
      <c r="I319">
        <v>1</v>
      </c>
    </row>
    <row r="320" spans="1:9" x14ac:dyDescent="0.25">
      <c r="A320">
        <v>3</v>
      </c>
      <c r="B320">
        <v>115</v>
      </c>
      <c r="C320">
        <v>66</v>
      </c>
      <c r="D320">
        <v>39</v>
      </c>
      <c r="E320">
        <v>140</v>
      </c>
      <c r="F320">
        <v>38.1</v>
      </c>
      <c r="G320">
        <v>0.67200000000000004</v>
      </c>
      <c r="H320">
        <v>28</v>
      </c>
      <c r="I320">
        <v>0</v>
      </c>
    </row>
    <row r="321" spans="1:9" x14ac:dyDescent="0.25">
      <c r="A321">
        <v>6</v>
      </c>
      <c r="B321">
        <v>194</v>
      </c>
      <c r="C321">
        <v>78</v>
      </c>
      <c r="D321">
        <v>21</v>
      </c>
      <c r="E321">
        <v>80</v>
      </c>
      <c r="F321">
        <v>23.5</v>
      </c>
      <c r="G321">
        <v>0.67200000000000004</v>
      </c>
      <c r="H321">
        <v>59</v>
      </c>
      <c r="I321">
        <v>1</v>
      </c>
    </row>
    <row r="322" spans="1:9" x14ac:dyDescent="0.25">
      <c r="A322">
        <v>4</v>
      </c>
      <c r="B322">
        <v>129</v>
      </c>
      <c r="C322">
        <v>60</v>
      </c>
      <c r="D322">
        <v>12</v>
      </c>
      <c r="E322">
        <v>231</v>
      </c>
      <c r="F322">
        <v>27.5</v>
      </c>
      <c r="G322">
        <v>0.67200000000000004</v>
      </c>
      <c r="H322">
        <v>31</v>
      </c>
      <c r="I322">
        <v>0</v>
      </c>
    </row>
    <row r="323" spans="1:9" x14ac:dyDescent="0.25">
      <c r="A323">
        <v>3</v>
      </c>
      <c r="B323">
        <v>112</v>
      </c>
      <c r="C323">
        <v>74</v>
      </c>
      <c r="D323">
        <v>30</v>
      </c>
      <c r="E323">
        <v>80</v>
      </c>
      <c r="F323">
        <v>31.6</v>
      </c>
      <c r="G323">
        <v>0.67200000000000004</v>
      </c>
      <c r="H323">
        <v>25</v>
      </c>
      <c r="I323">
        <v>1</v>
      </c>
    </row>
    <row r="324" spans="1:9" x14ac:dyDescent="0.25">
      <c r="A324">
        <v>4</v>
      </c>
      <c r="B324">
        <v>124</v>
      </c>
      <c r="C324">
        <v>70</v>
      </c>
      <c r="D324">
        <v>20</v>
      </c>
      <c r="E324">
        <v>80</v>
      </c>
      <c r="F324">
        <v>27.4</v>
      </c>
      <c r="G324">
        <v>0.67200000000000004</v>
      </c>
      <c r="H324">
        <v>36</v>
      </c>
      <c r="I324">
        <v>1</v>
      </c>
    </row>
    <row r="325" spans="1:9" x14ac:dyDescent="0.25">
      <c r="A325">
        <v>13</v>
      </c>
      <c r="B325">
        <v>152</v>
      </c>
      <c r="C325">
        <v>90</v>
      </c>
      <c r="D325">
        <v>33</v>
      </c>
      <c r="E325">
        <v>29</v>
      </c>
      <c r="F325">
        <v>26.8</v>
      </c>
      <c r="G325">
        <v>0.67200000000000004</v>
      </c>
      <c r="H325">
        <v>43</v>
      </c>
      <c r="I325">
        <v>1</v>
      </c>
    </row>
    <row r="326" spans="1:9" x14ac:dyDescent="0.25">
      <c r="A326">
        <v>2</v>
      </c>
      <c r="B326">
        <v>112</v>
      </c>
      <c r="C326">
        <v>75</v>
      </c>
      <c r="D326">
        <v>32</v>
      </c>
      <c r="E326">
        <v>80</v>
      </c>
      <c r="F326">
        <v>35.700000000000003</v>
      </c>
      <c r="G326">
        <v>0.67200000000000004</v>
      </c>
      <c r="H326">
        <v>21</v>
      </c>
      <c r="I326">
        <v>0</v>
      </c>
    </row>
    <row r="327" spans="1:9" x14ac:dyDescent="0.25">
      <c r="A327">
        <v>1</v>
      </c>
      <c r="B327">
        <v>157</v>
      </c>
      <c r="C327">
        <v>72</v>
      </c>
      <c r="D327">
        <v>21</v>
      </c>
      <c r="E327">
        <v>168</v>
      </c>
      <c r="F327">
        <v>25.6</v>
      </c>
      <c r="G327">
        <v>0.67200000000000004</v>
      </c>
      <c r="H327">
        <v>24</v>
      </c>
      <c r="I327">
        <v>0</v>
      </c>
    </row>
    <row r="328" spans="1:9" x14ac:dyDescent="0.25">
      <c r="A328">
        <v>1</v>
      </c>
      <c r="B328">
        <v>122</v>
      </c>
      <c r="C328">
        <v>64</v>
      </c>
      <c r="D328">
        <v>32</v>
      </c>
      <c r="E328">
        <v>156</v>
      </c>
      <c r="F328">
        <v>35.1</v>
      </c>
      <c r="G328">
        <v>0.67200000000000004</v>
      </c>
      <c r="H328">
        <v>30</v>
      </c>
      <c r="I328">
        <v>1</v>
      </c>
    </row>
    <row r="329" spans="1:9" x14ac:dyDescent="0.25">
      <c r="A329">
        <v>10</v>
      </c>
      <c r="B329">
        <v>179</v>
      </c>
      <c r="C329">
        <v>70</v>
      </c>
      <c r="D329">
        <v>21</v>
      </c>
      <c r="E329">
        <v>80</v>
      </c>
      <c r="F329">
        <v>35.1</v>
      </c>
      <c r="G329">
        <v>0.67200000000000004</v>
      </c>
      <c r="H329">
        <v>37</v>
      </c>
      <c r="I329">
        <v>0</v>
      </c>
    </row>
    <row r="330" spans="1:9" x14ac:dyDescent="0.25">
      <c r="A330">
        <v>2</v>
      </c>
      <c r="B330">
        <v>102</v>
      </c>
      <c r="C330">
        <v>86</v>
      </c>
      <c r="D330">
        <v>36</v>
      </c>
      <c r="E330">
        <v>120</v>
      </c>
      <c r="F330">
        <v>45.5</v>
      </c>
      <c r="G330">
        <v>0.67200000000000004</v>
      </c>
      <c r="H330">
        <v>23</v>
      </c>
      <c r="I330">
        <v>1</v>
      </c>
    </row>
    <row r="331" spans="1:9" x14ac:dyDescent="0.25">
      <c r="A331">
        <v>6</v>
      </c>
      <c r="B331">
        <v>105</v>
      </c>
      <c r="C331">
        <v>70</v>
      </c>
      <c r="D331">
        <v>32</v>
      </c>
      <c r="E331">
        <v>68</v>
      </c>
      <c r="F331">
        <v>30.8</v>
      </c>
      <c r="G331">
        <v>0.67200000000000004</v>
      </c>
      <c r="H331">
        <v>37</v>
      </c>
      <c r="I331">
        <v>0</v>
      </c>
    </row>
    <row r="332" spans="1:9" x14ac:dyDescent="0.25">
      <c r="A332">
        <v>8</v>
      </c>
      <c r="B332">
        <v>118</v>
      </c>
      <c r="C332">
        <v>72</v>
      </c>
      <c r="D332">
        <v>19</v>
      </c>
      <c r="E332">
        <v>80</v>
      </c>
      <c r="F332">
        <v>23.1</v>
      </c>
      <c r="G332">
        <v>0.67200000000000004</v>
      </c>
      <c r="H332">
        <v>46</v>
      </c>
      <c r="I332">
        <v>0</v>
      </c>
    </row>
    <row r="333" spans="1:9" x14ac:dyDescent="0.25">
      <c r="A333">
        <v>2</v>
      </c>
      <c r="B333">
        <v>87</v>
      </c>
      <c r="C333">
        <v>58</v>
      </c>
      <c r="D333">
        <v>16</v>
      </c>
      <c r="E333">
        <v>52</v>
      </c>
      <c r="F333">
        <v>32.700000000000003</v>
      </c>
      <c r="G333">
        <v>0.67200000000000004</v>
      </c>
      <c r="H333">
        <v>25</v>
      </c>
      <c r="I333">
        <v>0</v>
      </c>
    </row>
    <row r="334" spans="1:9" x14ac:dyDescent="0.25">
      <c r="A334">
        <v>1</v>
      </c>
      <c r="B334">
        <v>180</v>
      </c>
      <c r="C334">
        <v>69</v>
      </c>
      <c r="D334">
        <v>21</v>
      </c>
      <c r="E334">
        <v>80</v>
      </c>
      <c r="F334">
        <v>43.3</v>
      </c>
      <c r="G334">
        <v>0.67200000000000004</v>
      </c>
      <c r="H334">
        <v>41</v>
      </c>
      <c r="I334">
        <v>1</v>
      </c>
    </row>
    <row r="335" spans="1:9" x14ac:dyDescent="0.25">
      <c r="A335">
        <v>12</v>
      </c>
      <c r="B335">
        <v>106</v>
      </c>
      <c r="C335">
        <v>80</v>
      </c>
      <c r="D335">
        <v>21</v>
      </c>
      <c r="E335">
        <v>80</v>
      </c>
      <c r="F335">
        <v>23.6</v>
      </c>
      <c r="G335">
        <v>0.67200000000000004</v>
      </c>
      <c r="H335">
        <v>44</v>
      </c>
      <c r="I335">
        <v>0</v>
      </c>
    </row>
    <row r="336" spans="1:9" x14ac:dyDescent="0.25">
      <c r="A336">
        <v>1</v>
      </c>
      <c r="B336">
        <v>95</v>
      </c>
      <c r="C336">
        <v>60</v>
      </c>
      <c r="D336">
        <v>18</v>
      </c>
      <c r="E336">
        <v>58</v>
      </c>
      <c r="F336">
        <v>23.9</v>
      </c>
      <c r="G336">
        <v>0.67200000000000004</v>
      </c>
      <c r="H336">
        <v>22</v>
      </c>
      <c r="I336">
        <v>0</v>
      </c>
    </row>
    <row r="337" spans="1:9" x14ac:dyDescent="0.25">
      <c r="A337">
        <v>4</v>
      </c>
      <c r="B337">
        <v>165</v>
      </c>
      <c r="C337">
        <v>76</v>
      </c>
      <c r="D337">
        <v>43</v>
      </c>
      <c r="E337">
        <v>255</v>
      </c>
      <c r="F337">
        <v>47.9</v>
      </c>
      <c r="G337">
        <v>0.67200000000000004</v>
      </c>
      <c r="H337">
        <v>26</v>
      </c>
      <c r="I337">
        <v>0</v>
      </c>
    </row>
    <row r="338" spans="1:9" x14ac:dyDescent="0.25">
      <c r="A338">
        <v>4</v>
      </c>
      <c r="B338">
        <v>117</v>
      </c>
      <c r="C338">
        <v>69</v>
      </c>
      <c r="D338">
        <v>21</v>
      </c>
      <c r="E338">
        <v>80</v>
      </c>
      <c r="F338">
        <v>33.799999999999997</v>
      </c>
      <c r="G338">
        <v>0.67200000000000004</v>
      </c>
      <c r="H338">
        <v>44</v>
      </c>
      <c r="I338">
        <v>0</v>
      </c>
    </row>
    <row r="339" spans="1:9" x14ac:dyDescent="0.25">
      <c r="A339">
        <v>5</v>
      </c>
      <c r="B339">
        <v>115</v>
      </c>
      <c r="C339">
        <v>76</v>
      </c>
      <c r="D339">
        <v>21</v>
      </c>
      <c r="E339">
        <v>80</v>
      </c>
      <c r="F339">
        <v>31.2</v>
      </c>
      <c r="G339">
        <v>0.67200000000000004</v>
      </c>
      <c r="H339">
        <v>44</v>
      </c>
      <c r="I339">
        <v>1</v>
      </c>
    </row>
    <row r="340" spans="1:9" x14ac:dyDescent="0.25">
      <c r="A340">
        <v>9</v>
      </c>
      <c r="B340">
        <v>152</v>
      </c>
      <c r="C340">
        <v>78</v>
      </c>
      <c r="D340">
        <v>34</v>
      </c>
      <c r="E340">
        <v>171</v>
      </c>
      <c r="F340">
        <v>34.200000000000003</v>
      </c>
      <c r="G340">
        <v>0.67200000000000004</v>
      </c>
      <c r="H340">
        <v>33</v>
      </c>
      <c r="I340">
        <v>1</v>
      </c>
    </row>
    <row r="341" spans="1:9" x14ac:dyDescent="0.25">
      <c r="A341">
        <v>7</v>
      </c>
      <c r="B341">
        <v>178</v>
      </c>
      <c r="C341">
        <v>84</v>
      </c>
      <c r="D341">
        <v>21</v>
      </c>
      <c r="E341">
        <v>80</v>
      </c>
      <c r="F341">
        <v>39.9</v>
      </c>
      <c r="G341">
        <v>0.67200000000000004</v>
      </c>
      <c r="H341">
        <v>41</v>
      </c>
      <c r="I341">
        <v>1</v>
      </c>
    </row>
    <row r="342" spans="1:9" x14ac:dyDescent="0.25">
      <c r="A342">
        <v>1</v>
      </c>
      <c r="B342">
        <v>130</v>
      </c>
      <c r="C342">
        <v>70</v>
      </c>
      <c r="D342">
        <v>13</v>
      </c>
      <c r="E342">
        <v>105</v>
      </c>
      <c r="F342">
        <v>25.9</v>
      </c>
      <c r="G342">
        <v>0.67200000000000004</v>
      </c>
      <c r="H342">
        <v>22</v>
      </c>
      <c r="I342">
        <v>0</v>
      </c>
    </row>
    <row r="343" spans="1:9" x14ac:dyDescent="0.25">
      <c r="A343">
        <v>1</v>
      </c>
      <c r="B343">
        <v>95</v>
      </c>
      <c r="C343">
        <v>74</v>
      </c>
      <c r="D343">
        <v>21</v>
      </c>
      <c r="E343">
        <v>73</v>
      </c>
      <c r="F343">
        <v>25.9</v>
      </c>
      <c r="G343">
        <v>0.67200000000000004</v>
      </c>
      <c r="H343">
        <v>36</v>
      </c>
      <c r="I343">
        <v>0</v>
      </c>
    </row>
    <row r="344" spans="1:9" x14ac:dyDescent="0.25">
      <c r="A344">
        <v>1</v>
      </c>
      <c r="B344">
        <v>121</v>
      </c>
      <c r="C344">
        <v>68</v>
      </c>
      <c r="D344">
        <v>35</v>
      </c>
      <c r="E344">
        <v>80</v>
      </c>
      <c r="F344">
        <v>32</v>
      </c>
      <c r="G344">
        <v>0.67200000000000004</v>
      </c>
      <c r="H344">
        <v>22</v>
      </c>
      <c r="I344">
        <v>0</v>
      </c>
    </row>
    <row r="345" spans="1:9" x14ac:dyDescent="0.25">
      <c r="A345">
        <v>5</v>
      </c>
      <c r="B345">
        <v>122</v>
      </c>
      <c r="C345">
        <v>86</v>
      </c>
      <c r="D345">
        <v>21</v>
      </c>
      <c r="E345">
        <v>80</v>
      </c>
      <c r="F345">
        <v>34.700000000000003</v>
      </c>
      <c r="G345">
        <v>0.67200000000000004</v>
      </c>
      <c r="H345">
        <v>33</v>
      </c>
      <c r="I345">
        <v>0</v>
      </c>
    </row>
    <row r="346" spans="1:9" x14ac:dyDescent="0.25">
      <c r="A346">
        <v>8</v>
      </c>
      <c r="B346">
        <v>95</v>
      </c>
      <c r="C346">
        <v>72</v>
      </c>
      <c r="D346">
        <v>21</v>
      </c>
      <c r="E346">
        <v>80</v>
      </c>
      <c r="F346">
        <v>36.799999999999997</v>
      </c>
      <c r="G346">
        <v>0.67200000000000004</v>
      </c>
      <c r="H346">
        <v>57</v>
      </c>
      <c r="I346">
        <v>0</v>
      </c>
    </row>
    <row r="347" spans="1:9" x14ac:dyDescent="0.25">
      <c r="A347">
        <v>8</v>
      </c>
      <c r="B347">
        <v>126</v>
      </c>
      <c r="C347">
        <v>88</v>
      </c>
      <c r="D347">
        <v>36</v>
      </c>
      <c r="E347">
        <v>108</v>
      </c>
      <c r="F347">
        <v>38.5</v>
      </c>
      <c r="G347">
        <v>0.67200000000000004</v>
      </c>
      <c r="H347">
        <v>49</v>
      </c>
      <c r="I347">
        <v>0</v>
      </c>
    </row>
    <row r="348" spans="1:9" x14ac:dyDescent="0.25">
      <c r="A348">
        <v>1</v>
      </c>
      <c r="B348">
        <v>139</v>
      </c>
      <c r="C348">
        <v>46</v>
      </c>
      <c r="D348">
        <v>19</v>
      </c>
      <c r="E348">
        <v>83</v>
      </c>
      <c r="F348">
        <v>28.7</v>
      </c>
      <c r="G348">
        <v>0.67200000000000004</v>
      </c>
      <c r="H348">
        <v>22</v>
      </c>
      <c r="I348">
        <v>0</v>
      </c>
    </row>
    <row r="349" spans="1:9" x14ac:dyDescent="0.25">
      <c r="A349">
        <v>3</v>
      </c>
      <c r="B349">
        <v>116</v>
      </c>
      <c r="C349">
        <v>69</v>
      </c>
      <c r="D349">
        <v>21</v>
      </c>
      <c r="E349">
        <v>80</v>
      </c>
      <c r="F349">
        <v>23.5</v>
      </c>
      <c r="G349">
        <v>0.67200000000000004</v>
      </c>
      <c r="H349">
        <v>23</v>
      </c>
      <c r="I349">
        <v>0</v>
      </c>
    </row>
    <row r="350" spans="1:9" x14ac:dyDescent="0.25">
      <c r="A350">
        <v>3</v>
      </c>
      <c r="B350">
        <v>99</v>
      </c>
      <c r="C350">
        <v>62</v>
      </c>
      <c r="D350">
        <v>19</v>
      </c>
      <c r="E350">
        <v>74</v>
      </c>
      <c r="F350">
        <v>21.8</v>
      </c>
      <c r="G350">
        <v>0.67200000000000004</v>
      </c>
      <c r="H350">
        <v>26</v>
      </c>
      <c r="I350">
        <v>0</v>
      </c>
    </row>
    <row r="351" spans="1:9" x14ac:dyDescent="0.25">
      <c r="A351">
        <v>5</v>
      </c>
      <c r="B351">
        <v>121</v>
      </c>
      <c r="C351">
        <v>80</v>
      </c>
      <c r="D351">
        <v>32</v>
      </c>
      <c r="E351">
        <v>80</v>
      </c>
      <c r="F351">
        <v>41</v>
      </c>
      <c r="G351">
        <v>0.67200000000000004</v>
      </c>
      <c r="H351">
        <v>37</v>
      </c>
      <c r="I351">
        <v>1</v>
      </c>
    </row>
    <row r="352" spans="1:9" x14ac:dyDescent="0.25">
      <c r="A352">
        <v>4</v>
      </c>
      <c r="B352">
        <v>92</v>
      </c>
      <c r="C352">
        <v>80</v>
      </c>
      <c r="D352">
        <v>21</v>
      </c>
      <c r="E352">
        <v>80</v>
      </c>
      <c r="F352">
        <v>42.2</v>
      </c>
      <c r="G352">
        <v>0.67200000000000004</v>
      </c>
      <c r="H352">
        <v>29</v>
      </c>
      <c r="I352">
        <v>0</v>
      </c>
    </row>
    <row r="353" spans="1:9" x14ac:dyDescent="0.25">
      <c r="A353">
        <v>4</v>
      </c>
      <c r="B353">
        <v>137</v>
      </c>
      <c r="C353">
        <v>84</v>
      </c>
      <c r="D353">
        <v>21</v>
      </c>
      <c r="E353">
        <v>80</v>
      </c>
      <c r="F353">
        <v>31.2</v>
      </c>
      <c r="G353">
        <v>0.67200000000000004</v>
      </c>
      <c r="H353">
        <v>30</v>
      </c>
      <c r="I353">
        <v>0</v>
      </c>
    </row>
    <row r="354" spans="1:9" x14ac:dyDescent="0.25">
      <c r="A354">
        <v>3</v>
      </c>
      <c r="B354">
        <v>61</v>
      </c>
      <c r="C354">
        <v>82</v>
      </c>
      <c r="D354">
        <v>28</v>
      </c>
      <c r="E354">
        <v>80</v>
      </c>
      <c r="F354">
        <v>34.4</v>
      </c>
      <c r="G354">
        <v>0.67200000000000004</v>
      </c>
      <c r="H354">
        <v>46</v>
      </c>
      <c r="I354">
        <v>0</v>
      </c>
    </row>
    <row r="355" spans="1:9" x14ac:dyDescent="0.25">
      <c r="A355">
        <v>1</v>
      </c>
      <c r="B355">
        <v>90</v>
      </c>
      <c r="C355">
        <v>62</v>
      </c>
      <c r="D355">
        <v>12</v>
      </c>
      <c r="E355">
        <v>43</v>
      </c>
      <c r="F355">
        <v>27.2</v>
      </c>
      <c r="G355">
        <v>0.67200000000000004</v>
      </c>
      <c r="H355">
        <v>24</v>
      </c>
      <c r="I355">
        <v>0</v>
      </c>
    </row>
    <row r="356" spans="1:9" x14ac:dyDescent="0.25">
      <c r="A356">
        <v>3</v>
      </c>
      <c r="B356">
        <v>90</v>
      </c>
      <c r="C356">
        <v>78</v>
      </c>
      <c r="D356">
        <v>21</v>
      </c>
      <c r="E356">
        <v>80</v>
      </c>
      <c r="F356">
        <v>42.7</v>
      </c>
      <c r="G356">
        <v>0.67200000000000004</v>
      </c>
      <c r="H356">
        <v>21</v>
      </c>
      <c r="I356">
        <v>0</v>
      </c>
    </row>
    <row r="357" spans="1:9" x14ac:dyDescent="0.25">
      <c r="A357">
        <v>9</v>
      </c>
      <c r="B357">
        <v>165</v>
      </c>
      <c r="C357">
        <v>88</v>
      </c>
      <c r="D357">
        <v>21</v>
      </c>
      <c r="E357">
        <v>80</v>
      </c>
      <c r="F357">
        <v>30.4</v>
      </c>
      <c r="G357">
        <v>0.67200000000000004</v>
      </c>
      <c r="H357">
        <v>49</v>
      </c>
      <c r="I357">
        <v>1</v>
      </c>
    </row>
    <row r="358" spans="1:9" x14ac:dyDescent="0.25">
      <c r="A358">
        <v>1</v>
      </c>
      <c r="B358">
        <v>125</v>
      </c>
      <c r="C358">
        <v>50</v>
      </c>
      <c r="D358">
        <v>40</v>
      </c>
      <c r="E358">
        <v>167</v>
      </c>
      <c r="F358">
        <v>33.299999999999997</v>
      </c>
      <c r="G358">
        <v>0.67200000000000004</v>
      </c>
      <c r="H358">
        <v>28</v>
      </c>
      <c r="I358">
        <v>1</v>
      </c>
    </row>
    <row r="359" spans="1:9" x14ac:dyDescent="0.25">
      <c r="A359">
        <v>13</v>
      </c>
      <c r="B359">
        <v>129</v>
      </c>
      <c r="C359">
        <v>69</v>
      </c>
      <c r="D359">
        <v>30</v>
      </c>
      <c r="E359">
        <v>80</v>
      </c>
      <c r="F359">
        <v>39.9</v>
      </c>
      <c r="G359">
        <v>0.67200000000000004</v>
      </c>
      <c r="H359">
        <v>44</v>
      </c>
      <c r="I359">
        <v>1</v>
      </c>
    </row>
    <row r="360" spans="1:9" x14ac:dyDescent="0.25">
      <c r="A360">
        <v>12</v>
      </c>
      <c r="B360">
        <v>88</v>
      </c>
      <c r="C360">
        <v>74</v>
      </c>
      <c r="D360">
        <v>40</v>
      </c>
      <c r="E360">
        <v>54</v>
      </c>
      <c r="F360">
        <v>35.299999999999997</v>
      </c>
      <c r="G360">
        <v>0.67200000000000004</v>
      </c>
      <c r="H360">
        <v>48</v>
      </c>
      <c r="I360">
        <v>0</v>
      </c>
    </row>
    <row r="361" spans="1:9" x14ac:dyDescent="0.25">
      <c r="A361">
        <v>1</v>
      </c>
      <c r="B361">
        <v>196</v>
      </c>
      <c r="C361">
        <v>76</v>
      </c>
      <c r="D361">
        <v>36</v>
      </c>
      <c r="E361">
        <v>249</v>
      </c>
      <c r="F361">
        <v>36.5</v>
      </c>
      <c r="G361">
        <v>0.67200000000000004</v>
      </c>
      <c r="H361">
        <v>29</v>
      </c>
      <c r="I361">
        <v>1</v>
      </c>
    </row>
    <row r="362" spans="1:9" x14ac:dyDescent="0.25">
      <c r="A362">
        <v>5</v>
      </c>
      <c r="B362">
        <v>189</v>
      </c>
      <c r="C362">
        <v>64</v>
      </c>
      <c r="D362">
        <v>33</v>
      </c>
      <c r="E362">
        <v>325</v>
      </c>
      <c r="F362">
        <v>31.2</v>
      </c>
      <c r="G362">
        <v>0.67200000000000004</v>
      </c>
      <c r="H362">
        <v>29</v>
      </c>
      <c r="I362">
        <v>1</v>
      </c>
    </row>
    <row r="363" spans="1:9" x14ac:dyDescent="0.25">
      <c r="A363">
        <v>5</v>
      </c>
      <c r="B363">
        <v>158</v>
      </c>
      <c r="C363">
        <v>70</v>
      </c>
      <c r="D363">
        <v>21</v>
      </c>
      <c r="E363">
        <v>80</v>
      </c>
      <c r="F363">
        <v>29.8</v>
      </c>
      <c r="G363">
        <v>0.67200000000000004</v>
      </c>
      <c r="H363">
        <v>63</v>
      </c>
      <c r="I363">
        <v>0</v>
      </c>
    </row>
    <row r="364" spans="1:9" x14ac:dyDescent="0.25">
      <c r="A364">
        <v>5</v>
      </c>
      <c r="B364">
        <v>103</v>
      </c>
      <c r="C364">
        <v>108</v>
      </c>
      <c r="D364">
        <v>37</v>
      </c>
      <c r="E364">
        <v>80</v>
      </c>
      <c r="F364">
        <v>39.200000000000003</v>
      </c>
      <c r="G364">
        <v>0.67200000000000004</v>
      </c>
      <c r="H364">
        <v>65</v>
      </c>
      <c r="I364">
        <v>0</v>
      </c>
    </row>
    <row r="365" spans="1:9" x14ac:dyDescent="0.25">
      <c r="A365">
        <v>4</v>
      </c>
      <c r="B365">
        <v>146</v>
      </c>
      <c r="C365">
        <v>78</v>
      </c>
      <c r="D365">
        <v>21</v>
      </c>
      <c r="E365">
        <v>80</v>
      </c>
      <c r="F365">
        <v>38.5</v>
      </c>
      <c r="G365">
        <v>0.67200000000000004</v>
      </c>
      <c r="H365">
        <v>67</v>
      </c>
      <c r="I365">
        <v>1</v>
      </c>
    </row>
    <row r="366" spans="1:9" x14ac:dyDescent="0.25">
      <c r="A366">
        <v>4</v>
      </c>
      <c r="B366">
        <v>147</v>
      </c>
      <c r="C366">
        <v>74</v>
      </c>
      <c r="D366">
        <v>25</v>
      </c>
      <c r="E366">
        <v>293</v>
      </c>
      <c r="F366">
        <v>34.9</v>
      </c>
      <c r="G366">
        <v>0.67200000000000004</v>
      </c>
      <c r="H366">
        <v>30</v>
      </c>
      <c r="I366">
        <v>0</v>
      </c>
    </row>
    <row r="367" spans="1:9" x14ac:dyDescent="0.25">
      <c r="A367">
        <v>5</v>
      </c>
      <c r="B367">
        <v>99</v>
      </c>
      <c r="C367">
        <v>54</v>
      </c>
      <c r="D367">
        <v>28</v>
      </c>
      <c r="E367">
        <v>83</v>
      </c>
      <c r="F367">
        <v>34</v>
      </c>
      <c r="G367">
        <v>0.67200000000000004</v>
      </c>
      <c r="H367">
        <v>30</v>
      </c>
      <c r="I367">
        <v>0</v>
      </c>
    </row>
    <row r="368" spans="1:9" x14ac:dyDescent="0.25">
      <c r="A368">
        <v>6</v>
      </c>
      <c r="B368">
        <v>124</v>
      </c>
      <c r="C368">
        <v>72</v>
      </c>
      <c r="D368">
        <v>21</v>
      </c>
      <c r="E368">
        <v>80</v>
      </c>
      <c r="F368">
        <v>27.6</v>
      </c>
      <c r="G368">
        <v>0.67200000000000004</v>
      </c>
      <c r="H368">
        <v>29</v>
      </c>
      <c r="I368">
        <v>1</v>
      </c>
    </row>
    <row r="369" spans="1:9" x14ac:dyDescent="0.25">
      <c r="A369">
        <v>4</v>
      </c>
      <c r="B369">
        <v>101</v>
      </c>
      <c r="C369">
        <v>64</v>
      </c>
      <c r="D369">
        <v>17</v>
      </c>
      <c r="E369">
        <v>80</v>
      </c>
      <c r="F369">
        <v>21</v>
      </c>
      <c r="G369">
        <v>0.67200000000000004</v>
      </c>
      <c r="H369">
        <v>21</v>
      </c>
      <c r="I369">
        <v>0</v>
      </c>
    </row>
    <row r="370" spans="1:9" x14ac:dyDescent="0.25">
      <c r="A370">
        <v>3</v>
      </c>
      <c r="B370">
        <v>81</v>
      </c>
      <c r="C370">
        <v>86</v>
      </c>
      <c r="D370">
        <v>16</v>
      </c>
      <c r="E370">
        <v>66</v>
      </c>
      <c r="F370">
        <v>27.5</v>
      </c>
      <c r="G370">
        <v>0.67200000000000004</v>
      </c>
      <c r="H370">
        <v>22</v>
      </c>
      <c r="I370">
        <v>0</v>
      </c>
    </row>
    <row r="371" spans="1:9" x14ac:dyDescent="0.25">
      <c r="A371">
        <v>1</v>
      </c>
      <c r="B371">
        <v>133</v>
      </c>
      <c r="C371">
        <v>102</v>
      </c>
      <c r="D371">
        <v>28</v>
      </c>
      <c r="E371">
        <v>140</v>
      </c>
      <c r="F371">
        <v>32.799999999999997</v>
      </c>
      <c r="G371">
        <v>0.67200000000000004</v>
      </c>
      <c r="H371">
        <v>45</v>
      </c>
      <c r="I371">
        <v>1</v>
      </c>
    </row>
    <row r="372" spans="1:9" x14ac:dyDescent="0.25">
      <c r="A372">
        <v>3</v>
      </c>
      <c r="B372">
        <v>173</v>
      </c>
      <c r="C372">
        <v>82</v>
      </c>
      <c r="D372">
        <v>48</v>
      </c>
      <c r="E372">
        <v>465</v>
      </c>
      <c r="F372">
        <v>38.4</v>
      </c>
      <c r="G372">
        <v>0.67200000000000004</v>
      </c>
      <c r="H372">
        <v>25</v>
      </c>
      <c r="I372">
        <v>1</v>
      </c>
    </row>
    <row r="373" spans="1:9" x14ac:dyDescent="0.25">
      <c r="A373">
        <v>4</v>
      </c>
      <c r="B373">
        <v>118</v>
      </c>
      <c r="C373">
        <v>64</v>
      </c>
      <c r="D373">
        <v>23</v>
      </c>
      <c r="E373">
        <v>89</v>
      </c>
      <c r="F373">
        <v>32</v>
      </c>
      <c r="G373">
        <v>0.67200000000000004</v>
      </c>
      <c r="H373">
        <v>21</v>
      </c>
      <c r="I373">
        <v>0</v>
      </c>
    </row>
    <row r="374" spans="1:9" x14ac:dyDescent="0.25">
      <c r="A374">
        <v>4</v>
      </c>
      <c r="B374">
        <v>84</v>
      </c>
      <c r="C374">
        <v>64</v>
      </c>
      <c r="D374">
        <v>22</v>
      </c>
      <c r="E374">
        <v>66</v>
      </c>
      <c r="F374">
        <v>35.799999999999997</v>
      </c>
      <c r="G374">
        <v>0.67200000000000004</v>
      </c>
      <c r="H374">
        <v>21</v>
      </c>
      <c r="I374">
        <v>0</v>
      </c>
    </row>
    <row r="375" spans="1:9" x14ac:dyDescent="0.25">
      <c r="A375">
        <v>2</v>
      </c>
      <c r="B375">
        <v>105</v>
      </c>
      <c r="C375">
        <v>58</v>
      </c>
      <c r="D375">
        <v>40</v>
      </c>
      <c r="E375">
        <v>94</v>
      </c>
      <c r="F375">
        <v>34.9</v>
      </c>
      <c r="G375">
        <v>0.67200000000000004</v>
      </c>
      <c r="H375">
        <v>25</v>
      </c>
      <c r="I375">
        <v>0</v>
      </c>
    </row>
    <row r="376" spans="1:9" x14ac:dyDescent="0.25">
      <c r="A376">
        <v>2</v>
      </c>
      <c r="B376">
        <v>122</v>
      </c>
      <c r="C376">
        <v>52</v>
      </c>
      <c r="D376">
        <v>43</v>
      </c>
      <c r="E376">
        <v>158</v>
      </c>
      <c r="F376">
        <v>36.200000000000003</v>
      </c>
      <c r="G376">
        <v>0.67200000000000004</v>
      </c>
      <c r="H376">
        <v>28</v>
      </c>
      <c r="I376">
        <v>0</v>
      </c>
    </row>
    <row r="377" spans="1:9" x14ac:dyDescent="0.25">
      <c r="A377">
        <v>12</v>
      </c>
      <c r="B377">
        <v>140</v>
      </c>
      <c r="C377">
        <v>82</v>
      </c>
      <c r="D377">
        <v>43</v>
      </c>
      <c r="E377">
        <v>325</v>
      </c>
      <c r="F377">
        <v>39.200000000000003</v>
      </c>
      <c r="G377">
        <v>0.67200000000000004</v>
      </c>
      <c r="H377">
        <v>58</v>
      </c>
      <c r="I377">
        <v>1</v>
      </c>
    </row>
    <row r="378" spans="1:9" x14ac:dyDescent="0.25">
      <c r="A378">
        <v>4</v>
      </c>
      <c r="B378">
        <v>98</v>
      </c>
      <c r="C378">
        <v>82</v>
      </c>
      <c r="D378">
        <v>15</v>
      </c>
      <c r="E378">
        <v>84</v>
      </c>
      <c r="F378">
        <v>25.2</v>
      </c>
      <c r="G378">
        <v>0.67200000000000004</v>
      </c>
      <c r="H378">
        <v>22</v>
      </c>
      <c r="I378">
        <v>0</v>
      </c>
    </row>
    <row r="379" spans="1:9" x14ac:dyDescent="0.25">
      <c r="A379">
        <v>1</v>
      </c>
      <c r="B379">
        <v>87</v>
      </c>
      <c r="C379">
        <v>60</v>
      </c>
      <c r="D379">
        <v>37</v>
      </c>
      <c r="E379">
        <v>75</v>
      </c>
      <c r="F379">
        <v>37.200000000000003</v>
      </c>
      <c r="G379">
        <v>0.67200000000000004</v>
      </c>
      <c r="H379">
        <v>22</v>
      </c>
      <c r="I379">
        <v>0</v>
      </c>
    </row>
    <row r="380" spans="1:9" x14ac:dyDescent="0.25">
      <c r="A380">
        <v>4</v>
      </c>
      <c r="B380">
        <v>156</v>
      </c>
      <c r="C380">
        <v>75</v>
      </c>
      <c r="D380">
        <v>21</v>
      </c>
      <c r="E380">
        <v>80</v>
      </c>
      <c r="F380">
        <v>48.3</v>
      </c>
      <c r="G380">
        <v>0.67200000000000004</v>
      </c>
      <c r="H380">
        <v>32</v>
      </c>
      <c r="I380">
        <v>1</v>
      </c>
    </row>
    <row r="381" spans="1:9" x14ac:dyDescent="0.25">
      <c r="A381">
        <v>4</v>
      </c>
      <c r="B381">
        <v>93</v>
      </c>
      <c r="C381">
        <v>100</v>
      </c>
      <c r="D381">
        <v>39</v>
      </c>
      <c r="E381">
        <v>72</v>
      </c>
      <c r="F381">
        <v>43.4</v>
      </c>
      <c r="G381">
        <v>0.67200000000000004</v>
      </c>
      <c r="H381">
        <v>35</v>
      </c>
      <c r="I381">
        <v>0</v>
      </c>
    </row>
    <row r="382" spans="1:9" x14ac:dyDescent="0.25">
      <c r="A382">
        <v>1</v>
      </c>
      <c r="B382">
        <v>107</v>
      </c>
      <c r="C382">
        <v>72</v>
      </c>
      <c r="D382">
        <v>30</v>
      </c>
      <c r="E382">
        <v>82</v>
      </c>
      <c r="F382">
        <v>30.8</v>
      </c>
      <c r="G382">
        <v>0.67200000000000004</v>
      </c>
      <c r="H382">
        <v>24</v>
      </c>
      <c r="I382">
        <v>0</v>
      </c>
    </row>
    <row r="383" spans="1:9" x14ac:dyDescent="0.25">
      <c r="A383">
        <v>4</v>
      </c>
      <c r="B383">
        <v>105</v>
      </c>
      <c r="C383">
        <v>68</v>
      </c>
      <c r="D383">
        <v>22</v>
      </c>
      <c r="E383">
        <v>80</v>
      </c>
      <c r="F383">
        <v>20</v>
      </c>
      <c r="G383">
        <v>0.67200000000000004</v>
      </c>
      <c r="H383">
        <v>22</v>
      </c>
      <c r="I383">
        <v>0</v>
      </c>
    </row>
    <row r="384" spans="1:9" x14ac:dyDescent="0.25">
      <c r="A384">
        <v>1</v>
      </c>
      <c r="B384">
        <v>109</v>
      </c>
      <c r="C384">
        <v>60</v>
      </c>
      <c r="D384">
        <v>8</v>
      </c>
      <c r="E384">
        <v>182</v>
      </c>
      <c r="F384">
        <v>25.4</v>
      </c>
      <c r="G384">
        <v>0.67200000000000004</v>
      </c>
      <c r="H384">
        <v>21</v>
      </c>
      <c r="I384">
        <v>0</v>
      </c>
    </row>
    <row r="385" spans="1:9" x14ac:dyDescent="0.25">
      <c r="A385">
        <v>1</v>
      </c>
      <c r="B385">
        <v>90</v>
      </c>
      <c r="C385">
        <v>62</v>
      </c>
      <c r="D385">
        <v>18</v>
      </c>
      <c r="E385">
        <v>59</v>
      </c>
      <c r="F385">
        <v>25.1</v>
      </c>
      <c r="G385">
        <v>0.67200000000000004</v>
      </c>
      <c r="H385">
        <v>25</v>
      </c>
      <c r="I385">
        <v>0</v>
      </c>
    </row>
    <row r="386" spans="1:9" x14ac:dyDescent="0.25">
      <c r="A386">
        <v>1</v>
      </c>
      <c r="B386">
        <v>125</v>
      </c>
      <c r="C386">
        <v>70</v>
      </c>
      <c r="D386">
        <v>24</v>
      </c>
      <c r="E386">
        <v>110</v>
      </c>
      <c r="F386">
        <v>24.3</v>
      </c>
      <c r="G386">
        <v>0.67200000000000004</v>
      </c>
      <c r="H386">
        <v>25</v>
      </c>
      <c r="I386">
        <v>0</v>
      </c>
    </row>
    <row r="387" spans="1:9" x14ac:dyDescent="0.25">
      <c r="A387">
        <v>1</v>
      </c>
      <c r="B387">
        <v>119</v>
      </c>
      <c r="C387">
        <v>54</v>
      </c>
      <c r="D387">
        <v>13</v>
      </c>
      <c r="E387">
        <v>50</v>
      </c>
      <c r="F387">
        <v>22.3</v>
      </c>
      <c r="G387">
        <v>0.67200000000000004</v>
      </c>
      <c r="H387">
        <v>24</v>
      </c>
      <c r="I387">
        <v>0</v>
      </c>
    </row>
    <row r="388" spans="1:9" x14ac:dyDescent="0.25">
      <c r="A388">
        <v>5</v>
      </c>
      <c r="B388">
        <v>116</v>
      </c>
      <c r="C388">
        <v>74</v>
      </c>
      <c r="D388">
        <v>29</v>
      </c>
      <c r="E388">
        <v>80</v>
      </c>
      <c r="F388">
        <v>32.299999999999997</v>
      </c>
      <c r="G388">
        <v>0.67200000000000004</v>
      </c>
      <c r="H388">
        <v>35</v>
      </c>
      <c r="I388">
        <v>1</v>
      </c>
    </row>
    <row r="389" spans="1:9" x14ac:dyDescent="0.25">
      <c r="A389">
        <v>8</v>
      </c>
      <c r="B389">
        <v>105</v>
      </c>
      <c r="C389">
        <v>100</v>
      </c>
      <c r="D389">
        <v>36</v>
      </c>
      <c r="E389">
        <v>80</v>
      </c>
      <c r="F389">
        <v>43.3</v>
      </c>
      <c r="G389">
        <v>0.67200000000000004</v>
      </c>
      <c r="H389">
        <v>45</v>
      </c>
      <c r="I389">
        <v>1</v>
      </c>
    </row>
    <row r="390" spans="1:9" x14ac:dyDescent="0.25">
      <c r="A390">
        <v>5</v>
      </c>
      <c r="B390">
        <v>144</v>
      </c>
      <c r="C390">
        <v>82</v>
      </c>
      <c r="D390">
        <v>26</v>
      </c>
      <c r="E390">
        <v>285</v>
      </c>
      <c r="F390">
        <v>32</v>
      </c>
      <c r="G390">
        <v>0.67200000000000004</v>
      </c>
      <c r="H390">
        <v>58</v>
      </c>
      <c r="I390">
        <v>1</v>
      </c>
    </row>
    <row r="391" spans="1:9" x14ac:dyDescent="0.25">
      <c r="A391">
        <v>3</v>
      </c>
      <c r="B391">
        <v>100</v>
      </c>
      <c r="C391">
        <v>68</v>
      </c>
      <c r="D391">
        <v>23</v>
      </c>
      <c r="E391">
        <v>81</v>
      </c>
      <c r="F391">
        <v>31.6</v>
      </c>
      <c r="G391">
        <v>0.67200000000000004</v>
      </c>
      <c r="H391">
        <v>28</v>
      </c>
      <c r="I391">
        <v>0</v>
      </c>
    </row>
    <row r="392" spans="1:9" x14ac:dyDescent="0.25">
      <c r="A392">
        <v>1</v>
      </c>
      <c r="B392">
        <v>100</v>
      </c>
      <c r="C392">
        <v>66</v>
      </c>
      <c r="D392">
        <v>29</v>
      </c>
      <c r="E392">
        <v>196</v>
      </c>
      <c r="F392">
        <v>32</v>
      </c>
      <c r="G392">
        <v>0.67200000000000004</v>
      </c>
      <c r="H392">
        <v>42</v>
      </c>
      <c r="I392">
        <v>0</v>
      </c>
    </row>
    <row r="393" spans="1:9" x14ac:dyDescent="0.25">
      <c r="A393">
        <v>5</v>
      </c>
      <c r="B393">
        <v>166</v>
      </c>
      <c r="C393">
        <v>76</v>
      </c>
      <c r="D393">
        <v>21</v>
      </c>
      <c r="E393">
        <v>80</v>
      </c>
      <c r="F393">
        <v>45.7</v>
      </c>
      <c r="G393">
        <v>0.67200000000000004</v>
      </c>
      <c r="H393">
        <v>27</v>
      </c>
      <c r="I393">
        <v>1</v>
      </c>
    </row>
    <row r="394" spans="1:9" x14ac:dyDescent="0.25">
      <c r="A394">
        <v>1</v>
      </c>
      <c r="B394">
        <v>131</v>
      </c>
      <c r="C394">
        <v>64</v>
      </c>
      <c r="D394">
        <v>14</v>
      </c>
      <c r="E394">
        <v>415</v>
      </c>
      <c r="F394">
        <v>23.7</v>
      </c>
      <c r="G394">
        <v>0.67200000000000004</v>
      </c>
      <c r="H394">
        <v>21</v>
      </c>
      <c r="I394">
        <v>0</v>
      </c>
    </row>
    <row r="395" spans="1:9" x14ac:dyDescent="0.25">
      <c r="A395">
        <v>4</v>
      </c>
      <c r="B395">
        <v>116</v>
      </c>
      <c r="C395">
        <v>72</v>
      </c>
      <c r="D395">
        <v>12</v>
      </c>
      <c r="E395">
        <v>87</v>
      </c>
      <c r="F395">
        <v>22.1</v>
      </c>
      <c r="G395">
        <v>0.67200000000000004</v>
      </c>
      <c r="H395">
        <v>37</v>
      </c>
      <c r="I395">
        <v>0</v>
      </c>
    </row>
    <row r="396" spans="1:9" x14ac:dyDescent="0.25">
      <c r="A396">
        <v>4</v>
      </c>
      <c r="B396">
        <v>158</v>
      </c>
      <c r="C396">
        <v>78</v>
      </c>
      <c r="D396">
        <v>21</v>
      </c>
      <c r="E396">
        <v>80</v>
      </c>
      <c r="F396">
        <v>32.9</v>
      </c>
      <c r="G396">
        <v>0.67200000000000004</v>
      </c>
      <c r="H396">
        <v>31</v>
      </c>
      <c r="I396">
        <v>1</v>
      </c>
    </row>
    <row r="397" spans="1:9" x14ac:dyDescent="0.25">
      <c r="A397">
        <v>2</v>
      </c>
      <c r="B397">
        <v>127</v>
      </c>
      <c r="C397">
        <v>58</v>
      </c>
      <c r="D397">
        <v>24</v>
      </c>
      <c r="E397">
        <v>275</v>
      </c>
      <c r="F397">
        <v>27.7</v>
      </c>
      <c r="G397">
        <v>0.67200000000000004</v>
      </c>
      <c r="H397">
        <v>25</v>
      </c>
      <c r="I397">
        <v>0</v>
      </c>
    </row>
    <row r="398" spans="1:9" x14ac:dyDescent="0.25">
      <c r="A398">
        <v>3</v>
      </c>
      <c r="B398">
        <v>96</v>
      </c>
      <c r="C398">
        <v>56</v>
      </c>
      <c r="D398">
        <v>34</v>
      </c>
      <c r="E398">
        <v>115</v>
      </c>
      <c r="F398">
        <v>24.7</v>
      </c>
      <c r="G398">
        <v>0.67200000000000004</v>
      </c>
      <c r="H398">
        <v>39</v>
      </c>
      <c r="I398">
        <v>0</v>
      </c>
    </row>
    <row r="399" spans="1:9" x14ac:dyDescent="0.25">
      <c r="A399">
        <v>4</v>
      </c>
      <c r="B399">
        <v>131</v>
      </c>
      <c r="C399">
        <v>66</v>
      </c>
      <c r="D399">
        <v>40</v>
      </c>
      <c r="E399">
        <v>80</v>
      </c>
      <c r="F399">
        <v>34.299999999999997</v>
      </c>
      <c r="G399">
        <v>0.67200000000000004</v>
      </c>
      <c r="H399">
        <v>22</v>
      </c>
      <c r="I399">
        <v>1</v>
      </c>
    </row>
    <row r="400" spans="1:9" x14ac:dyDescent="0.25">
      <c r="A400">
        <v>3</v>
      </c>
      <c r="B400">
        <v>82</v>
      </c>
      <c r="C400">
        <v>70</v>
      </c>
      <c r="D400">
        <v>21</v>
      </c>
      <c r="E400">
        <v>80</v>
      </c>
      <c r="F400">
        <v>21.1</v>
      </c>
      <c r="G400">
        <v>0.67200000000000004</v>
      </c>
      <c r="H400">
        <v>25</v>
      </c>
      <c r="I400">
        <v>0</v>
      </c>
    </row>
    <row r="401" spans="1:9" x14ac:dyDescent="0.25">
      <c r="A401">
        <v>3</v>
      </c>
      <c r="B401">
        <v>193</v>
      </c>
      <c r="C401">
        <v>70</v>
      </c>
      <c r="D401">
        <v>31</v>
      </c>
      <c r="E401">
        <v>80</v>
      </c>
      <c r="F401">
        <v>34.9</v>
      </c>
      <c r="G401">
        <v>0.67200000000000004</v>
      </c>
      <c r="H401">
        <v>25</v>
      </c>
      <c r="I401">
        <v>1</v>
      </c>
    </row>
    <row r="402" spans="1:9" x14ac:dyDescent="0.25">
      <c r="A402">
        <v>4</v>
      </c>
      <c r="B402">
        <v>95</v>
      </c>
      <c r="C402">
        <v>64</v>
      </c>
      <c r="D402">
        <v>21</v>
      </c>
      <c r="E402">
        <v>80</v>
      </c>
      <c r="F402">
        <v>32</v>
      </c>
      <c r="G402">
        <v>0.67200000000000004</v>
      </c>
      <c r="H402">
        <v>31</v>
      </c>
      <c r="I402">
        <v>1</v>
      </c>
    </row>
    <row r="403" spans="1:9" x14ac:dyDescent="0.25">
      <c r="A403">
        <v>6</v>
      </c>
      <c r="B403">
        <v>137</v>
      </c>
      <c r="C403">
        <v>61</v>
      </c>
      <c r="D403">
        <v>21</v>
      </c>
      <c r="E403">
        <v>80</v>
      </c>
      <c r="F403">
        <v>24.2</v>
      </c>
      <c r="G403">
        <v>0.67200000000000004</v>
      </c>
      <c r="H403">
        <v>55</v>
      </c>
      <c r="I403">
        <v>0</v>
      </c>
    </row>
    <row r="404" spans="1:9" x14ac:dyDescent="0.25">
      <c r="A404">
        <v>5</v>
      </c>
      <c r="B404">
        <v>136</v>
      </c>
      <c r="C404">
        <v>84</v>
      </c>
      <c r="D404">
        <v>41</v>
      </c>
      <c r="E404">
        <v>88</v>
      </c>
      <c r="F404">
        <v>35</v>
      </c>
      <c r="G404">
        <v>0.67200000000000004</v>
      </c>
      <c r="H404">
        <v>35</v>
      </c>
      <c r="I404">
        <v>1</v>
      </c>
    </row>
    <row r="405" spans="1:9" x14ac:dyDescent="0.25">
      <c r="A405">
        <v>9</v>
      </c>
      <c r="B405">
        <v>72</v>
      </c>
      <c r="C405">
        <v>78</v>
      </c>
      <c r="D405">
        <v>25</v>
      </c>
      <c r="E405">
        <v>80</v>
      </c>
      <c r="F405">
        <v>31.6</v>
      </c>
      <c r="G405">
        <v>0.67200000000000004</v>
      </c>
      <c r="H405">
        <v>38</v>
      </c>
      <c r="I405">
        <v>0</v>
      </c>
    </row>
    <row r="406" spans="1:9" x14ac:dyDescent="0.25">
      <c r="A406">
        <v>5</v>
      </c>
      <c r="B406">
        <v>168</v>
      </c>
      <c r="C406">
        <v>64</v>
      </c>
      <c r="D406">
        <v>21</v>
      </c>
      <c r="E406">
        <v>80</v>
      </c>
      <c r="F406">
        <v>32.9</v>
      </c>
      <c r="G406">
        <v>0.67200000000000004</v>
      </c>
      <c r="H406">
        <v>41</v>
      </c>
      <c r="I406">
        <v>1</v>
      </c>
    </row>
    <row r="407" spans="1:9" x14ac:dyDescent="0.25">
      <c r="A407">
        <v>2</v>
      </c>
      <c r="B407">
        <v>123</v>
      </c>
      <c r="C407">
        <v>48</v>
      </c>
      <c r="D407">
        <v>32</v>
      </c>
      <c r="E407">
        <v>165</v>
      </c>
      <c r="F407">
        <v>42.1</v>
      </c>
      <c r="G407">
        <v>0.67200000000000004</v>
      </c>
      <c r="H407">
        <v>26</v>
      </c>
      <c r="I407">
        <v>0</v>
      </c>
    </row>
    <row r="408" spans="1:9" x14ac:dyDescent="0.25">
      <c r="A408">
        <v>4</v>
      </c>
      <c r="B408">
        <v>115</v>
      </c>
      <c r="C408">
        <v>72</v>
      </c>
      <c r="D408">
        <v>21</v>
      </c>
      <c r="E408">
        <v>80</v>
      </c>
      <c r="F408">
        <v>28.9</v>
      </c>
      <c r="G408">
        <v>0.67200000000000004</v>
      </c>
      <c r="H408">
        <v>46</v>
      </c>
      <c r="I408">
        <v>1</v>
      </c>
    </row>
    <row r="409" spans="1:9" x14ac:dyDescent="0.25">
      <c r="A409">
        <v>4</v>
      </c>
      <c r="B409">
        <v>101</v>
      </c>
      <c r="C409">
        <v>62</v>
      </c>
      <c r="D409">
        <v>21</v>
      </c>
      <c r="E409">
        <v>80</v>
      </c>
      <c r="F409">
        <v>21.9</v>
      </c>
      <c r="G409">
        <v>0.67200000000000004</v>
      </c>
      <c r="H409">
        <v>25</v>
      </c>
      <c r="I409">
        <v>0</v>
      </c>
    </row>
    <row r="410" spans="1:9" x14ac:dyDescent="0.25">
      <c r="A410">
        <v>8</v>
      </c>
      <c r="B410">
        <v>197</v>
      </c>
      <c r="C410">
        <v>74</v>
      </c>
      <c r="D410">
        <v>21</v>
      </c>
      <c r="E410">
        <v>80</v>
      </c>
      <c r="F410">
        <v>25.9</v>
      </c>
      <c r="G410">
        <v>0.67200000000000004</v>
      </c>
      <c r="H410">
        <v>39</v>
      </c>
      <c r="I410">
        <v>1</v>
      </c>
    </row>
    <row r="411" spans="1:9" x14ac:dyDescent="0.25">
      <c r="A411">
        <v>1</v>
      </c>
      <c r="B411">
        <v>172</v>
      </c>
      <c r="C411">
        <v>68</v>
      </c>
      <c r="D411">
        <v>49</v>
      </c>
      <c r="E411">
        <v>579</v>
      </c>
      <c r="F411">
        <v>42.4</v>
      </c>
      <c r="G411">
        <v>0.67200000000000004</v>
      </c>
      <c r="H411">
        <v>28</v>
      </c>
      <c r="I411">
        <v>1</v>
      </c>
    </row>
    <row r="412" spans="1:9" x14ac:dyDescent="0.25">
      <c r="A412">
        <v>6</v>
      </c>
      <c r="B412">
        <v>102</v>
      </c>
      <c r="C412">
        <v>90</v>
      </c>
      <c r="D412">
        <v>39</v>
      </c>
      <c r="E412">
        <v>80</v>
      </c>
      <c r="F412">
        <v>35.700000000000003</v>
      </c>
      <c r="G412">
        <v>0.67200000000000004</v>
      </c>
      <c r="H412">
        <v>28</v>
      </c>
      <c r="I412">
        <v>0</v>
      </c>
    </row>
    <row r="413" spans="1:9" x14ac:dyDescent="0.25">
      <c r="A413">
        <v>1</v>
      </c>
      <c r="B413">
        <v>112</v>
      </c>
      <c r="C413">
        <v>72</v>
      </c>
      <c r="D413">
        <v>30</v>
      </c>
      <c r="E413">
        <v>176</v>
      </c>
      <c r="F413">
        <v>34.4</v>
      </c>
      <c r="G413">
        <v>0.67200000000000004</v>
      </c>
      <c r="H413">
        <v>25</v>
      </c>
      <c r="I413">
        <v>0</v>
      </c>
    </row>
    <row r="414" spans="1:9" x14ac:dyDescent="0.25">
      <c r="A414">
        <v>1</v>
      </c>
      <c r="B414">
        <v>143</v>
      </c>
      <c r="C414">
        <v>84</v>
      </c>
      <c r="D414">
        <v>23</v>
      </c>
      <c r="E414">
        <v>310</v>
      </c>
      <c r="F414">
        <v>42.4</v>
      </c>
      <c r="G414">
        <v>0.67200000000000004</v>
      </c>
      <c r="H414">
        <v>22</v>
      </c>
      <c r="I414">
        <v>0</v>
      </c>
    </row>
    <row r="415" spans="1:9" x14ac:dyDescent="0.25">
      <c r="A415">
        <v>1</v>
      </c>
      <c r="B415">
        <v>143</v>
      </c>
      <c r="C415">
        <v>74</v>
      </c>
      <c r="D415">
        <v>22</v>
      </c>
      <c r="E415">
        <v>61</v>
      </c>
      <c r="F415">
        <v>26.2</v>
      </c>
      <c r="G415">
        <v>0.67200000000000004</v>
      </c>
      <c r="H415">
        <v>21</v>
      </c>
      <c r="I415">
        <v>0</v>
      </c>
    </row>
    <row r="416" spans="1:9" x14ac:dyDescent="0.25">
      <c r="A416">
        <v>4</v>
      </c>
      <c r="B416">
        <v>138</v>
      </c>
      <c r="C416">
        <v>60</v>
      </c>
      <c r="D416">
        <v>35</v>
      </c>
      <c r="E416">
        <v>167</v>
      </c>
      <c r="F416">
        <v>34.6</v>
      </c>
      <c r="G416">
        <v>0.67200000000000004</v>
      </c>
      <c r="H416">
        <v>21</v>
      </c>
      <c r="I416">
        <v>1</v>
      </c>
    </row>
    <row r="417" spans="1:9" x14ac:dyDescent="0.25">
      <c r="A417">
        <v>3</v>
      </c>
      <c r="B417">
        <v>173</v>
      </c>
      <c r="C417">
        <v>84</v>
      </c>
      <c r="D417">
        <v>33</v>
      </c>
      <c r="E417">
        <v>474</v>
      </c>
      <c r="F417">
        <v>35.700000000000003</v>
      </c>
      <c r="G417">
        <v>0.67200000000000004</v>
      </c>
      <c r="H417">
        <v>22</v>
      </c>
      <c r="I417">
        <v>1</v>
      </c>
    </row>
    <row r="418" spans="1:9" x14ac:dyDescent="0.25">
      <c r="A418">
        <v>1</v>
      </c>
      <c r="B418">
        <v>97</v>
      </c>
      <c r="C418">
        <v>68</v>
      </c>
      <c r="D418">
        <v>21</v>
      </c>
      <c r="E418">
        <v>80</v>
      </c>
      <c r="F418">
        <v>27.2</v>
      </c>
      <c r="G418">
        <v>0.67200000000000004</v>
      </c>
      <c r="H418">
        <v>22</v>
      </c>
      <c r="I418">
        <v>0</v>
      </c>
    </row>
    <row r="419" spans="1:9" x14ac:dyDescent="0.25">
      <c r="A419">
        <v>4</v>
      </c>
      <c r="B419">
        <v>144</v>
      </c>
      <c r="C419">
        <v>82</v>
      </c>
      <c r="D419">
        <v>32</v>
      </c>
      <c r="E419">
        <v>80</v>
      </c>
      <c r="F419">
        <v>38.5</v>
      </c>
      <c r="G419">
        <v>0.67200000000000004</v>
      </c>
      <c r="H419">
        <v>37</v>
      </c>
      <c r="I419">
        <v>1</v>
      </c>
    </row>
    <row r="420" spans="1:9" x14ac:dyDescent="0.25">
      <c r="A420">
        <v>1</v>
      </c>
      <c r="B420">
        <v>83</v>
      </c>
      <c r="C420">
        <v>68</v>
      </c>
      <c r="D420">
        <v>21</v>
      </c>
      <c r="E420">
        <v>80</v>
      </c>
      <c r="F420">
        <v>18.2</v>
      </c>
      <c r="G420">
        <v>0.67200000000000004</v>
      </c>
      <c r="H420">
        <v>27</v>
      </c>
      <c r="I420">
        <v>0</v>
      </c>
    </row>
    <row r="421" spans="1:9" x14ac:dyDescent="0.25">
      <c r="A421">
        <v>3</v>
      </c>
      <c r="B421">
        <v>129</v>
      </c>
      <c r="C421">
        <v>64</v>
      </c>
      <c r="D421">
        <v>29</v>
      </c>
      <c r="E421">
        <v>115</v>
      </c>
      <c r="F421">
        <v>26.4</v>
      </c>
      <c r="G421">
        <v>0.67200000000000004</v>
      </c>
      <c r="H421">
        <v>28</v>
      </c>
      <c r="I421">
        <v>1</v>
      </c>
    </row>
    <row r="422" spans="1:9" x14ac:dyDescent="0.25">
      <c r="A422">
        <v>1</v>
      </c>
      <c r="B422">
        <v>119</v>
      </c>
      <c r="C422">
        <v>88</v>
      </c>
      <c r="D422">
        <v>41</v>
      </c>
      <c r="E422">
        <v>170</v>
      </c>
      <c r="F422">
        <v>45.3</v>
      </c>
      <c r="G422">
        <v>0.67200000000000004</v>
      </c>
      <c r="H422">
        <v>26</v>
      </c>
      <c r="I422">
        <v>0</v>
      </c>
    </row>
    <row r="423" spans="1:9" x14ac:dyDescent="0.25">
      <c r="A423">
        <v>2</v>
      </c>
      <c r="B423">
        <v>94</v>
      </c>
      <c r="C423">
        <v>68</v>
      </c>
      <c r="D423">
        <v>18</v>
      </c>
      <c r="E423">
        <v>76</v>
      </c>
      <c r="F423">
        <v>26</v>
      </c>
      <c r="G423">
        <v>0.67200000000000004</v>
      </c>
      <c r="H423">
        <v>21</v>
      </c>
      <c r="I423">
        <v>0</v>
      </c>
    </row>
    <row r="424" spans="1:9" x14ac:dyDescent="0.25">
      <c r="A424">
        <v>4</v>
      </c>
      <c r="B424">
        <v>102</v>
      </c>
      <c r="C424">
        <v>64</v>
      </c>
      <c r="D424">
        <v>46</v>
      </c>
      <c r="E424">
        <v>78</v>
      </c>
      <c r="F424">
        <v>40.6</v>
      </c>
      <c r="G424">
        <v>0.67200000000000004</v>
      </c>
      <c r="H424">
        <v>21</v>
      </c>
      <c r="I424">
        <v>0</v>
      </c>
    </row>
    <row r="425" spans="1:9" x14ac:dyDescent="0.25">
      <c r="A425">
        <v>2</v>
      </c>
      <c r="B425">
        <v>115</v>
      </c>
      <c r="C425">
        <v>64</v>
      </c>
      <c r="D425">
        <v>22</v>
      </c>
      <c r="E425">
        <v>80</v>
      </c>
      <c r="F425">
        <v>30.8</v>
      </c>
      <c r="G425">
        <v>0.67200000000000004</v>
      </c>
      <c r="H425">
        <v>21</v>
      </c>
      <c r="I425">
        <v>0</v>
      </c>
    </row>
    <row r="426" spans="1:9" x14ac:dyDescent="0.25">
      <c r="A426">
        <v>8</v>
      </c>
      <c r="B426">
        <v>151</v>
      </c>
      <c r="C426">
        <v>78</v>
      </c>
      <c r="D426">
        <v>32</v>
      </c>
      <c r="E426">
        <v>210</v>
      </c>
      <c r="F426">
        <v>42.9</v>
      </c>
      <c r="G426">
        <v>0.67200000000000004</v>
      </c>
      <c r="H426">
        <v>36</v>
      </c>
      <c r="I426">
        <v>1</v>
      </c>
    </row>
    <row r="427" spans="1:9" x14ac:dyDescent="0.25">
      <c r="A427">
        <v>4</v>
      </c>
      <c r="B427">
        <v>184</v>
      </c>
      <c r="C427">
        <v>78</v>
      </c>
      <c r="D427">
        <v>39</v>
      </c>
      <c r="E427">
        <v>277</v>
      </c>
      <c r="F427">
        <v>37</v>
      </c>
      <c r="G427">
        <v>0.67200000000000004</v>
      </c>
      <c r="H427">
        <v>31</v>
      </c>
      <c r="I427">
        <v>1</v>
      </c>
    </row>
    <row r="428" spans="1:9" x14ac:dyDescent="0.25">
      <c r="A428">
        <v>4</v>
      </c>
      <c r="B428">
        <v>94</v>
      </c>
      <c r="C428">
        <v>69</v>
      </c>
      <c r="D428">
        <v>21</v>
      </c>
      <c r="E428">
        <v>80</v>
      </c>
      <c r="F428">
        <v>32</v>
      </c>
      <c r="G428">
        <v>0.67200000000000004</v>
      </c>
      <c r="H428">
        <v>25</v>
      </c>
      <c r="I428">
        <v>0</v>
      </c>
    </row>
    <row r="429" spans="1:9" x14ac:dyDescent="0.25">
      <c r="A429">
        <v>1</v>
      </c>
      <c r="B429">
        <v>181</v>
      </c>
      <c r="C429">
        <v>64</v>
      </c>
      <c r="D429">
        <v>30</v>
      </c>
      <c r="E429">
        <v>180</v>
      </c>
      <c r="F429">
        <v>34.1</v>
      </c>
      <c r="G429">
        <v>0.67200000000000004</v>
      </c>
      <c r="H429">
        <v>38</v>
      </c>
      <c r="I429">
        <v>1</v>
      </c>
    </row>
    <row r="430" spans="1:9" x14ac:dyDescent="0.25">
      <c r="A430">
        <v>4</v>
      </c>
      <c r="B430">
        <v>135</v>
      </c>
      <c r="C430">
        <v>94</v>
      </c>
      <c r="D430">
        <v>46</v>
      </c>
      <c r="E430">
        <v>145</v>
      </c>
      <c r="F430">
        <v>40.6</v>
      </c>
      <c r="G430">
        <v>0.67200000000000004</v>
      </c>
      <c r="H430">
        <v>26</v>
      </c>
      <c r="I430">
        <v>0</v>
      </c>
    </row>
    <row r="431" spans="1:9" x14ac:dyDescent="0.25">
      <c r="A431">
        <v>1</v>
      </c>
      <c r="B431">
        <v>95</v>
      </c>
      <c r="C431">
        <v>82</v>
      </c>
      <c r="D431">
        <v>25</v>
      </c>
      <c r="E431">
        <v>180</v>
      </c>
      <c r="F431">
        <v>35</v>
      </c>
      <c r="G431">
        <v>0.67200000000000004</v>
      </c>
      <c r="H431">
        <v>43</v>
      </c>
      <c r="I431">
        <v>1</v>
      </c>
    </row>
    <row r="432" spans="1:9" x14ac:dyDescent="0.25">
      <c r="A432">
        <v>2</v>
      </c>
      <c r="B432">
        <v>99</v>
      </c>
      <c r="C432">
        <v>69</v>
      </c>
      <c r="D432">
        <v>21</v>
      </c>
      <c r="E432">
        <v>80</v>
      </c>
      <c r="F432">
        <v>22.2</v>
      </c>
      <c r="G432">
        <v>0.67200000000000004</v>
      </c>
      <c r="H432">
        <v>23</v>
      </c>
      <c r="I432">
        <v>0</v>
      </c>
    </row>
    <row r="433" spans="1:9" x14ac:dyDescent="0.25">
      <c r="A433">
        <v>3</v>
      </c>
      <c r="B433">
        <v>89</v>
      </c>
      <c r="C433">
        <v>74</v>
      </c>
      <c r="D433">
        <v>16</v>
      </c>
      <c r="E433">
        <v>85</v>
      </c>
      <c r="F433">
        <v>30.4</v>
      </c>
      <c r="G433">
        <v>0.67200000000000004</v>
      </c>
      <c r="H433">
        <v>38</v>
      </c>
      <c r="I433">
        <v>0</v>
      </c>
    </row>
    <row r="434" spans="1:9" x14ac:dyDescent="0.25">
      <c r="A434">
        <v>1</v>
      </c>
      <c r="B434">
        <v>80</v>
      </c>
      <c r="C434">
        <v>74</v>
      </c>
      <c r="D434">
        <v>11</v>
      </c>
      <c r="E434">
        <v>60</v>
      </c>
      <c r="F434">
        <v>30</v>
      </c>
      <c r="G434">
        <v>0.67200000000000004</v>
      </c>
      <c r="H434">
        <v>22</v>
      </c>
      <c r="I434">
        <v>0</v>
      </c>
    </row>
    <row r="435" spans="1:9" x14ac:dyDescent="0.25">
      <c r="A435">
        <v>2</v>
      </c>
      <c r="B435">
        <v>139</v>
      </c>
      <c r="C435">
        <v>75</v>
      </c>
      <c r="D435">
        <v>21</v>
      </c>
      <c r="E435">
        <v>80</v>
      </c>
      <c r="F435">
        <v>25.6</v>
      </c>
      <c r="G435">
        <v>0.67200000000000004</v>
      </c>
      <c r="H435">
        <v>29</v>
      </c>
      <c r="I435">
        <v>0</v>
      </c>
    </row>
    <row r="436" spans="1:9" x14ac:dyDescent="0.25">
      <c r="A436">
        <v>1</v>
      </c>
      <c r="B436">
        <v>90</v>
      </c>
      <c r="C436">
        <v>68</v>
      </c>
      <c r="D436">
        <v>8</v>
      </c>
      <c r="E436">
        <v>80</v>
      </c>
      <c r="F436">
        <v>24.5</v>
      </c>
      <c r="G436">
        <v>0.67200000000000004</v>
      </c>
      <c r="H436">
        <v>36</v>
      </c>
      <c r="I436">
        <v>0</v>
      </c>
    </row>
    <row r="437" spans="1:9" x14ac:dyDescent="0.25">
      <c r="A437">
        <v>4</v>
      </c>
      <c r="B437">
        <v>141</v>
      </c>
      <c r="C437">
        <v>69</v>
      </c>
      <c r="D437">
        <v>21</v>
      </c>
      <c r="E437">
        <v>80</v>
      </c>
      <c r="F437">
        <v>42.4</v>
      </c>
      <c r="G437">
        <v>0.67200000000000004</v>
      </c>
      <c r="H437">
        <v>29</v>
      </c>
      <c r="I437">
        <v>1</v>
      </c>
    </row>
    <row r="438" spans="1:9" x14ac:dyDescent="0.25">
      <c r="A438">
        <v>12</v>
      </c>
      <c r="B438">
        <v>140</v>
      </c>
      <c r="C438">
        <v>85</v>
      </c>
      <c r="D438">
        <v>33</v>
      </c>
      <c r="E438">
        <v>80</v>
      </c>
      <c r="F438">
        <v>37.4</v>
      </c>
      <c r="G438">
        <v>0.67200000000000004</v>
      </c>
      <c r="H438">
        <v>41</v>
      </c>
      <c r="I438">
        <v>0</v>
      </c>
    </row>
    <row r="439" spans="1:9" x14ac:dyDescent="0.25">
      <c r="A439">
        <v>5</v>
      </c>
      <c r="B439">
        <v>147</v>
      </c>
      <c r="C439">
        <v>75</v>
      </c>
      <c r="D439">
        <v>21</v>
      </c>
      <c r="E439">
        <v>80</v>
      </c>
      <c r="F439">
        <v>29.9</v>
      </c>
      <c r="G439">
        <v>0.67200000000000004</v>
      </c>
      <c r="H439">
        <v>28</v>
      </c>
      <c r="I439">
        <v>0</v>
      </c>
    </row>
    <row r="440" spans="1:9" x14ac:dyDescent="0.25">
      <c r="A440">
        <v>1</v>
      </c>
      <c r="B440">
        <v>97</v>
      </c>
      <c r="C440">
        <v>70</v>
      </c>
      <c r="D440">
        <v>15</v>
      </c>
      <c r="E440">
        <v>80</v>
      </c>
      <c r="F440">
        <v>18.2</v>
      </c>
      <c r="G440">
        <v>0.67200000000000004</v>
      </c>
      <c r="H440">
        <v>21</v>
      </c>
      <c r="I440">
        <v>0</v>
      </c>
    </row>
    <row r="441" spans="1:9" x14ac:dyDescent="0.25">
      <c r="A441">
        <v>6</v>
      </c>
      <c r="B441">
        <v>107</v>
      </c>
      <c r="C441">
        <v>88</v>
      </c>
      <c r="D441">
        <v>21</v>
      </c>
      <c r="E441">
        <v>80</v>
      </c>
      <c r="F441">
        <v>36.799999999999997</v>
      </c>
      <c r="G441">
        <v>0.67200000000000004</v>
      </c>
      <c r="H441">
        <v>31</v>
      </c>
      <c r="I441">
        <v>0</v>
      </c>
    </row>
    <row r="442" spans="1:9" x14ac:dyDescent="0.25">
      <c r="A442">
        <v>4</v>
      </c>
      <c r="B442">
        <v>189</v>
      </c>
      <c r="C442">
        <v>104</v>
      </c>
      <c r="D442">
        <v>25</v>
      </c>
      <c r="E442">
        <v>80</v>
      </c>
      <c r="F442">
        <v>34.299999999999997</v>
      </c>
      <c r="G442">
        <v>0.67200000000000004</v>
      </c>
      <c r="H442">
        <v>41</v>
      </c>
      <c r="I442">
        <v>1</v>
      </c>
    </row>
    <row r="443" spans="1:9" x14ac:dyDescent="0.25">
      <c r="A443">
        <v>2</v>
      </c>
      <c r="B443">
        <v>83</v>
      </c>
      <c r="C443">
        <v>66</v>
      </c>
      <c r="D443">
        <v>23</v>
      </c>
      <c r="E443">
        <v>50</v>
      </c>
      <c r="F443">
        <v>32.200000000000003</v>
      </c>
      <c r="G443">
        <v>0.67200000000000004</v>
      </c>
      <c r="H443">
        <v>22</v>
      </c>
      <c r="I443">
        <v>0</v>
      </c>
    </row>
    <row r="444" spans="1:9" x14ac:dyDescent="0.25">
      <c r="A444">
        <v>4</v>
      </c>
      <c r="B444">
        <v>117</v>
      </c>
      <c r="C444">
        <v>64</v>
      </c>
      <c r="D444">
        <v>27</v>
      </c>
      <c r="E444">
        <v>120</v>
      </c>
      <c r="F444">
        <v>33.200000000000003</v>
      </c>
      <c r="G444">
        <v>0.67200000000000004</v>
      </c>
      <c r="H444">
        <v>24</v>
      </c>
      <c r="I444">
        <v>0</v>
      </c>
    </row>
    <row r="445" spans="1:9" x14ac:dyDescent="0.25">
      <c r="A445">
        <v>8</v>
      </c>
      <c r="B445">
        <v>108</v>
      </c>
      <c r="C445">
        <v>70</v>
      </c>
      <c r="D445">
        <v>21</v>
      </c>
      <c r="E445">
        <v>80</v>
      </c>
      <c r="F445">
        <v>30.5</v>
      </c>
      <c r="G445">
        <v>0.67200000000000004</v>
      </c>
      <c r="H445">
        <v>33</v>
      </c>
      <c r="I445">
        <v>1</v>
      </c>
    </row>
    <row r="446" spans="1:9" x14ac:dyDescent="0.25">
      <c r="A446">
        <v>4</v>
      </c>
      <c r="B446">
        <v>117</v>
      </c>
      <c r="C446">
        <v>62</v>
      </c>
      <c r="D446">
        <v>12</v>
      </c>
      <c r="E446">
        <v>80</v>
      </c>
      <c r="F446">
        <v>29.7</v>
      </c>
      <c r="G446">
        <v>0.67200000000000004</v>
      </c>
      <c r="H446">
        <v>30</v>
      </c>
      <c r="I446">
        <v>1</v>
      </c>
    </row>
    <row r="447" spans="1:9" x14ac:dyDescent="0.25">
      <c r="A447">
        <v>4</v>
      </c>
      <c r="B447">
        <v>180</v>
      </c>
      <c r="C447">
        <v>78</v>
      </c>
      <c r="D447">
        <v>63</v>
      </c>
      <c r="E447">
        <v>14</v>
      </c>
      <c r="F447">
        <v>59.4</v>
      </c>
      <c r="G447">
        <v>0.67200000000000004</v>
      </c>
      <c r="H447">
        <v>25</v>
      </c>
      <c r="I447">
        <v>1</v>
      </c>
    </row>
    <row r="448" spans="1:9" x14ac:dyDescent="0.25">
      <c r="A448">
        <v>1</v>
      </c>
      <c r="B448">
        <v>100</v>
      </c>
      <c r="C448">
        <v>72</v>
      </c>
      <c r="D448">
        <v>12</v>
      </c>
      <c r="E448">
        <v>70</v>
      </c>
      <c r="F448">
        <v>25.3</v>
      </c>
      <c r="G448">
        <v>0.67200000000000004</v>
      </c>
      <c r="H448">
        <v>28</v>
      </c>
      <c r="I448">
        <v>0</v>
      </c>
    </row>
    <row r="449" spans="1:9" x14ac:dyDescent="0.25">
      <c r="A449">
        <v>4</v>
      </c>
      <c r="B449">
        <v>95</v>
      </c>
      <c r="C449">
        <v>80</v>
      </c>
      <c r="D449">
        <v>45</v>
      </c>
      <c r="E449">
        <v>92</v>
      </c>
      <c r="F449">
        <v>36.5</v>
      </c>
      <c r="G449">
        <v>0.67200000000000004</v>
      </c>
      <c r="H449">
        <v>26</v>
      </c>
      <c r="I449">
        <v>0</v>
      </c>
    </row>
    <row r="450" spans="1:9" x14ac:dyDescent="0.25">
      <c r="A450">
        <v>4</v>
      </c>
      <c r="B450">
        <v>104</v>
      </c>
      <c r="C450">
        <v>64</v>
      </c>
      <c r="D450">
        <v>37</v>
      </c>
      <c r="E450">
        <v>64</v>
      </c>
      <c r="F450">
        <v>33.6</v>
      </c>
      <c r="G450">
        <v>0.67200000000000004</v>
      </c>
      <c r="H450">
        <v>22</v>
      </c>
      <c r="I450">
        <v>1</v>
      </c>
    </row>
    <row r="451" spans="1:9" x14ac:dyDescent="0.25">
      <c r="A451">
        <v>4</v>
      </c>
      <c r="B451">
        <v>120</v>
      </c>
      <c r="C451">
        <v>74</v>
      </c>
      <c r="D451">
        <v>18</v>
      </c>
      <c r="E451">
        <v>63</v>
      </c>
      <c r="F451">
        <v>30.5</v>
      </c>
      <c r="G451">
        <v>0.67200000000000004</v>
      </c>
      <c r="H451">
        <v>26</v>
      </c>
      <c r="I451">
        <v>0</v>
      </c>
    </row>
    <row r="452" spans="1:9" x14ac:dyDescent="0.25">
      <c r="A452">
        <v>1</v>
      </c>
      <c r="B452">
        <v>82</v>
      </c>
      <c r="C452">
        <v>64</v>
      </c>
      <c r="D452">
        <v>13</v>
      </c>
      <c r="E452">
        <v>95</v>
      </c>
      <c r="F452">
        <v>21.2</v>
      </c>
      <c r="G452">
        <v>0.67200000000000004</v>
      </c>
      <c r="H452">
        <v>23</v>
      </c>
      <c r="I452">
        <v>0</v>
      </c>
    </row>
    <row r="453" spans="1:9" x14ac:dyDescent="0.25">
      <c r="A453">
        <v>2</v>
      </c>
      <c r="B453">
        <v>134</v>
      </c>
      <c r="C453">
        <v>70</v>
      </c>
      <c r="D453">
        <v>21</v>
      </c>
      <c r="E453">
        <v>80</v>
      </c>
      <c r="F453">
        <v>28.9</v>
      </c>
      <c r="G453">
        <v>0.67200000000000004</v>
      </c>
      <c r="H453">
        <v>23</v>
      </c>
      <c r="I453">
        <v>1</v>
      </c>
    </row>
    <row r="454" spans="1:9" x14ac:dyDescent="0.25">
      <c r="A454">
        <v>4</v>
      </c>
      <c r="B454">
        <v>91</v>
      </c>
      <c r="C454">
        <v>68</v>
      </c>
      <c r="D454">
        <v>32</v>
      </c>
      <c r="E454">
        <v>210</v>
      </c>
      <c r="F454">
        <v>39.9</v>
      </c>
      <c r="G454">
        <v>0.67200000000000004</v>
      </c>
      <c r="H454">
        <v>25</v>
      </c>
      <c r="I454">
        <v>0</v>
      </c>
    </row>
    <row r="455" spans="1:9" x14ac:dyDescent="0.25">
      <c r="A455">
        <v>2</v>
      </c>
      <c r="B455">
        <v>119</v>
      </c>
      <c r="C455">
        <v>69</v>
      </c>
      <c r="D455">
        <v>21</v>
      </c>
      <c r="E455">
        <v>80</v>
      </c>
      <c r="F455">
        <v>19.600000000000001</v>
      </c>
      <c r="G455">
        <v>0.67200000000000004</v>
      </c>
      <c r="H455">
        <v>72</v>
      </c>
      <c r="I455">
        <v>0</v>
      </c>
    </row>
    <row r="456" spans="1:9" x14ac:dyDescent="0.25">
      <c r="A456">
        <v>2</v>
      </c>
      <c r="B456">
        <v>100</v>
      </c>
      <c r="C456">
        <v>54</v>
      </c>
      <c r="D456">
        <v>28</v>
      </c>
      <c r="E456">
        <v>105</v>
      </c>
      <c r="F456">
        <v>37.799999999999997</v>
      </c>
      <c r="G456">
        <v>0.67200000000000004</v>
      </c>
      <c r="H456">
        <v>24</v>
      </c>
      <c r="I456">
        <v>0</v>
      </c>
    </row>
    <row r="457" spans="1:9" x14ac:dyDescent="0.25">
      <c r="A457">
        <v>14</v>
      </c>
      <c r="B457">
        <v>175</v>
      </c>
      <c r="C457">
        <v>62</v>
      </c>
      <c r="D457">
        <v>30</v>
      </c>
      <c r="E457">
        <v>80</v>
      </c>
      <c r="F457">
        <v>33.6</v>
      </c>
      <c r="G457">
        <v>0.67200000000000004</v>
      </c>
      <c r="H457">
        <v>38</v>
      </c>
      <c r="I457">
        <v>1</v>
      </c>
    </row>
    <row r="458" spans="1:9" x14ac:dyDescent="0.25">
      <c r="A458">
        <v>1</v>
      </c>
      <c r="B458">
        <v>135</v>
      </c>
      <c r="C458">
        <v>54</v>
      </c>
      <c r="D458">
        <v>21</v>
      </c>
      <c r="E458">
        <v>80</v>
      </c>
      <c r="F458">
        <v>26.7</v>
      </c>
      <c r="G458">
        <v>0.67200000000000004</v>
      </c>
      <c r="H458">
        <v>62</v>
      </c>
      <c r="I458">
        <v>0</v>
      </c>
    </row>
    <row r="459" spans="1:9" x14ac:dyDescent="0.25">
      <c r="A459">
        <v>5</v>
      </c>
      <c r="B459">
        <v>86</v>
      </c>
      <c r="C459">
        <v>68</v>
      </c>
      <c r="D459">
        <v>28</v>
      </c>
      <c r="E459">
        <v>71</v>
      </c>
      <c r="F459">
        <v>30.2</v>
      </c>
      <c r="G459">
        <v>0.67200000000000004</v>
      </c>
      <c r="H459">
        <v>24</v>
      </c>
      <c r="I459">
        <v>0</v>
      </c>
    </row>
    <row r="460" spans="1:9" x14ac:dyDescent="0.25">
      <c r="A460">
        <v>10</v>
      </c>
      <c r="B460">
        <v>148</v>
      </c>
      <c r="C460">
        <v>84</v>
      </c>
      <c r="D460">
        <v>48</v>
      </c>
      <c r="E460">
        <v>237</v>
      </c>
      <c r="F460">
        <v>37.6</v>
      </c>
      <c r="G460">
        <v>0.67200000000000004</v>
      </c>
      <c r="H460">
        <v>51</v>
      </c>
      <c r="I460">
        <v>1</v>
      </c>
    </row>
    <row r="461" spans="1:9" x14ac:dyDescent="0.25">
      <c r="A461">
        <v>9</v>
      </c>
      <c r="B461">
        <v>134</v>
      </c>
      <c r="C461">
        <v>74</v>
      </c>
      <c r="D461">
        <v>33</v>
      </c>
      <c r="E461">
        <v>60</v>
      </c>
      <c r="F461">
        <v>25.9</v>
      </c>
      <c r="G461">
        <v>0.67200000000000004</v>
      </c>
      <c r="H461">
        <v>81</v>
      </c>
      <c r="I461">
        <v>0</v>
      </c>
    </row>
    <row r="462" spans="1:9" x14ac:dyDescent="0.25">
      <c r="A462">
        <v>9</v>
      </c>
      <c r="B462">
        <v>120</v>
      </c>
      <c r="C462">
        <v>72</v>
      </c>
      <c r="D462">
        <v>22</v>
      </c>
      <c r="E462">
        <v>56</v>
      </c>
      <c r="F462">
        <v>20.8</v>
      </c>
      <c r="G462">
        <v>0.67200000000000004</v>
      </c>
      <c r="H462">
        <v>48</v>
      </c>
      <c r="I462">
        <v>0</v>
      </c>
    </row>
    <row r="463" spans="1:9" x14ac:dyDescent="0.25">
      <c r="A463">
        <v>1</v>
      </c>
      <c r="B463">
        <v>71</v>
      </c>
      <c r="C463">
        <v>62</v>
      </c>
      <c r="D463">
        <v>21</v>
      </c>
      <c r="E463">
        <v>80</v>
      </c>
      <c r="F463">
        <v>21.8</v>
      </c>
      <c r="G463">
        <v>0.67200000000000004</v>
      </c>
      <c r="H463">
        <v>26</v>
      </c>
      <c r="I463">
        <v>0</v>
      </c>
    </row>
    <row r="464" spans="1:9" x14ac:dyDescent="0.25">
      <c r="A464">
        <v>8</v>
      </c>
      <c r="B464">
        <v>74</v>
      </c>
      <c r="C464">
        <v>70</v>
      </c>
      <c r="D464">
        <v>40</v>
      </c>
      <c r="E464">
        <v>49</v>
      </c>
      <c r="F464">
        <v>35.299999999999997</v>
      </c>
      <c r="G464">
        <v>0.67200000000000004</v>
      </c>
      <c r="H464">
        <v>39</v>
      </c>
      <c r="I464">
        <v>0</v>
      </c>
    </row>
    <row r="465" spans="1:9" x14ac:dyDescent="0.25">
      <c r="A465">
        <v>5</v>
      </c>
      <c r="B465">
        <v>88</v>
      </c>
      <c r="C465">
        <v>78</v>
      </c>
      <c r="D465">
        <v>30</v>
      </c>
      <c r="E465">
        <v>80</v>
      </c>
      <c r="F465">
        <v>27.6</v>
      </c>
      <c r="G465">
        <v>0.67200000000000004</v>
      </c>
      <c r="H465">
        <v>37</v>
      </c>
      <c r="I465">
        <v>0</v>
      </c>
    </row>
    <row r="466" spans="1:9" x14ac:dyDescent="0.25">
      <c r="A466">
        <v>10</v>
      </c>
      <c r="B466">
        <v>115</v>
      </c>
      <c r="C466">
        <v>98</v>
      </c>
      <c r="D466">
        <v>21</v>
      </c>
      <c r="E466">
        <v>80</v>
      </c>
      <c r="F466">
        <v>24</v>
      </c>
      <c r="G466">
        <v>0.67200000000000004</v>
      </c>
      <c r="H466">
        <v>34</v>
      </c>
      <c r="I466">
        <v>0</v>
      </c>
    </row>
    <row r="467" spans="1:9" x14ac:dyDescent="0.25">
      <c r="A467">
        <v>4</v>
      </c>
      <c r="B467">
        <v>124</v>
      </c>
      <c r="C467">
        <v>56</v>
      </c>
      <c r="D467">
        <v>13</v>
      </c>
      <c r="E467">
        <v>105</v>
      </c>
      <c r="F467">
        <v>21.8</v>
      </c>
      <c r="G467">
        <v>0.67200000000000004</v>
      </c>
      <c r="H467">
        <v>21</v>
      </c>
      <c r="I467">
        <v>0</v>
      </c>
    </row>
    <row r="468" spans="1:9" x14ac:dyDescent="0.25">
      <c r="A468">
        <v>4</v>
      </c>
      <c r="B468">
        <v>74</v>
      </c>
      <c r="C468">
        <v>52</v>
      </c>
      <c r="D468">
        <v>10</v>
      </c>
      <c r="E468">
        <v>36</v>
      </c>
      <c r="F468">
        <v>27.8</v>
      </c>
      <c r="G468">
        <v>0.67200000000000004</v>
      </c>
      <c r="H468">
        <v>22</v>
      </c>
      <c r="I468">
        <v>0</v>
      </c>
    </row>
    <row r="469" spans="1:9" x14ac:dyDescent="0.25">
      <c r="A469">
        <v>4</v>
      </c>
      <c r="B469">
        <v>97</v>
      </c>
      <c r="C469">
        <v>64</v>
      </c>
      <c r="D469">
        <v>36</v>
      </c>
      <c r="E469">
        <v>100</v>
      </c>
      <c r="F469">
        <v>36.799999999999997</v>
      </c>
      <c r="G469">
        <v>0.67200000000000004</v>
      </c>
      <c r="H469">
        <v>25</v>
      </c>
      <c r="I469">
        <v>0</v>
      </c>
    </row>
    <row r="470" spans="1:9" x14ac:dyDescent="0.25">
      <c r="A470">
        <v>8</v>
      </c>
      <c r="B470">
        <v>120</v>
      </c>
      <c r="C470">
        <v>69</v>
      </c>
      <c r="D470">
        <v>21</v>
      </c>
      <c r="E470">
        <v>80</v>
      </c>
      <c r="F470">
        <v>30</v>
      </c>
      <c r="G470">
        <v>0.67200000000000004</v>
      </c>
      <c r="H470">
        <v>38</v>
      </c>
      <c r="I470">
        <v>1</v>
      </c>
    </row>
    <row r="471" spans="1:9" x14ac:dyDescent="0.25">
      <c r="A471">
        <v>6</v>
      </c>
      <c r="B471">
        <v>154</v>
      </c>
      <c r="C471">
        <v>78</v>
      </c>
      <c r="D471">
        <v>41</v>
      </c>
      <c r="E471">
        <v>140</v>
      </c>
      <c r="F471">
        <v>46.1</v>
      </c>
      <c r="G471">
        <v>0.67200000000000004</v>
      </c>
      <c r="H471">
        <v>27</v>
      </c>
      <c r="I471">
        <v>0</v>
      </c>
    </row>
    <row r="472" spans="1:9" x14ac:dyDescent="0.25">
      <c r="A472">
        <v>1</v>
      </c>
      <c r="B472">
        <v>144</v>
      </c>
      <c r="C472">
        <v>82</v>
      </c>
      <c r="D472">
        <v>40</v>
      </c>
      <c r="E472">
        <v>80</v>
      </c>
      <c r="F472">
        <v>41.3</v>
      </c>
      <c r="G472">
        <v>0.67200000000000004</v>
      </c>
      <c r="H472">
        <v>28</v>
      </c>
      <c r="I472">
        <v>0</v>
      </c>
    </row>
    <row r="473" spans="1:9" x14ac:dyDescent="0.25">
      <c r="A473">
        <v>4</v>
      </c>
      <c r="B473">
        <v>137</v>
      </c>
      <c r="C473">
        <v>70</v>
      </c>
      <c r="D473">
        <v>38</v>
      </c>
      <c r="E473">
        <v>80</v>
      </c>
      <c r="F473">
        <v>33.200000000000003</v>
      </c>
      <c r="G473">
        <v>0.67200000000000004</v>
      </c>
      <c r="H473">
        <v>22</v>
      </c>
      <c r="I473">
        <v>0</v>
      </c>
    </row>
    <row r="474" spans="1:9" x14ac:dyDescent="0.25">
      <c r="A474">
        <v>4</v>
      </c>
      <c r="B474">
        <v>119</v>
      </c>
      <c r="C474">
        <v>66</v>
      </c>
      <c r="D474">
        <v>27</v>
      </c>
      <c r="E474">
        <v>80</v>
      </c>
      <c r="F474">
        <v>38.799999999999997</v>
      </c>
      <c r="G474">
        <v>0.67200000000000004</v>
      </c>
      <c r="H474">
        <v>22</v>
      </c>
      <c r="I474">
        <v>0</v>
      </c>
    </row>
    <row r="475" spans="1:9" x14ac:dyDescent="0.25">
      <c r="A475">
        <v>7</v>
      </c>
      <c r="B475">
        <v>136</v>
      </c>
      <c r="C475">
        <v>90</v>
      </c>
      <c r="D475">
        <v>21</v>
      </c>
      <c r="E475">
        <v>80</v>
      </c>
      <c r="F475">
        <v>29.9</v>
      </c>
      <c r="G475">
        <v>0.67200000000000004</v>
      </c>
      <c r="H475">
        <v>50</v>
      </c>
      <c r="I475">
        <v>0</v>
      </c>
    </row>
    <row r="476" spans="1:9" x14ac:dyDescent="0.25">
      <c r="A476">
        <v>4</v>
      </c>
      <c r="B476">
        <v>114</v>
      </c>
      <c r="C476">
        <v>64</v>
      </c>
      <c r="D476">
        <v>21</v>
      </c>
      <c r="E476">
        <v>80</v>
      </c>
      <c r="F476">
        <v>28.9</v>
      </c>
      <c r="G476">
        <v>0.67200000000000004</v>
      </c>
      <c r="H476">
        <v>24</v>
      </c>
      <c r="I476">
        <v>0</v>
      </c>
    </row>
    <row r="477" spans="1:9" x14ac:dyDescent="0.25">
      <c r="A477">
        <v>4</v>
      </c>
      <c r="B477">
        <v>137</v>
      </c>
      <c r="C477">
        <v>84</v>
      </c>
      <c r="D477">
        <v>27</v>
      </c>
      <c r="E477">
        <v>80</v>
      </c>
      <c r="F477">
        <v>27.3</v>
      </c>
      <c r="G477">
        <v>0.67200000000000004</v>
      </c>
      <c r="H477">
        <v>59</v>
      </c>
      <c r="I477">
        <v>0</v>
      </c>
    </row>
    <row r="478" spans="1:9" x14ac:dyDescent="0.25">
      <c r="A478">
        <v>2</v>
      </c>
      <c r="B478">
        <v>105</v>
      </c>
      <c r="C478">
        <v>80</v>
      </c>
      <c r="D478">
        <v>45</v>
      </c>
      <c r="E478">
        <v>191</v>
      </c>
      <c r="F478">
        <v>33.700000000000003</v>
      </c>
      <c r="G478">
        <v>0.67200000000000004</v>
      </c>
      <c r="H478">
        <v>29</v>
      </c>
      <c r="I478">
        <v>1</v>
      </c>
    </row>
    <row r="479" spans="1:9" x14ac:dyDescent="0.25">
      <c r="A479">
        <v>7</v>
      </c>
      <c r="B479">
        <v>114</v>
      </c>
      <c r="C479">
        <v>76</v>
      </c>
      <c r="D479">
        <v>17</v>
      </c>
      <c r="E479">
        <v>110</v>
      </c>
      <c r="F479">
        <v>23.8</v>
      </c>
      <c r="G479">
        <v>0.67200000000000004</v>
      </c>
      <c r="H479">
        <v>31</v>
      </c>
      <c r="I479">
        <v>0</v>
      </c>
    </row>
    <row r="480" spans="1:9" x14ac:dyDescent="0.25">
      <c r="A480">
        <v>8</v>
      </c>
      <c r="B480">
        <v>126</v>
      </c>
      <c r="C480">
        <v>74</v>
      </c>
      <c r="D480">
        <v>38</v>
      </c>
      <c r="E480">
        <v>75</v>
      </c>
      <c r="F480">
        <v>25.9</v>
      </c>
      <c r="G480">
        <v>0.67200000000000004</v>
      </c>
      <c r="H480">
        <v>39</v>
      </c>
      <c r="I480">
        <v>0</v>
      </c>
    </row>
    <row r="481" spans="1:9" x14ac:dyDescent="0.25">
      <c r="A481">
        <v>4</v>
      </c>
      <c r="B481">
        <v>132</v>
      </c>
      <c r="C481">
        <v>86</v>
      </c>
      <c r="D481">
        <v>31</v>
      </c>
      <c r="E481">
        <v>80</v>
      </c>
      <c r="F481">
        <v>28</v>
      </c>
      <c r="G481">
        <v>0.67200000000000004</v>
      </c>
      <c r="H481">
        <v>63</v>
      </c>
      <c r="I481">
        <v>0</v>
      </c>
    </row>
    <row r="482" spans="1:9" x14ac:dyDescent="0.25">
      <c r="A482">
        <v>3</v>
      </c>
      <c r="B482">
        <v>158</v>
      </c>
      <c r="C482">
        <v>70</v>
      </c>
      <c r="D482">
        <v>30</v>
      </c>
      <c r="E482">
        <v>328</v>
      </c>
      <c r="F482">
        <v>35.5</v>
      </c>
      <c r="G482">
        <v>0.67200000000000004</v>
      </c>
      <c r="H482">
        <v>35</v>
      </c>
      <c r="I482">
        <v>1</v>
      </c>
    </row>
    <row r="483" spans="1:9" x14ac:dyDescent="0.25">
      <c r="A483">
        <v>4</v>
      </c>
      <c r="B483">
        <v>123</v>
      </c>
      <c r="C483">
        <v>88</v>
      </c>
      <c r="D483">
        <v>37</v>
      </c>
      <c r="E483">
        <v>80</v>
      </c>
      <c r="F483">
        <v>35.200000000000003</v>
      </c>
      <c r="G483">
        <v>0.67200000000000004</v>
      </c>
      <c r="H483">
        <v>29</v>
      </c>
      <c r="I483">
        <v>0</v>
      </c>
    </row>
    <row r="484" spans="1:9" x14ac:dyDescent="0.25">
      <c r="A484">
        <v>4</v>
      </c>
      <c r="B484">
        <v>85</v>
      </c>
      <c r="C484">
        <v>58</v>
      </c>
      <c r="D484">
        <v>22</v>
      </c>
      <c r="E484">
        <v>49</v>
      </c>
      <c r="F484">
        <v>27.8</v>
      </c>
      <c r="G484">
        <v>0.67200000000000004</v>
      </c>
      <c r="H484">
        <v>28</v>
      </c>
      <c r="I484">
        <v>0</v>
      </c>
    </row>
    <row r="485" spans="1:9" x14ac:dyDescent="0.25">
      <c r="A485">
        <v>4</v>
      </c>
      <c r="B485">
        <v>84</v>
      </c>
      <c r="C485">
        <v>82</v>
      </c>
      <c r="D485">
        <v>31</v>
      </c>
      <c r="E485">
        <v>125</v>
      </c>
      <c r="F485">
        <v>38.200000000000003</v>
      </c>
      <c r="G485">
        <v>0.67200000000000004</v>
      </c>
      <c r="H485">
        <v>23</v>
      </c>
      <c r="I485">
        <v>0</v>
      </c>
    </row>
    <row r="486" spans="1:9" x14ac:dyDescent="0.25">
      <c r="A486">
        <v>4</v>
      </c>
      <c r="B486">
        <v>145</v>
      </c>
      <c r="C486">
        <v>69</v>
      </c>
      <c r="D486">
        <v>21</v>
      </c>
      <c r="E486">
        <v>80</v>
      </c>
      <c r="F486">
        <v>44.2</v>
      </c>
      <c r="G486">
        <v>0.67200000000000004</v>
      </c>
      <c r="H486">
        <v>31</v>
      </c>
      <c r="I486">
        <v>1</v>
      </c>
    </row>
    <row r="487" spans="1:9" x14ac:dyDescent="0.25">
      <c r="A487">
        <v>4</v>
      </c>
      <c r="B487">
        <v>135</v>
      </c>
      <c r="C487">
        <v>68</v>
      </c>
      <c r="D487">
        <v>42</v>
      </c>
      <c r="E487">
        <v>250</v>
      </c>
      <c r="F487">
        <v>42.3</v>
      </c>
      <c r="G487">
        <v>0.67200000000000004</v>
      </c>
      <c r="H487">
        <v>24</v>
      </c>
      <c r="I487">
        <v>1</v>
      </c>
    </row>
    <row r="488" spans="1:9" x14ac:dyDescent="0.25">
      <c r="A488">
        <v>1</v>
      </c>
      <c r="B488">
        <v>139</v>
      </c>
      <c r="C488">
        <v>62</v>
      </c>
      <c r="D488">
        <v>41</v>
      </c>
      <c r="E488">
        <v>480</v>
      </c>
      <c r="F488">
        <v>40.700000000000003</v>
      </c>
      <c r="G488">
        <v>0.67200000000000004</v>
      </c>
      <c r="H488">
        <v>21</v>
      </c>
      <c r="I488">
        <v>0</v>
      </c>
    </row>
    <row r="489" spans="1:9" x14ac:dyDescent="0.25">
      <c r="A489">
        <v>4</v>
      </c>
      <c r="B489">
        <v>173</v>
      </c>
      <c r="C489">
        <v>78</v>
      </c>
      <c r="D489">
        <v>32</v>
      </c>
      <c r="E489">
        <v>265</v>
      </c>
      <c r="F489">
        <v>46.5</v>
      </c>
      <c r="G489">
        <v>0.67200000000000004</v>
      </c>
      <c r="H489">
        <v>58</v>
      </c>
      <c r="I489">
        <v>0</v>
      </c>
    </row>
    <row r="490" spans="1:9" x14ac:dyDescent="0.25">
      <c r="A490">
        <v>4</v>
      </c>
      <c r="B490">
        <v>99</v>
      </c>
      <c r="C490">
        <v>72</v>
      </c>
      <c r="D490">
        <v>17</v>
      </c>
      <c r="E490">
        <v>80</v>
      </c>
      <c r="F490">
        <v>25.6</v>
      </c>
      <c r="G490">
        <v>0.67200000000000004</v>
      </c>
      <c r="H490">
        <v>28</v>
      </c>
      <c r="I490">
        <v>0</v>
      </c>
    </row>
    <row r="491" spans="1:9" x14ac:dyDescent="0.25">
      <c r="A491">
        <v>8</v>
      </c>
      <c r="B491">
        <v>194</v>
      </c>
      <c r="C491">
        <v>80</v>
      </c>
      <c r="D491">
        <v>21</v>
      </c>
      <c r="E491">
        <v>80</v>
      </c>
      <c r="F491">
        <v>26.1</v>
      </c>
      <c r="G491">
        <v>0.67200000000000004</v>
      </c>
      <c r="H491">
        <v>67</v>
      </c>
      <c r="I491">
        <v>0</v>
      </c>
    </row>
    <row r="492" spans="1:9" x14ac:dyDescent="0.25">
      <c r="A492">
        <v>2</v>
      </c>
      <c r="B492">
        <v>83</v>
      </c>
      <c r="C492">
        <v>65</v>
      </c>
      <c r="D492">
        <v>28</v>
      </c>
      <c r="E492">
        <v>66</v>
      </c>
      <c r="F492">
        <v>36.799999999999997</v>
      </c>
      <c r="G492">
        <v>0.67200000000000004</v>
      </c>
      <c r="H492">
        <v>24</v>
      </c>
      <c r="I492">
        <v>0</v>
      </c>
    </row>
    <row r="493" spans="1:9" x14ac:dyDescent="0.25">
      <c r="A493">
        <v>2</v>
      </c>
      <c r="B493">
        <v>89</v>
      </c>
      <c r="C493">
        <v>90</v>
      </c>
      <c r="D493">
        <v>30</v>
      </c>
      <c r="E493">
        <v>80</v>
      </c>
      <c r="F493">
        <v>33.5</v>
      </c>
      <c r="G493">
        <v>0.67200000000000004</v>
      </c>
      <c r="H493">
        <v>42</v>
      </c>
      <c r="I493">
        <v>0</v>
      </c>
    </row>
    <row r="494" spans="1:9" x14ac:dyDescent="0.25">
      <c r="A494">
        <v>4</v>
      </c>
      <c r="B494">
        <v>99</v>
      </c>
      <c r="C494">
        <v>68</v>
      </c>
      <c r="D494">
        <v>38</v>
      </c>
      <c r="E494">
        <v>80</v>
      </c>
      <c r="F494">
        <v>32.799999999999997</v>
      </c>
      <c r="G494">
        <v>0.67200000000000004</v>
      </c>
      <c r="H494">
        <v>33</v>
      </c>
      <c r="I494">
        <v>0</v>
      </c>
    </row>
    <row r="495" spans="1:9" x14ac:dyDescent="0.25">
      <c r="A495">
        <v>4</v>
      </c>
      <c r="B495">
        <v>125</v>
      </c>
      <c r="C495">
        <v>70</v>
      </c>
      <c r="D495">
        <v>18</v>
      </c>
      <c r="E495">
        <v>122</v>
      </c>
      <c r="F495">
        <v>28.9</v>
      </c>
      <c r="G495">
        <v>0.67200000000000004</v>
      </c>
      <c r="H495">
        <v>45</v>
      </c>
      <c r="I495">
        <v>1</v>
      </c>
    </row>
    <row r="496" spans="1:9" x14ac:dyDescent="0.25">
      <c r="A496">
        <v>3</v>
      </c>
      <c r="B496">
        <v>80</v>
      </c>
      <c r="C496">
        <v>69</v>
      </c>
      <c r="D496">
        <v>21</v>
      </c>
      <c r="E496">
        <v>80</v>
      </c>
      <c r="F496">
        <v>32</v>
      </c>
      <c r="G496">
        <v>0.67200000000000004</v>
      </c>
      <c r="H496">
        <v>22</v>
      </c>
      <c r="I496">
        <v>0</v>
      </c>
    </row>
    <row r="497" spans="1:9" x14ac:dyDescent="0.25">
      <c r="A497">
        <v>6</v>
      </c>
      <c r="B497">
        <v>166</v>
      </c>
      <c r="C497">
        <v>74</v>
      </c>
      <c r="D497">
        <v>21</v>
      </c>
      <c r="E497">
        <v>80</v>
      </c>
      <c r="F497">
        <v>26.6</v>
      </c>
      <c r="G497">
        <v>0.67200000000000004</v>
      </c>
      <c r="H497">
        <v>66</v>
      </c>
      <c r="I497">
        <v>0</v>
      </c>
    </row>
    <row r="498" spans="1:9" x14ac:dyDescent="0.25">
      <c r="A498">
        <v>5</v>
      </c>
      <c r="B498">
        <v>110</v>
      </c>
      <c r="C498">
        <v>68</v>
      </c>
      <c r="D498">
        <v>21</v>
      </c>
      <c r="E498">
        <v>80</v>
      </c>
      <c r="F498">
        <v>26</v>
      </c>
      <c r="G498">
        <v>0.67200000000000004</v>
      </c>
      <c r="H498">
        <v>30</v>
      </c>
      <c r="I498">
        <v>0</v>
      </c>
    </row>
    <row r="499" spans="1:9" x14ac:dyDescent="0.25">
      <c r="A499">
        <v>2</v>
      </c>
      <c r="B499">
        <v>81</v>
      </c>
      <c r="C499">
        <v>72</v>
      </c>
      <c r="D499">
        <v>15</v>
      </c>
      <c r="E499">
        <v>76</v>
      </c>
      <c r="F499">
        <v>30.1</v>
      </c>
      <c r="G499">
        <v>0.67200000000000004</v>
      </c>
      <c r="H499">
        <v>25</v>
      </c>
      <c r="I499">
        <v>0</v>
      </c>
    </row>
    <row r="500" spans="1:9" x14ac:dyDescent="0.25">
      <c r="A500">
        <v>7</v>
      </c>
      <c r="B500">
        <v>195</v>
      </c>
      <c r="C500">
        <v>70</v>
      </c>
      <c r="D500">
        <v>33</v>
      </c>
      <c r="E500">
        <v>145</v>
      </c>
      <c r="F500">
        <v>25.1</v>
      </c>
      <c r="G500">
        <v>0.67200000000000004</v>
      </c>
      <c r="H500">
        <v>55</v>
      </c>
      <c r="I500">
        <v>1</v>
      </c>
    </row>
    <row r="501" spans="1:9" x14ac:dyDescent="0.25">
      <c r="A501">
        <v>6</v>
      </c>
      <c r="B501">
        <v>154</v>
      </c>
      <c r="C501">
        <v>74</v>
      </c>
      <c r="D501">
        <v>32</v>
      </c>
      <c r="E501">
        <v>193</v>
      </c>
      <c r="F501">
        <v>29.3</v>
      </c>
      <c r="G501">
        <v>0.67200000000000004</v>
      </c>
      <c r="H501">
        <v>39</v>
      </c>
      <c r="I501">
        <v>0</v>
      </c>
    </row>
    <row r="502" spans="1:9" x14ac:dyDescent="0.25">
      <c r="A502">
        <v>2</v>
      </c>
      <c r="B502">
        <v>117</v>
      </c>
      <c r="C502">
        <v>90</v>
      </c>
      <c r="D502">
        <v>19</v>
      </c>
      <c r="E502">
        <v>71</v>
      </c>
      <c r="F502">
        <v>25.2</v>
      </c>
      <c r="G502">
        <v>0.67200000000000004</v>
      </c>
      <c r="H502">
        <v>21</v>
      </c>
      <c r="I502">
        <v>0</v>
      </c>
    </row>
    <row r="503" spans="1:9" x14ac:dyDescent="0.25">
      <c r="A503">
        <v>3</v>
      </c>
      <c r="B503">
        <v>84</v>
      </c>
      <c r="C503">
        <v>72</v>
      </c>
      <c r="D503">
        <v>32</v>
      </c>
      <c r="E503">
        <v>80</v>
      </c>
      <c r="F503">
        <v>37.200000000000003</v>
      </c>
      <c r="G503">
        <v>0.67200000000000004</v>
      </c>
      <c r="H503">
        <v>28</v>
      </c>
      <c r="I503">
        <v>0</v>
      </c>
    </row>
    <row r="504" spans="1:9" x14ac:dyDescent="0.25">
      <c r="A504">
        <v>6</v>
      </c>
      <c r="B504">
        <v>121</v>
      </c>
      <c r="C504">
        <v>68</v>
      </c>
      <c r="D504">
        <v>41</v>
      </c>
      <c r="E504">
        <v>80</v>
      </c>
      <c r="F504">
        <v>39</v>
      </c>
      <c r="G504">
        <v>0.67200000000000004</v>
      </c>
      <c r="H504">
        <v>41</v>
      </c>
      <c r="I504">
        <v>1</v>
      </c>
    </row>
    <row r="505" spans="1:9" x14ac:dyDescent="0.25">
      <c r="A505">
        <v>7</v>
      </c>
      <c r="B505">
        <v>94</v>
      </c>
      <c r="C505">
        <v>64</v>
      </c>
      <c r="D505">
        <v>25</v>
      </c>
      <c r="E505">
        <v>79</v>
      </c>
      <c r="F505">
        <v>33.299999999999997</v>
      </c>
      <c r="G505">
        <v>0.67200000000000004</v>
      </c>
      <c r="H505">
        <v>41</v>
      </c>
      <c r="I505">
        <v>0</v>
      </c>
    </row>
    <row r="506" spans="1:9" x14ac:dyDescent="0.25">
      <c r="A506">
        <v>3</v>
      </c>
      <c r="B506">
        <v>96</v>
      </c>
      <c r="C506">
        <v>78</v>
      </c>
      <c r="D506">
        <v>39</v>
      </c>
      <c r="E506">
        <v>80</v>
      </c>
      <c r="F506">
        <v>37.299999999999997</v>
      </c>
      <c r="G506">
        <v>0.67200000000000004</v>
      </c>
      <c r="H506">
        <v>40</v>
      </c>
      <c r="I506">
        <v>0</v>
      </c>
    </row>
    <row r="507" spans="1:9" x14ac:dyDescent="0.25">
      <c r="A507">
        <v>10</v>
      </c>
      <c r="B507">
        <v>75</v>
      </c>
      <c r="C507">
        <v>82</v>
      </c>
      <c r="D507">
        <v>21</v>
      </c>
      <c r="E507">
        <v>80</v>
      </c>
      <c r="F507">
        <v>33.299999999999997</v>
      </c>
      <c r="G507">
        <v>0.67200000000000004</v>
      </c>
      <c r="H507">
        <v>38</v>
      </c>
      <c r="I507">
        <v>0</v>
      </c>
    </row>
    <row r="508" spans="1:9" x14ac:dyDescent="0.25">
      <c r="A508">
        <v>4</v>
      </c>
      <c r="B508">
        <v>180</v>
      </c>
      <c r="C508">
        <v>90</v>
      </c>
      <c r="D508">
        <v>26</v>
      </c>
      <c r="E508">
        <v>90</v>
      </c>
      <c r="F508">
        <v>36.5</v>
      </c>
      <c r="G508">
        <v>0.67200000000000004</v>
      </c>
      <c r="H508">
        <v>35</v>
      </c>
      <c r="I508">
        <v>1</v>
      </c>
    </row>
    <row r="509" spans="1:9" x14ac:dyDescent="0.25">
      <c r="A509">
        <v>1</v>
      </c>
      <c r="B509">
        <v>130</v>
      </c>
      <c r="C509">
        <v>60</v>
      </c>
      <c r="D509">
        <v>23</v>
      </c>
      <c r="E509">
        <v>170</v>
      </c>
      <c r="F509">
        <v>28.6</v>
      </c>
      <c r="G509">
        <v>0.67200000000000004</v>
      </c>
      <c r="H509">
        <v>21</v>
      </c>
      <c r="I509">
        <v>0</v>
      </c>
    </row>
    <row r="510" spans="1:9" x14ac:dyDescent="0.25">
      <c r="A510">
        <v>2</v>
      </c>
      <c r="B510">
        <v>84</v>
      </c>
      <c r="C510">
        <v>50</v>
      </c>
      <c r="D510">
        <v>23</v>
      </c>
      <c r="E510">
        <v>76</v>
      </c>
      <c r="F510">
        <v>30.4</v>
      </c>
      <c r="G510">
        <v>0.67200000000000004</v>
      </c>
      <c r="H510">
        <v>21</v>
      </c>
      <c r="I510">
        <v>0</v>
      </c>
    </row>
    <row r="511" spans="1:9" x14ac:dyDescent="0.25">
      <c r="A511">
        <v>8</v>
      </c>
      <c r="B511">
        <v>120</v>
      </c>
      <c r="C511">
        <v>78</v>
      </c>
      <c r="D511">
        <v>21</v>
      </c>
      <c r="E511">
        <v>80</v>
      </c>
      <c r="F511">
        <v>25</v>
      </c>
      <c r="G511">
        <v>0.67200000000000004</v>
      </c>
      <c r="H511">
        <v>64</v>
      </c>
      <c r="I511">
        <v>0</v>
      </c>
    </row>
    <row r="512" spans="1:9" x14ac:dyDescent="0.25">
      <c r="A512">
        <v>12</v>
      </c>
      <c r="B512">
        <v>84</v>
      </c>
      <c r="C512">
        <v>72</v>
      </c>
      <c r="D512">
        <v>31</v>
      </c>
      <c r="E512">
        <v>80</v>
      </c>
      <c r="F512">
        <v>29.7</v>
      </c>
      <c r="G512">
        <v>0.67200000000000004</v>
      </c>
      <c r="H512">
        <v>46</v>
      </c>
      <c r="I512">
        <v>1</v>
      </c>
    </row>
    <row r="513" spans="1:9" x14ac:dyDescent="0.25">
      <c r="A513">
        <v>4</v>
      </c>
      <c r="B513">
        <v>139</v>
      </c>
      <c r="C513">
        <v>62</v>
      </c>
      <c r="D513">
        <v>17</v>
      </c>
      <c r="E513">
        <v>210</v>
      </c>
      <c r="F513">
        <v>22.1</v>
      </c>
      <c r="G513">
        <v>0.67200000000000004</v>
      </c>
      <c r="H513">
        <v>21</v>
      </c>
      <c r="I513">
        <v>0</v>
      </c>
    </row>
    <row r="514" spans="1:9" x14ac:dyDescent="0.25">
      <c r="A514">
        <v>9</v>
      </c>
      <c r="B514">
        <v>91</v>
      </c>
      <c r="C514">
        <v>68</v>
      </c>
      <c r="D514">
        <v>21</v>
      </c>
      <c r="E514">
        <v>80</v>
      </c>
      <c r="F514">
        <v>24.2</v>
      </c>
      <c r="G514">
        <v>0.67200000000000004</v>
      </c>
      <c r="H514">
        <v>58</v>
      </c>
      <c r="I514">
        <v>0</v>
      </c>
    </row>
    <row r="515" spans="1:9" x14ac:dyDescent="0.25">
      <c r="A515">
        <v>2</v>
      </c>
      <c r="B515">
        <v>91</v>
      </c>
      <c r="C515">
        <v>62</v>
      </c>
      <c r="D515">
        <v>21</v>
      </c>
      <c r="E515">
        <v>80</v>
      </c>
      <c r="F515">
        <v>27.3</v>
      </c>
      <c r="G515">
        <v>0.67200000000000004</v>
      </c>
      <c r="H515">
        <v>22</v>
      </c>
      <c r="I515">
        <v>0</v>
      </c>
    </row>
    <row r="516" spans="1:9" x14ac:dyDescent="0.25">
      <c r="A516">
        <v>3</v>
      </c>
      <c r="B516">
        <v>99</v>
      </c>
      <c r="C516">
        <v>54</v>
      </c>
      <c r="D516">
        <v>19</v>
      </c>
      <c r="E516">
        <v>86</v>
      </c>
      <c r="F516">
        <v>25.6</v>
      </c>
      <c r="G516">
        <v>0.67200000000000004</v>
      </c>
      <c r="H516">
        <v>24</v>
      </c>
      <c r="I516">
        <v>0</v>
      </c>
    </row>
    <row r="517" spans="1:9" x14ac:dyDescent="0.25">
      <c r="A517">
        <v>3</v>
      </c>
      <c r="B517">
        <v>163</v>
      </c>
      <c r="C517">
        <v>70</v>
      </c>
      <c r="D517">
        <v>18</v>
      </c>
      <c r="E517">
        <v>105</v>
      </c>
      <c r="F517">
        <v>31.6</v>
      </c>
      <c r="G517">
        <v>0.67200000000000004</v>
      </c>
      <c r="H517">
        <v>28</v>
      </c>
      <c r="I517">
        <v>1</v>
      </c>
    </row>
    <row r="518" spans="1:9" x14ac:dyDescent="0.25">
      <c r="A518">
        <v>9</v>
      </c>
      <c r="B518">
        <v>145</v>
      </c>
      <c r="C518">
        <v>88</v>
      </c>
      <c r="D518">
        <v>34</v>
      </c>
      <c r="E518">
        <v>165</v>
      </c>
      <c r="F518">
        <v>30.3</v>
      </c>
      <c r="G518">
        <v>0.67200000000000004</v>
      </c>
      <c r="H518">
        <v>53</v>
      </c>
      <c r="I518">
        <v>1</v>
      </c>
    </row>
    <row r="519" spans="1:9" x14ac:dyDescent="0.25">
      <c r="A519">
        <v>7</v>
      </c>
      <c r="B519">
        <v>125</v>
      </c>
      <c r="C519">
        <v>86</v>
      </c>
      <c r="D519">
        <v>21</v>
      </c>
      <c r="E519">
        <v>80</v>
      </c>
      <c r="F519">
        <v>37.6</v>
      </c>
      <c r="G519">
        <v>0.67200000000000004</v>
      </c>
      <c r="H519">
        <v>51</v>
      </c>
      <c r="I519">
        <v>0</v>
      </c>
    </row>
    <row r="520" spans="1:9" x14ac:dyDescent="0.25">
      <c r="A520">
        <v>13</v>
      </c>
      <c r="B520">
        <v>76</v>
      </c>
      <c r="C520">
        <v>60</v>
      </c>
      <c r="D520">
        <v>21</v>
      </c>
      <c r="E520">
        <v>80</v>
      </c>
      <c r="F520">
        <v>32.799999999999997</v>
      </c>
      <c r="G520">
        <v>0.67200000000000004</v>
      </c>
      <c r="H520">
        <v>41</v>
      </c>
      <c r="I520">
        <v>0</v>
      </c>
    </row>
    <row r="521" spans="1:9" x14ac:dyDescent="0.25">
      <c r="A521">
        <v>6</v>
      </c>
      <c r="B521">
        <v>129</v>
      </c>
      <c r="C521">
        <v>90</v>
      </c>
      <c r="D521">
        <v>7</v>
      </c>
      <c r="E521">
        <v>326</v>
      </c>
      <c r="F521">
        <v>19.600000000000001</v>
      </c>
      <c r="G521">
        <v>0.67200000000000004</v>
      </c>
      <c r="H521">
        <v>60</v>
      </c>
      <c r="I521">
        <v>0</v>
      </c>
    </row>
    <row r="522" spans="1:9" x14ac:dyDescent="0.25">
      <c r="A522">
        <v>2</v>
      </c>
      <c r="B522">
        <v>68</v>
      </c>
      <c r="C522">
        <v>70</v>
      </c>
      <c r="D522">
        <v>32</v>
      </c>
      <c r="E522">
        <v>66</v>
      </c>
      <c r="F522">
        <v>25</v>
      </c>
      <c r="G522">
        <v>0.67200000000000004</v>
      </c>
      <c r="H522">
        <v>25</v>
      </c>
      <c r="I522">
        <v>0</v>
      </c>
    </row>
    <row r="523" spans="1:9" x14ac:dyDescent="0.25">
      <c r="A523">
        <v>3</v>
      </c>
      <c r="B523">
        <v>124</v>
      </c>
      <c r="C523">
        <v>80</v>
      </c>
      <c r="D523">
        <v>33</v>
      </c>
      <c r="E523">
        <v>130</v>
      </c>
      <c r="F523">
        <v>33.200000000000003</v>
      </c>
      <c r="G523">
        <v>0.67200000000000004</v>
      </c>
      <c r="H523">
        <v>26</v>
      </c>
      <c r="I523">
        <v>0</v>
      </c>
    </row>
    <row r="524" spans="1:9" x14ac:dyDescent="0.25">
      <c r="A524">
        <v>6</v>
      </c>
      <c r="B524">
        <v>114</v>
      </c>
      <c r="C524">
        <v>69</v>
      </c>
      <c r="D524">
        <v>21</v>
      </c>
      <c r="E524">
        <v>80</v>
      </c>
      <c r="F524">
        <v>32</v>
      </c>
      <c r="G524">
        <v>0.67200000000000004</v>
      </c>
      <c r="H524">
        <v>26</v>
      </c>
      <c r="I524">
        <v>0</v>
      </c>
    </row>
    <row r="525" spans="1:9" x14ac:dyDescent="0.25">
      <c r="A525">
        <v>9</v>
      </c>
      <c r="B525">
        <v>130</v>
      </c>
      <c r="C525">
        <v>70</v>
      </c>
      <c r="D525">
        <v>21</v>
      </c>
      <c r="E525">
        <v>80</v>
      </c>
      <c r="F525">
        <v>34.200000000000003</v>
      </c>
      <c r="G525">
        <v>0.67200000000000004</v>
      </c>
      <c r="H525">
        <v>45</v>
      </c>
      <c r="I525">
        <v>1</v>
      </c>
    </row>
    <row r="526" spans="1:9" x14ac:dyDescent="0.25">
      <c r="A526">
        <v>3</v>
      </c>
      <c r="B526">
        <v>125</v>
      </c>
      <c r="C526">
        <v>58</v>
      </c>
      <c r="D526">
        <v>21</v>
      </c>
      <c r="E526">
        <v>80</v>
      </c>
      <c r="F526">
        <v>31.6</v>
      </c>
      <c r="G526">
        <v>0.67200000000000004</v>
      </c>
      <c r="H526">
        <v>24</v>
      </c>
      <c r="I526">
        <v>0</v>
      </c>
    </row>
    <row r="527" spans="1:9" x14ac:dyDescent="0.25">
      <c r="A527">
        <v>3</v>
      </c>
      <c r="B527">
        <v>87</v>
      </c>
      <c r="C527">
        <v>60</v>
      </c>
      <c r="D527">
        <v>18</v>
      </c>
      <c r="E527">
        <v>80</v>
      </c>
      <c r="F527">
        <v>21.8</v>
      </c>
      <c r="G527">
        <v>0.67200000000000004</v>
      </c>
      <c r="H527">
        <v>21</v>
      </c>
      <c r="I527">
        <v>0</v>
      </c>
    </row>
    <row r="528" spans="1:9" x14ac:dyDescent="0.25">
      <c r="A528">
        <v>1</v>
      </c>
      <c r="B528">
        <v>97</v>
      </c>
      <c r="C528">
        <v>64</v>
      </c>
      <c r="D528">
        <v>19</v>
      </c>
      <c r="E528">
        <v>82</v>
      </c>
      <c r="F528">
        <v>18.2</v>
      </c>
      <c r="G528">
        <v>0.67200000000000004</v>
      </c>
      <c r="H528">
        <v>21</v>
      </c>
      <c r="I528">
        <v>0</v>
      </c>
    </row>
    <row r="529" spans="1:9" x14ac:dyDescent="0.25">
      <c r="A529">
        <v>3</v>
      </c>
      <c r="B529">
        <v>116</v>
      </c>
      <c r="C529">
        <v>74</v>
      </c>
      <c r="D529">
        <v>15</v>
      </c>
      <c r="E529">
        <v>105</v>
      </c>
      <c r="F529">
        <v>26.3</v>
      </c>
      <c r="G529">
        <v>0.67200000000000004</v>
      </c>
      <c r="H529">
        <v>24</v>
      </c>
      <c r="I529">
        <v>0</v>
      </c>
    </row>
    <row r="530" spans="1:9" x14ac:dyDescent="0.25">
      <c r="A530">
        <v>4</v>
      </c>
      <c r="B530">
        <v>117</v>
      </c>
      <c r="C530">
        <v>66</v>
      </c>
      <c r="D530">
        <v>31</v>
      </c>
      <c r="E530">
        <v>188</v>
      </c>
      <c r="F530">
        <v>30.8</v>
      </c>
      <c r="G530">
        <v>0.67200000000000004</v>
      </c>
      <c r="H530">
        <v>22</v>
      </c>
      <c r="I530">
        <v>0</v>
      </c>
    </row>
    <row r="531" spans="1:9" x14ac:dyDescent="0.25">
      <c r="A531">
        <v>4</v>
      </c>
      <c r="B531">
        <v>111</v>
      </c>
      <c r="C531">
        <v>65</v>
      </c>
      <c r="D531">
        <v>21</v>
      </c>
      <c r="E531">
        <v>80</v>
      </c>
      <c r="F531">
        <v>24.6</v>
      </c>
      <c r="G531">
        <v>0.67200000000000004</v>
      </c>
      <c r="H531">
        <v>31</v>
      </c>
      <c r="I531">
        <v>0</v>
      </c>
    </row>
    <row r="532" spans="1:9" x14ac:dyDescent="0.25">
      <c r="A532">
        <v>2</v>
      </c>
      <c r="B532">
        <v>122</v>
      </c>
      <c r="C532">
        <v>60</v>
      </c>
      <c r="D532">
        <v>18</v>
      </c>
      <c r="E532">
        <v>106</v>
      </c>
      <c r="F532">
        <v>29.8</v>
      </c>
      <c r="G532">
        <v>0.67200000000000004</v>
      </c>
      <c r="H532">
        <v>22</v>
      </c>
      <c r="I532">
        <v>0</v>
      </c>
    </row>
    <row r="533" spans="1:9" x14ac:dyDescent="0.25">
      <c r="A533">
        <v>4</v>
      </c>
      <c r="B533">
        <v>107</v>
      </c>
      <c r="C533">
        <v>76</v>
      </c>
      <c r="D533">
        <v>21</v>
      </c>
      <c r="E533">
        <v>80</v>
      </c>
      <c r="F533">
        <v>45.3</v>
      </c>
      <c r="G533">
        <v>0.67200000000000004</v>
      </c>
      <c r="H533">
        <v>24</v>
      </c>
      <c r="I533">
        <v>0</v>
      </c>
    </row>
    <row r="534" spans="1:9" x14ac:dyDescent="0.25">
      <c r="A534">
        <v>1</v>
      </c>
      <c r="B534">
        <v>86</v>
      </c>
      <c r="C534">
        <v>66</v>
      </c>
      <c r="D534">
        <v>52</v>
      </c>
      <c r="E534">
        <v>65</v>
      </c>
      <c r="F534">
        <v>41.3</v>
      </c>
      <c r="G534">
        <v>0.67200000000000004</v>
      </c>
      <c r="H534">
        <v>29</v>
      </c>
      <c r="I534">
        <v>0</v>
      </c>
    </row>
    <row r="535" spans="1:9" x14ac:dyDescent="0.25">
      <c r="A535">
        <v>6</v>
      </c>
      <c r="B535">
        <v>91</v>
      </c>
      <c r="C535">
        <v>69</v>
      </c>
      <c r="D535">
        <v>21</v>
      </c>
      <c r="E535">
        <v>80</v>
      </c>
      <c r="F535">
        <v>29.8</v>
      </c>
      <c r="G535">
        <v>0.67200000000000004</v>
      </c>
      <c r="H535">
        <v>31</v>
      </c>
      <c r="I535">
        <v>0</v>
      </c>
    </row>
    <row r="536" spans="1:9" x14ac:dyDescent="0.25">
      <c r="A536">
        <v>1</v>
      </c>
      <c r="B536">
        <v>77</v>
      </c>
      <c r="C536">
        <v>56</v>
      </c>
      <c r="D536">
        <v>30</v>
      </c>
      <c r="E536">
        <v>56</v>
      </c>
      <c r="F536">
        <v>33.299999999999997</v>
      </c>
      <c r="G536">
        <v>0.67200000000000004</v>
      </c>
      <c r="H536">
        <v>24</v>
      </c>
      <c r="I536">
        <v>0</v>
      </c>
    </row>
    <row r="537" spans="1:9" x14ac:dyDescent="0.25">
      <c r="A537">
        <v>4</v>
      </c>
      <c r="B537">
        <v>132</v>
      </c>
      <c r="C537">
        <v>69</v>
      </c>
      <c r="D537">
        <v>21</v>
      </c>
      <c r="E537">
        <v>80</v>
      </c>
      <c r="F537">
        <v>32.9</v>
      </c>
      <c r="G537">
        <v>0.67200000000000004</v>
      </c>
      <c r="H537">
        <v>23</v>
      </c>
      <c r="I537">
        <v>1</v>
      </c>
    </row>
    <row r="538" spans="1:9" x14ac:dyDescent="0.25">
      <c r="A538">
        <v>4</v>
      </c>
      <c r="B538">
        <v>105</v>
      </c>
      <c r="C538">
        <v>90</v>
      </c>
      <c r="D538">
        <v>21</v>
      </c>
      <c r="E538">
        <v>80</v>
      </c>
      <c r="F538">
        <v>29.6</v>
      </c>
      <c r="G538">
        <v>0.67200000000000004</v>
      </c>
      <c r="H538">
        <v>46</v>
      </c>
      <c r="I538">
        <v>0</v>
      </c>
    </row>
    <row r="539" spans="1:9" x14ac:dyDescent="0.25">
      <c r="A539">
        <v>4</v>
      </c>
      <c r="B539">
        <v>57</v>
      </c>
      <c r="C539">
        <v>60</v>
      </c>
      <c r="D539">
        <v>21</v>
      </c>
      <c r="E539">
        <v>80</v>
      </c>
      <c r="F539">
        <v>21.7</v>
      </c>
      <c r="G539">
        <v>0.67200000000000004</v>
      </c>
      <c r="H539">
        <v>67</v>
      </c>
      <c r="I539">
        <v>0</v>
      </c>
    </row>
    <row r="540" spans="1:9" x14ac:dyDescent="0.25">
      <c r="A540">
        <v>4</v>
      </c>
      <c r="B540">
        <v>127</v>
      </c>
      <c r="C540">
        <v>80</v>
      </c>
      <c r="D540">
        <v>37</v>
      </c>
      <c r="E540">
        <v>210</v>
      </c>
      <c r="F540">
        <v>36.299999999999997</v>
      </c>
      <c r="G540">
        <v>0.67200000000000004</v>
      </c>
      <c r="H540">
        <v>23</v>
      </c>
      <c r="I540">
        <v>0</v>
      </c>
    </row>
    <row r="541" spans="1:9" x14ac:dyDescent="0.25">
      <c r="A541">
        <v>3</v>
      </c>
      <c r="B541">
        <v>129</v>
      </c>
      <c r="C541">
        <v>92</v>
      </c>
      <c r="D541">
        <v>49</v>
      </c>
      <c r="E541">
        <v>155</v>
      </c>
      <c r="F541">
        <v>36.4</v>
      </c>
      <c r="G541">
        <v>0.67200000000000004</v>
      </c>
      <c r="H541">
        <v>32</v>
      </c>
      <c r="I541">
        <v>1</v>
      </c>
    </row>
    <row r="542" spans="1:9" x14ac:dyDescent="0.25">
      <c r="A542">
        <v>8</v>
      </c>
      <c r="B542">
        <v>100</v>
      </c>
      <c r="C542">
        <v>74</v>
      </c>
      <c r="D542">
        <v>40</v>
      </c>
      <c r="E542">
        <v>215</v>
      </c>
      <c r="F542">
        <v>39.4</v>
      </c>
      <c r="G542">
        <v>0.67200000000000004</v>
      </c>
      <c r="H542">
        <v>43</v>
      </c>
      <c r="I542">
        <v>1</v>
      </c>
    </row>
    <row r="543" spans="1:9" x14ac:dyDescent="0.25">
      <c r="A543">
        <v>3</v>
      </c>
      <c r="B543">
        <v>128</v>
      </c>
      <c r="C543">
        <v>72</v>
      </c>
      <c r="D543">
        <v>25</v>
      </c>
      <c r="E543">
        <v>190</v>
      </c>
      <c r="F543">
        <v>32.4</v>
      </c>
      <c r="G543">
        <v>0.67200000000000004</v>
      </c>
      <c r="H543">
        <v>27</v>
      </c>
      <c r="I543">
        <v>1</v>
      </c>
    </row>
    <row r="544" spans="1:9" x14ac:dyDescent="0.25">
      <c r="A544">
        <v>10</v>
      </c>
      <c r="B544">
        <v>90</v>
      </c>
      <c r="C544">
        <v>85</v>
      </c>
      <c r="D544">
        <v>32</v>
      </c>
      <c r="E544">
        <v>80</v>
      </c>
      <c r="F544">
        <v>34.9</v>
      </c>
      <c r="G544">
        <v>0.67200000000000004</v>
      </c>
      <c r="H544">
        <v>56</v>
      </c>
      <c r="I544">
        <v>1</v>
      </c>
    </row>
    <row r="545" spans="1:9" x14ac:dyDescent="0.25">
      <c r="A545">
        <v>4</v>
      </c>
      <c r="B545">
        <v>84</v>
      </c>
      <c r="C545">
        <v>90</v>
      </c>
      <c r="D545">
        <v>23</v>
      </c>
      <c r="E545">
        <v>56</v>
      </c>
      <c r="F545">
        <v>39.5</v>
      </c>
      <c r="G545">
        <v>0.67200000000000004</v>
      </c>
      <c r="H545">
        <v>25</v>
      </c>
      <c r="I545">
        <v>0</v>
      </c>
    </row>
    <row r="546" spans="1:9" x14ac:dyDescent="0.25">
      <c r="A546">
        <v>1</v>
      </c>
      <c r="B546">
        <v>88</v>
      </c>
      <c r="C546">
        <v>78</v>
      </c>
      <c r="D546">
        <v>29</v>
      </c>
      <c r="E546">
        <v>76</v>
      </c>
      <c r="F546">
        <v>32</v>
      </c>
      <c r="G546">
        <v>0.67200000000000004</v>
      </c>
      <c r="H546">
        <v>29</v>
      </c>
      <c r="I546">
        <v>0</v>
      </c>
    </row>
    <row r="547" spans="1:9" x14ac:dyDescent="0.25">
      <c r="A547">
        <v>8</v>
      </c>
      <c r="B547">
        <v>186</v>
      </c>
      <c r="C547">
        <v>90</v>
      </c>
      <c r="D547">
        <v>35</v>
      </c>
      <c r="E547">
        <v>225</v>
      </c>
      <c r="F547">
        <v>34.5</v>
      </c>
      <c r="G547">
        <v>0.67200000000000004</v>
      </c>
      <c r="H547">
        <v>37</v>
      </c>
      <c r="I547">
        <v>1</v>
      </c>
    </row>
    <row r="548" spans="1:9" x14ac:dyDescent="0.25">
      <c r="A548">
        <v>5</v>
      </c>
      <c r="B548">
        <v>187</v>
      </c>
      <c r="C548">
        <v>76</v>
      </c>
      <c r="D548">
        <v>27</v>
      </c>
      <c r="E548">
        <v>207</v>
      </c>
      <c r="F548">
        <v>43.6</v>
      </c>
      <c r="G548">
        <v>0.67200000000000004</v>
      </c>
      <c r="H548">
        <v>53</v>
      </c>
      <c r="I548">
        <v>1</v>
      </c>
    </row>
    <row r="549" spans="1:9" x14ac:dyDescent="0.25">
      <c r="A549">
        <v>4</v>
      </c>
      <c r="B549">
        <v>131</v>
      </c>
      <c r="C549">
        <v>68</v>
      </c>
      <c r="D549">
        <v>21</v>
      </c>
      <c r="E549">
        <v>166</v>
      </c>
      <c r="F549">
        <v>33.1</v>
      </c>
      <c r="G549">
        <v>0.67200000000000004</v>
      </c>
      <c r="H549">
        <v>28</v>
      </c>
      <c r="I549">
        <v>0</v>
      </c>
    </row>
    <row r="550" spans="1:9" x14ac:dyDescent="0.25">
      <c r="A550">
        <v>1</v>
      </c>
      <c r="B550">
        <v>164</v>
      </c>
      <c r="C550">
        <v>82</v>
      </c>
      <c r="D550">
        <v>43</v>
      </c>
      <c r="E550">
        <v>67</v>
      </c>
      <c r="F550">
        <v>32.799999999999997</v>
      </c>
      <c r="G550">
        <v>0.67200000000000004</v>
      </c>
      <c r="H550">
        <v>50</v>
      </c>
      <c r="I550">
        <v>0</v>
      </c>
    </row>
    <row r="551" spans="1:9" x14ac:dyDescent="0.25">
      <c r="A551">
        <v>4</v>
      </c>
      <c r="B551">
        <v>189</v>
      </c>
      <c r="C551">
        <v>110</v>
      </c>
      <c r="D551">
        <v>31</v>
      </c>
      <c r="E551">
        <v>80</v>
      </c>
      <c r="F551">
        <v>28.5</v>
      </c>
      <c r="G551">
        <v>0.67200000000000004</v>
      </c>
      <c r="H551">
        <v>37</v>
      </c>
      <c r="I551">
        <v>0</v>
      </c>
    </row>
    <row r="552" spans="1:9" x14ac:dyDescent="0.25">
      <c r="A552">
        <v>1</v>
      </c>
      <c r="B552">
        <v>116</v>
      </c>
      <c r="C552">
        <v>70</v>
      </c>
      <c r="D552">
        <v>28</v>
      </c>
      <c r="E552">
        <v>80</v>
      </c>
      <c r="F552">
        <v>27.4</v>
      </c>
      <c r="G552">
        <v>0.67200000000000004</v>
      </c>
      <c r="H552">
        <v>21</v>
      </c>
      <c r="I552">
        <v>0</v>
      </c>
    </row>
    <row r="553" spans="1:9" x14ac:dyDescent="0.25">
      <c r="A553">
        <v>3</v>
      </c>
      <c r="B553">
        <v>84</v>
      </c>
      <c r="C553">
        <v>68</v>
      </c>
      <c r="D553">
        <v>30</v>
      </c>
      <c r="E553">
        <v>106</v>
      </c>
      <c r="F553">
        <v>31.9</v>
      </c>
      <c r="G553">
        <v>0.67200000000000004</v>
      </c>
      <c r="H553">
        <v>25</v>
      </c>
      <c r="I553">
        <v>0</v>
      </c>
    </row>
    <row r="554" spans="1:9" x14ac:dyDescent="0.25">
      <c r="A554">
        <v>6</v>
      </c>
      <c r="B554">
        <v>114</v>
      </c>
      <c r="C554">
        <v>88</v>
      </c>
      <c r="D554">
        <v>21</v>
      </c>
      <c r="E554">
        <v>80</v>
      </c>
      <c r="F554">
        <v>27.8</v>
      </c>
      <c r="G554">
        <v>0.67200000000000004</v>
      </c>
      <c r="H554">
        <v>66</v>
      </c>
      <c r="I554">
        <v>0</v>
      </c>
    </row>
    <row r="555" spans="1:9" x14ac:dyDescent="0.25">
      <c r="A555">
        <v>1</v>
      </c>
      <c r="B555">
        <v>88</v>
      </c>
      <c r="C555">
        <v>62</v>
      </c>
      <c r="D555">
        <v>24</v>
      </c>
      <c r="E555">
        <v>44</v>
      </c>
      <c r="F555">
        <v>29.9</v>
      </c>
      <c r="G555">
        <v>0.67200000000000004</v>
      </c>
      <c r="H555">
        <v>23</v>
      </c>
      <c r="I555">
        <v>0</v>
      </c>
    </row>
    <row r="556" spans="1:9" x14ac:dyDescent="0.25">
      <c r="A556">
        <v>1</v>
      </c>
      <c r="B556">
        <v>84</v>
      </c>
      <c r="C556">
        <v>64</v>
      </c>
      <c r="D556">
        <v>23</v>
      </c>
      <c r="E556">
        <v>115</v>
      </c>
      <c r="F556">
        <v>36.9</v>
      </c>
      <c r="G556">
        <v>0.67200000000000004</v>
      </c>
      <c r="H556">
        <v>28</v>
      </c>
      <c r="I556">
        <v>0</v>
      </c>
    </row>
    <row r="557" spans="1:9" x14ac:dyDescent="0.25">
      <c r="A557">
        <v>7</v>
      </c>
      <c r="B557">
        <v>124</v>
      </c>
      <c r="C557">
        <v>70</v>
      </c>
      <c r="D557">
        <v>33</v>
      </c>
      <c r="E557">
        <v>215</v>
      </c>
      <c r="F557">
        <v>25.5</v>
      </c>
      <c r="G557">
        <v>0.67200000000000004</v>
      </c>
      <c r="H557">
        <v>37</v>
      </c>
      <c r="I557">
        <v>0</v>
      </c>
    </row>
    <row r="558" spans="1:9" x14ac:dyDescent="0.25">
      <c r="A558">
        <v>1</v>
      </c>
      <c r="B558">
        <v>97</v>
      </c>
      <c r="C558">
        <v>70</v>
      </c>
      <c r="D558">
        <v>40</v>
      </c>
      <c r="E558">
        <v>80</v>
      </c>
      <c r="F558">
        <v>38.1</v>
      </c>
      <c r="G558">
        <v>0.67200000000000004</v>
      </c>
      <c r="H558">
        <v>30</v>
      </c>
      <c r="I558">
        <v>0</v>
      </c>
    </row>
    <row r="559" spans="1:9" x14ac:dyDescent="0.25">
      <c r="A559">
        <v>8</v>
      </c>
      <c r="B559">
        <v>110</v>
      </c>
      <c r="C559">
        <v>76</v>
      </c>
      <c r="D559">
        <v>21</v>
      </c>
      <c r="E559">
        <v>80</v>
      </c>
      <c r="F559">
        <v>27.8</v>
      </c>
      <c r="G559">
        <v>0.67200000000000004</v>
      </c>
      <c r="H559">
        <v>58</v>
      </c>
      <c r="I559">
        <v>0</v>
      </c>
    </row>
    <row r="560" spans="1:9" x14ac:dyDescent="0.25">
      <c r="A560">
        <v>11</v>
      </c>
      <c r="B560">
        <v>103</v>
      </c>
      <c r="C560">
        <v>68</v>
      </c>
      <c r="D560">
        <v>40</v>
      </c>
      <c r="E560">
        <v>80</v>
      </c>
      <c r="F560">
        <v>46.2</v>
      </c>
      <c r="G560">
        <v>0.67200000000000004</v>
      </c>
      <c r="H560">
        <v>42</v>
      </c>
      <c r="I560">
        <v>0</v>
      </c>
    </row>
    <row r="561" spans="1:9" x14ac:dyDescent="0.25">
      <c r="A561">
        <v>11</v>
      </c>
      <c r="B561">
        <v>85</v>
      </c>
      <c r="C561">
        <v>74</v>
      </c>
      <c r="D561">
        <v>21</v>
      </c>
      <c r="E561">
        <v>80</v>
      </c>
      <c r="F561">
        <v>30.1</v>
      </c>
      <c r="G561">
        <v>0.67200000000000004</v>
      </c>
      <c r="H561">
        <v>35</v>
      </c>
      <c r="I561">
        <v>0</v>
      </c>
    </row>
    <row r="562" spans="1:9" x14ac:dyDescent="0.25">
      <c r="A562">
        <v>6</v>
      </c>
      <c r="B562">
        <v>125</v>
      </c>
      <c r="C562">
        <v>76</v>
      </c>
      <c r="D562">
        <v>21</v>
      </c>
      <c r="E562">
        <v>80</v>
      </c>
      <c r="F562">
        <v>33.799999999999997</v>
      </c>
      <c r="G562">
        <v>0.67200000000000004</v>
      </c>
      <c r="H562">
        <v>54</v>
      </c>
      <c r="I562">
        <v>1</v>
      </c>
    </row>
    <row r="563" spans="1:9" x14ac:dyDescent="0.25">
      <c r="A563">
        <v>4</v>
      </c>
      <c r="B563">
        <v>198</v>
      </c>
      <c r="C563">
        <v>66</v>
      </c>
      <c r="D563">
        <v>32</v>
      </c>
      <c r="E563">
        <v>274</v>
      </c>
      <c r="F563">
        <v>41.3</v>
      </c>
      <c r="G563">
        <v>0.67200000000000004</v>
      </c>
      <c r="H563">
        <v>28</v>
      </c>
      <c r="I563">
        <v>1</v>
      </c>
    </row>
    <row r="564" spans="1:9" x14ac:dyDescent="0.25">
      <c r="A564">
        <v>1</v>
      </c>
      <c r="B564">
        <v>87</v>
      </c>
      <c r="C564">
        <v>68</v>
      </c>
      <c r="D564">
        <v>34</v>
      </c>
      <c r="E564">
        <v>77</v>
      </c>
      <c r="F564">
        <v>37.6</v>
      </c>
      <c r="G564">
        <v>0.67200000000000004</v>
      </c>
      <c r="H564">
        <v>24</v>
      </c>
      <c r="I564">
        <v>0</v>
      </c>
    </row>
    <row r="565" spans="1:9" x14ac:dyDescent="0.25">
      <c r="A565">
        <v>6</v>
      </c>
      <c r="B565">
        <v>99</v>
      </c>
      <c r="C565">
        <v>60</v>
      </c>
      <c r="D565">
        <v>19</v>
      </c>
      <c r="E565">
        <v>54</v>
      </c>
      <c r="F565">
        <v>26.9</v>
      </c>
      <c r="G565">
        <v>0.67200000000000004</v>
      </c>
      <c r="H565">
        <v>32</v>
      </c>
      <c r="I565">
        <v>0</v>
      </c>
    </row>
    <row r="566" spans="1:9" x14ac:dyDescent="0.25">
      <c r="A566">
        <v>4</v>
      </c>
      <c r="B566">
        <v>91</v>
      </c>
      <c r="C566">
        <v>80</v>
      </c>
      <c r="D566">
        <v>21</v>
      </c>
      <c r="E566">
        <v>80</v>
      </c>
      <c r="F566">
        <v>32.4</v>
      </c>
      <c r="G566">
        <v>0.67200000000000004</v>
      </c>
      <c r="H566">
        <v>27</v>
      </c>
      <c r="I566">
        <v>0</v>
      </c>
    </row>
    <row r="567" spans="1:9" x14ac:dyDescent="0.25">
      <c r="A567">
        <v>2</v>
      </c>
      <c r="B567">
        <v>95</v>
      </c>
      <c r="C567">
        <v>54</v>
      </c>
      <c r="D567">
        <v>14</v>
      </c>
      <c r="E567">
        <v>88</v>
      </c>
      <c r="F567">
        <v>26.1</v>
      </c>
      <c r="G567">
        <v>0.67200000000000004</v>
      </c>
      <c r="H567">
        <v>22</v>
      </c>
      <c r="I567">
        <v>0</v>
      </c>
    </row>
    <row r="568" spans="1:9" x14ac:dyDescent="0.25">
      <c r="A568">
        <v>1</v>
      </c>
      <c r="B568">
        <v>99</v>
      </c>
      <c r="C568">
        <v>72</v>
      </c>
      <c r="D568">
        <v>30</v>
      </c>
      <c r="E568">
        <v>18</v>
      </c>
      <c r="F568">
        <v>38.6</v>
      </c>
      <c r="G568">
        <v>0.67200000000000004</v>
      </c>
      <c r="H568">
        <v>21</v>
      </c>
      <c r="I568">
        <v>0</v>
      </c>
    </row>
    <row r="569" spans="1:9" x14ac:dyDescent="0.25">
      <c r="A569">
        <v>6</v>
      </c>
      <c r="B569">
        <v>92</v>
      </c>
      <c r="C569">
        <v>62</v>
      </c>
      <c r="D569">
        <v>32</v>
      </c>
      <c r="E569">
        <v>126</v>
      </c>
      <c r="F569">
        <v>32</v>
      </c>
      <c r="G569">
        <v>0.67200000000000004</v>
      </c>
      <c r="H569">
        <v>46</v>
      </c>
      <c r="I569">
        <v>0</v>
      </c>
    </row>
    <row r="570" spans="1:9" x14ac:dyDescent="0.25">
      <c r="A570">
        <v>4</v>
      </c>
      <c r="B570">
        <v>154</v>
      </c>
      <c r="C570">
        <v>72</v>
      </c>
      <c r="D570">
        <v>29</v>
      </c>
      <c r="E570">
        <v>126</v>
      </c>
      <c r="F570">
        <v>31.3</v>
      </c>
      <c r="G570">
        <v>0.67200000000000004</v>
      </c>
      <c r="H570">
        <v>37</v>
      </c>
      <c r="I570">
        <v>0</v>
      </c>
    </row>
    <row r="571" spans="1:9" x14ac:dyDescent="0.25">
      <c r="A571">
        <v>4</v>
      </c>
      <c r="B571">
        <v>121</v>
      </c>
      <c r="C571">
        <v>66</v>
      </c>
      <c r="D571">
        <v>30</v>
      </c>
      <c r="E571">
        <v>165</v>
      </c>
      <c r="F571">
        <v>34.299999999999997</v>
      </c>
      <c r="G571">
        <v>0.67200000000000004</v>
      </c>
      <c r="H571">
        <v>33</v>
      </c>
      <c r="I571">
        <v>1</v>
      </c>
    </row>
    <row r="572" spans="1:9" x14ac:dyDescent="0.25">
      <c r="A572">
        <v>3</v>
      </c>
      <c r="B572">
        <v>78</v>
      </c>
      <c r="C572">
        <v>70</v>
      </c>
      <c r="D572">
        <v>21</v>
      </c>
      <c r="E572">
        <v>80</v>
      </c>
      <c r="F572">
        <v>32.5</v>
      </c>
      <c r="G572">
        <v>0.67200000000000004</v>
      </c>
      <c r="H572">
        <v>39</v>
      </c>
      <c r="I572">
        <v>0</v>
      </c>
    </row>
    <row r="573" spans="1:9" x14ac:dyDescent="0.25">
      <c r="A573">
        <v>2</v>
      </c>
      <c r="B573">
        <v>130</v>
      </c>
      <c r="C573">
        <v>96</v>
      </c>
      <c r="D573">
        <v>21</v>
      </c>
      <c r="E573">
        <v>80</v>
      </c>
      <c r="F573">
        <v>22.6</v>
      </c>
      <c r="G573">
        <v>0.67200000000000004</v>
      </c>
      <c r="H573">
        <v>21</v>
      </c>
      <c r="I573">
        <v>0</v>
      </c>
    </row>
    <row r="574" spans="1:9" x14ac:dyDescent="0.25">
      <c r="A574">
        <v>3</v>
      </c>
      <c r="B574">
        <v>111</v>
      </c>
      <c r="C574">
        <v>58</v>
      </c>
      <c r="D574">
        <v>31</v>
      </c>
      <c r="E574">
        <v>44</v>
      </c>
      <c r="F574">
        <v>29.5</v>
      </c>
      <c r="G574">
        <v>0.67200000000000004</v>
      </c>
      <c r="H574">
        <v>22</v>
      </c>
      <c r="I574">
        <v>0</v>
      </c>
    </row>
    <row r="575" spans="1:9" x14ac:dyDescent="0.25">
      <c r="A575">
        <v>2</v>
      </c>
      <c r="B575">
        <v>98</v>
      </c>
      <c r="C575">
        <v>60</v>
      </c>
      <c r="D575">
        <v>17</v>
      </c>
      <c r="E575">
        <v>120</v>
      </c>
      <c r="F575">
        <v>34.700000000000003</v>
      </c>
      <c r="G575">
        <v>0.67200000000000004</v>
      </c>
      <c r="H575">
        <v>22</v>
      </c>
      <c r="I575">
        <v>0</v>
      </c>
    </row>
    <row r="576" spans="1:9" x14ac:dyDescent="0.25">
      <c r="A576">
        <v>1</v>
      </c>
      <c r="B576">
        <v>143</v>
      </c>
      <c r="C576">
        <v>86</v>
      </c>
      <c r="D576">
        <v>30</v>
      </c>
      <c r="E576">
        <v>330</v>
      </c>
      <c r="F576">
        <v>30.1</v>
      </c>
      <c r="G576">
        <v>0.67200000000000004</v>
      </c>
      <c r="H576">
        <v>23</v>
      </c>
      <c r="I576">
        <v>0</v>
      </c>
    </row>
    <row r="577" spans="1:9" x14ac:dyDescent="0.25">
      <c r="A577">
        <v>1</v>
      </c>
      <c r="B577">
        <v>119</v>
      </c>
      <c r="C577">
        <v>44</v>
      </c>
      <c r="D577">
        <v>47</v>
      </c>
      <c r="E577">
        <v>63</v>
      </c>
      <c r="F577">
        <v>35.5</v>
      </c>
      <c r="G577">
        <v>0.67200000000000004</v>
      </c>
      <c r="H577">
        <v>25</v>
      </c>
      <c r="I577">
        <v>0</v>
      </c>
    </row>
    <row r="578" spans="1:9" x14ac:dyDescent="0.25">
      <c r="A578">
        <v>6</v>
      </c>
      <c r="B578">
        <v>108</v>
      </c>
      <c r="C578">
        <v>44</v>
      </c>
      <c r="D578">
        <v>20</v>
      </c>
      <c r="E578">
        <v>130</v>
      </c>
      <c r="F578">
        <v>24</v>
      </c>
      <c r="G578">
        <v>0.67200000000000004</v>
      </c>
      <c r="H578">
        <v>35</v>
      </c>
      <c r="I578">
        <v>0</v>
      </c>
    </row>
    <row r="579" spans="1:9" x14ac:dyDescent="0.25">
      <c r="A579">
        <v>2</v>
      </c>
      <c r="B579">
        <v>118</v>
      </c>
      <c r="C579">
        <v>80</v>
      </c>
      <c r="D579">
        <v>21</v>
      </c>
      <c r="E579">
        <v>80</v>
      </c>
      <c r="F579">
        <v>42.9</v>
      </c>
      <c r="G579">
        <v>0.67200000000000004</v>
      </c>
      <c r="H579">
        <v>21</v>
      </c>
      <c r="I579">
        <v>1</v>
      </c>
    </row>
    <row r="580" spans="1:9" x14ac:dyDescent="0.25">
      <c r="A580">
        <v>10</v>
      </c>
      <c r="B580">
        <v>133</v>
      </c>
      <c r="C580">
        <v>68</v>
      </c>
      <c r="D580">
        <v>21</v>
      </c>
      <c r="E580">
        <v>80</v>
      </c>
      <c r="F580">
        <v>27</v>
      </c>
      <c r="G580">
        <v>0.67200000000000004</v>
      </c>
      <c r="H580">
        <v>36</v>
      </c>
      <c r="I580">
        <v>0</v>
      </c>
    </row>
    <row r="581" spans="1:9" x14ac:dyDescent="0.25">
      <c r="A581">
        <v>2</v>
      </c>
      <c r="B581">
        <v>197</v>
      </c>
      <c r="C581">
        <v>70</v>
      </c>
      <c r="D581">
        <v>99</v>
      </c>
      <c r="E581">
        <v>80</v>
      </c>
      <c r="F581">
        <v>34.700000000000003</v>
      </c>
      <c r="G581">
        <v>0.67200000000000004</v>
      </c>
      <c r="H581">
        <v>62</v>
      </c>
      <c r="I581">
        <v>1</v>
      </c>
    </row>
    <row r="582" spans="1:9" x14ac:dyDescent="0.25">
      <c r="A582">
        <v>4</v>
      </c>
      <c r="B582">
        <v>151</v>
      </c>
      <c r="C582">
        <v>90</v>
      </c>
      <c r="D582">
        <v>46</v>
      </c>
      <c r="E582">
        <v>80</v>
      </c>
      <c r="F582">
        <v>42.1</v>
      </c>
      <c r="G582">
        <v>0.67200000000000004</v>
      </c>
      <c r="H582">
        <v>21</v>
      </c>
      <c r="I582">
        <v>1</v>
      </c>
    </row>
    <row r="583" spans="1:9" x14ac:dyDescent="0.25">
      <c r="A583">
        <v>6</v>
      </c>
      <c r="B583">
        <v>109</v>
      </c>
      <c r="C583">
        <v>60</v>
      </c>
      <c r="D583">
        <v>27</v>
      </c>
      <c r="E583">
        <v>80</v>
      </c>
      <c r="F583">
        <v>25</v>
      </c>
      <c r="G583">
        <v>0.67200000000000004</v>
      </c>
      <c r="H583">
        <v>27</v>
      </c>
      <c r="I583">
        <v>0</v>
      </c>
    </row>
    <row r="584" spans="1:9" x14ac:dyDescent="0.25">
      <c r="A584">
        <v>12</v>
      </c>
      <c r="B584">
        <v>121</v>
      </c>
      <c r="C584">
        <v>78</v>
      </c>
      <c r="D584">
        <v>17</v>
      </c>
      <c r="E584">
        <v>80</v>
      </c>
      <c r="F584">
        <v>26.5</v>
      </c>
      <c r="G584">
        <v>0.67200000000000004</v>
      </c>
      <c r="H584">
        <v>62</v>
      </c>
      <c r="I584">
        <v>0</v>
      </c>
    </row>
    <row r="585" spans="1:9" x14ac:dyDescent="0.25">
      <c r="A585">
        <v>8</v>
      </c>
      <c r="B585">
        <v>100</v>
      </c>
      <c r="C585">
        <v>76</v>
      </c>
      <c r="D585">
        <v>21</v>
      </c>
      <c r="E585">
        <v>80</v>
      </c>
      <c r="F585">
        <v>38.700000000000003</v>
      </c>
      <c r="G585">
        <v>0.67200000000000004</v>
      </c>
      <c r="H585">
        <v>42</v>
      </c>
      <c r="I585">
        <v>0</v>
      </c>
    </row>
    <row r="586" spans="1:9" x14ac:dyDescent="0.25">
      <c r="A586">
        <v>8</v>
      </c>
      <c r="B586">
        <v>124</v>
      </c>
      <c r="C586">
        <v>76</v>
      </c>
      <c r="D586">
        <v>24</v>
      </c>
      <c r="E586">
        <v>600</v>
      </c>
      <c r="F586">
        <v>28.7</v>
      </c>
      <c r="G586">
        <v>0.67200000000000004</v>
      </c>
      <c r="H586">
        <v>52</v>
      </c>
      <c r="I586">
        <v>1</v>
      </c>
    </row>
    <row r="587" spans="1:9" x14ac:dyDescent="0.25">
      <c r="A587">
        <v>1</v>
      </c>
      <c r="B587">
        <v>93</v>
      </c>
      <c r="C587">
        <v>56</v>
      </c>
      <c r="D587">
        <v>11</v>
      </c>
      <c r="E587">
        <v>80</v>
      </c>
      <c r="F587">
        <v>22.5</v>
      </c>
      <c r="G587">
        <v>0.67200000000000004</v>
      </c>
      <c r="H587">
        <v>22</v>
      </c>
      <c r="I587">
        <v>0</v>
      </c>
    </row>
    <row r="588" spans="1:9" x14ac:dyDescent="0.25">
      <c r="A588">
        <v>8</v>
      </c>
      <c r="B588">
        <v>143</v>
      </c>
      <c r="C588">
        <v>66</v>
      </c>
      <c r="D588">
        <v>21</v>
      </c>
      <c r="E588">
        <v>80</v>
      </c>
      <c r="F588">
        <v>34.9</v>
      </c>
      <c r="G588">
        <v>0.67200000000000004</v>
      </c>
      <c r="H588">
        <v>41</v>
      </c>
      <c r="I588">
        <v>1</v>
      </c>
    </row>
    <row r="589" spans="1:9" x14ac:dyDescent="0.25">
      <c r="A589">
        <v>6</v>
      </c>
      <c r="B589">
        <v>103</v>
      </c>
      <c r="C589">
        <v>66</v>
      </c>
      <c r="D589">
        <v>21</v>
      </c>
      <c r="E589">
        <v>80</v>
      </c>
      <c r="F589">
        <v>24.3</v>
      </c>
      <c r="G589">
        <v>0.67200000000000004</v>
      </c>
      <c r="H589">
        <v>29</v>
      </c>
      <c r="I589">
        <v>0</v>
      </c>
    </row>
    <row r="590" spans="1:9" x14ac:dyDescent="0.25">
      <c r="A590">
        <v>3</v>
      </c>
      <c r="B590">
        <v>176</v>
      </c>
      <c r="C590">
        <v>86</v>
      </c>
      <c r="D590">
        <v>27</v>
      </c>
      <c r="E590">
        <v>156</v>
      </c>
      <c r="F590">
        <v>33.299999999999997</v>
      </c>
      <c r="G590">
        <v>0.67200000000000004</v>
      </c>
      <c r="H590">
        <v>52</v>
      </c>
      <c r="I590">
        <v>1</v>
      </c>
    </row>
    <row r="591" spans="1:9" x14ac:dyDescent="0.25">
      <c r="A591">
        <v>4</v>
      </c>
      <c r="B591">
        <v>73</v>
      </c>
      <c r="C591">
        <v>69</v>
      </c>
      <c r="D591">
        <v>21</v>
      </c>
      <c r="E591">
        <v>80</v>
      </c>
      <c r="F591">
        <v>21.1</v>
      </c>
      <c r="G591">
        <v>0.67200000000000004</v>
      </c>
      <c r="H591">
        <v>25</v>
      </c>
      <c r="I591">
        <v>0</v>
      </c>
    </row>
    <row r="592" spans="1:9" x14ac:dyDescent="0.25">
      <c r="A592">
        <v>11</v>
      </c>
      <c r="B592">
        <v>111</v>
      </c>
      <c r="C592">
        <v>84</v>
      </c>
      <c r="D592">
        <v>40</v>
      </c>
      <c r="E592">
        <v>80</v>
      </c>
      <c r="F592">
        <v>46.8</v>
      </c>
      <c r="G592">
        <v>0.67200000000000004</v>
      </c>
      <c r="H592">
        <v>45</v>
      </c>
      <c r="I592">
        <v>1</v>
      </c>
    </row>
    <row r="593" spans="1:9" x14ac:dyDescent="0.25">
      <c r="A593">
        <v>2</v>
      </c>
      <c r="B593">
        <v>112</v>
      </c>
      <c r="C593">
        <v>78</v>
      </c>
      <c r="D593">
        <v>50</v>
      </c>
      <c r="E593">
        <v>140</v>
      </c>
      <c r="F593">
        <v>39.4</v>
      </c>
      <c r="G593">
        <v>0.67200000000000004</v>
      </c>
      <c r="H593">
        <v>24</v>
      </c>
      <c r="I593">
        <v>0</v>
      </c>
    </row>
    <row r="594" spans="1:9" x14ac:dyDescent="0.25">
      <c r="A594">
        <v>3</v>
      </c>
      <c r="B594">
        <v>132</v>
      </c>
      <c r="C594">
        <v>80</v>
      </c>
      <c r="D594">
        <v>21</v>
      </c>
      <c r="E594">
        <v>80</v>
      </c>
      <c r="F594">
        <v>34.4</v>
      </c>
      <c r="G594">
        <v>0.67200000000000004</v>
      </c>
      <c r="H594">
        <v>44</v>
      </c>
      <c r="I594">
        <v>1</v>
      </c>
    </row>
    <row r="595" spans="1:9" x14ac:dyDescent="0.25">
      <c r="A595">
        <v>2</v>
      </c>
      <c r="B595">
        <v>82</v>
      </c>
      <c r="C595">
        <v>52</v>
      </c>
      <c r="D595">
        <v>22</v>
      </c>
      <c r="E595">
        <v>115</v>
      </c>
      <c r="F595">
        <v>28.5</v>
      </c>
      <c r="G595">
        <v>0.67200000000000004</v>
      </c>
      <c r="H595">
        <v>25</v>
      </c>
      <c r="I595">
        <v>0</v>
      </c>
    </row>
    <row r="596" spans="1:9" x14ac:dyDescent="0.25">
      <c r="A596">
        <v>6</v>
      </c>
      <c r="B596">
        <v>123</v>
      </c>
      <c r="C596">
        <v>72</v>
      </c>
      <c r="D596">
        <v>45</v>
      </c>
      <c r="E596">
        <v>230</v>
      </c>
      <c r="F596">
        <v>33.6</v>
      </c>
      <c r="G596">
        <v>0.67200000000000004</v>
      </c>
      <c r="H596">
        <v>34</v>
      </c>
      <c r="I596">
        <v>0</v>
      </c>
    </row>
    <row r="597" spans="1:9" x14ac:dyDescent="0.25">
      <c r="A597">
        <v>4</v>
      </c>
      <c r="B597">
        <v>188</v>
      </c>
      <c r="C597">
        <v>82</v>
      </c>
      <c r="D597">
        <v>14</v>
      </c>
      <c r="E597">
        <v>185</v>
      </c>
      <c r="F597">
        <v>32</v>
      </c>
      <c r="G597">
        <v>0.67200000000000004</v>
      </c>
      <c r="H597">
        <v>22</v>
      </c>
      <c r="I597">
        <v>1</v>
      </c>
    </row>
    <row r="598" spans="1:9" x14ac:dyDescent="0.25">
      <c r="A598">
        <v>4</v>
      </c>
      <c r="B598">
        <v>67</v>
      </c>
      <c r="C598">
        <v>76</v>
      </c>
      <c r="D598">
        <v>21</v>
      </c>
      <c r="E598">
        <v>80</v>
      </c>
      <c r="F598">
        <v>45.3</v>
      </c>
      <c r="G598">
        <v>0.67200000000000004</v>
      </c>
      <c r="H598">
        <v>46</v>
      </c>
      <c r="I598">
        <v>0</v>
      </c>
    </row>
    <row r="599" spans="1:9" x14ac:dyDescent="0.25">
      <c r="A599">
        <v>1</v>
      </c>
      <c r="B599">
        <v>89</v>
      </c>
      <c r="C599">
        <v>24</v>
      </c>
      <c r="D599">
        <v>19</v>
      </c>
      <c r="E599">
        <v>25</v>
      </c>
      <c r="F599">
        <v>27.8</v>
      </c>
      <c r="G599">
        <v>0.67200000000000004</v>
      </c>
      <c r="H599">
        <v>21</v>
      </c>
      <c r="I599">
        <v>0</v>
      </c>
    </row>
    <row r="600" spans="1:9" x14ac:dyDescent="0.25">
      <c r="A600">
        <v>1</v>
      </c>
      <c r="B600">
        <v>173</v>
      </c>
      <c r="C600">
        <v>74</v>
      </c>
      <c r="D600">
        <v>21</v>
      </c>
      <c r="E600">
        <v>80</v>
      </c>
      <c r="F600">
        <v>36.799999999999997</v>
      </c>
      <c r="G600">
        <v>0.67200000000000004</v>
      </c>
      <c r="H600">
        <v>38</v>
      </c>
      <c r="I600">
        <v>1</v>
      </c>
    </row>
    <row r="601" spans="1:9" x14ac:dyDescent="0.25">
      <c r="A601">
        <v>1</v>
      </c>
      <c r="B601">
        <v>109</v>
      </c>
      <c r="C601">
        <v>38</v>
      </c>
      <c r="D601">
        <v>18</v>
      </c>
      <c r="E601">
        <v>120</v>
      </c>
      <c r="F601">
        <v>23.1</v>
      </c>
      <c r="G601">
        <v>0.67200000000000004</v>
      </c>
      <c r="H601">
        <v>26</v>
      </c>
      <c r="I601">
        <v>0</v>
      </c>
    </row>
    <row r="602" spans="1:9" x14ac:dyDescent="0.25">
      <c r="A602">
        <v>1</v>
      </c>
      <c r="B602">
        <v>108</v>
      </c>
      <c r="C602">
        <v>88</v>
      </c>
      <c r="D602">
        <v>19</v>
      </c>
      <c r="E602">
        <v>80</v>
      </c>
      <c r="F602">
        <v>27.1</v>
      </c>
      <c r="G602">
        <v>0.67200000000000004</v>
      </c>
      <c r="H602">
        <v>24</v>
      </c>
      <c r="I602">
        <v>0</v>
      </c>
    </row>
    <row r="603" spans="1:9" x14ac:dyDescent="0.25">
      <c r="A603">
        <v>6</v>
      </c>
      <c r="B603">
        <v>96</v>
      </c>
      <c r="C603">
        <v>69</v>
      </c>
      <c r="D603">
        <v>21</v>
      </c>
      <c r="E603">
        <v>80</v>
      </c>
      <c r="F603">
        <v>23.7</v>
      </c>
      <c r="G603">
        <v>0.67200000000000004</v>
      </c>
      <c r="H603">
        <v>28</v>
      </c>
      <c r="I603">
        <v>0</v>
      </c>
    </row>
    <row r="604" spans="1:9" x14ac:dyDescent="0.25">
      <c r="A604">
        <v>1</v>
      </c>
      <c r="B604">
        <v>124</v>
      </c>
      <c r="C604">
        <v>74</v>
      </c>
      <c r="D604">
        <v>36</v>
      </c>
      <c r="E604">
        <v>80</v>
      </c>
      <c r="F604">
        <v>27.8</v>
      </c>
      <c r="G604">
        <v>0.67200000000000004</v>
      </c>
      <c r="H604">
        <v>30</v>
      </c>
      <c r="I604">
        <v>0</v>
      </c>
    </row>
    <row r="605" spans="1:9" x14ac:dyDescent="0.25">
      <c r="A605">
        <v>7</v>
      </c>
      <c r="B605">
        <v>150</v>
      </c>
      <c r="C605">
        <v>78</v>
      </c>
      <c r="D605">
        <v>29</v>
      </c>
      <c r="E605">
        <v>126</v>
      </c>
      <c r="F605">
        <v>35.200000000000003</v>
      </c>
      <c r="G605">
        <v>0.67200000000000004</v>
      </c>
      <c r="H605">
        <v>54</v>
      </c>
      <c r="I605">
        <v>1</v>
      </c>
    </row>
    <row r="606" spans="1:9" x14ac:dyDescent="0.25">
      <c r="A606">
        <v>4</v>
      </c>
      <c r="B606">
        <v>183</v>
      </c>
      <c r="C606">
        <v>69</v>
      </c>
      <c r="D606">
        <v>21</v>
      </c>
      <c r="E606">
        <v>80</v>
      </c>
      <c r="F606">
        <v>28.4</v>
      </c>
      <c r="G606">
        <v>0.67200000000000004</v>
      </c>
      <c r="H606">
        <v>36</v>
      </c>
      <c r="I606">
        <v>1</v>
      </c>
    </row>
    <row r="607" spans="1:9" x14ac:dyDescent="0.25">
      <c r="A607">
        <v>1</v>
      </c>
      <c r="B607">
        <v>124</v>
      </c>
      <c r="C607">
        <v>60</v>
      </c>
      <c r="D607">
        <v>32</v>
      </c>
      <c r="E607">
        <v>80</v>
      </c>
      <c r="F607">
        <v>35.799999999999997</v>
      </c>
      <c r="G607">
        <v>0.67200000000000004</v>
      </c>
      <c r="H607">
        <v>21</v>
      </c>
      <c r="I607">
        <v>0</v>
      </c>
    </row>
    <row r="608" spans="1:9" x14ac:dyDescent="0.25">
      <c r="A608">
        <v>1</v>
      </c>
      <c r="B608">
        <v>181</v>
      </c>
      <c r="C608">
        <v>78</v>
      </c>
      <c r="D608">
        <v>42</v>
      </c>
      <c r="E608">
        <v>293</v>
      </c>
      <c r="F608">
        <v>40</v>
      </c>
      <c r="G608">
        <v>0.67200000000000004</v>
      </c>
      <c r="H608">
        <v>22</v>
      </c>
      <c r="I608">
        <v>1</v>
      </c>
    </row>
    <row r="609" spans="1:9" x14ac:dyDescent="0.25">
      <c r="A609">
        <v>1</v>
      </c>
      <c r="B609">
        <v>92</v>
      </c>
      <c r="C609">
        <v>62</v>
      </c>
      <c r="D609">
        <v>25</v>
      </c>
      <c r="E609">
        <v>41</v>
      </c>
      <c r="F609">
        <v>19.5</v>
      </c>
      <c r="G609">
        <v>0.67200000000000004</v>
      </c>
      <c r="H609">
        <v>25</v>
      </c>
      <c r="I609">
        <v>0</v>
      </c>
    </row>
    <row r="610" spans="1:9" x14ac:dyDescent="0.25">
      <c r="A610">
        <v>4</v>
      </c>
      <c r="B610">
        <v>152</v>
      </c>
      <c r="C610">
        <v>82</v>
      </c>
      <c r="D610">
        <v>39</v>
      </c>
      <c r="E610">
        <v>272</v>
      </c>
      <c r="F610">
        <v>41.5</v>
      </c>
      <c r="G610">
        <v>0.67200000000000004</v>
      </c>
      <c r="H610">
        <v>27</v>
      </c>
      <c r="I610">
        <v>0</v>
      </c>
    </row>
    <row r="611" spans="1:9" x14ac:dyDescent="0.25">
      <c r="A611">
        <v>1</v>
      </c>
      <c r="B611">
        <v>111</v>
      </c>
      <c r="C611">
        <v>62</v>
      </c>
      <c r="D611">
        <v>13</v>
      </c>
      <c r="E611">
        <v>182</v>
      </c>
      <c r="F611">
        <v>24</v>
      </c>
      <c r="G611">
        <v>0.67200000000000004</v>
      </c>
      <c r="H611">
        <v>23</v>
      </c>
      <c r="I611">
        <v>0</v>
      </c>
    </row>
    <row r="612" spans="1:9" x14ac:dyDescent="0.25">
      <c r="A612">
        <v>3</v>
      </c>
      <c r="B612">
        <v>106</v>
      </c>
      <c r="C612">
        <v>54</v>
      </c>
      <c r="D612">
        <v>21</v>
      </c>
      <c r="E612">
        <v>158</v>
      </c>
      <c r="F612">
        <v>30.9</v>
      </c>
      <c r="G612">
        <v>0.67200000000000004</v>
      </c>
      <c r="H612">
        <v>24</v>
      </c>
      <c r="I612">
        <v>0</v>
      </c>
    </row>
    <row r="613" spans="1:9" x14ac:dyDescent="0.25">
      <c r="A613">
        <v>3</v>
      </c>
      <c r="B613">
        <v>174</v>
      </c>
      <c r="C613">
        <v>58</v>
      </c>
      <c r="D613">
        <v>22</v>
      </c>
      <c r="E613">
        <v>194</v>
      </c>
      <c r="F613">
        <v>32.9</v>
      </c>
      <c r="G613">
        <v>0.67200000000000004</v>
      </c>
      <c r="H613">
        <v>36</v>
      </c>
      <c r="I613">
        <v>1</v>
      </c>
    </row>
    <row r="614" spans="1:9" x14ac:dyDescent="0.25">
      <c r="A614">
        <v>7</v>
      </c>
      <c r="B614">
        <v>168</v>
      </c>
      <c r="C614">
        <v>88</v>
      </c>
      <c r="D614">
        <v>42</v>
      </c>
      <c r="E614">
        <v>321</v>
      </c>
      <c r="F614">
        <v>38.200000000000003</v>
      </c>
      <c r="G614">
        <v>0.67200000000000004</v>
      </c>
      <c r="H614">
        <v>40</v>
      </c>
      <c r="I614">
        <v>1</v>
      </c>
    </row>
    <row r="615" spans="1:9" x14ac:dyDescent="0.25">
      <c r="A615">
        <v>6</v>
      </c>
      <c r="B615">
        <v>105</v>
      </c>
      <c r="C615">
        <v>80</v>
      </c>
      <c r="D615">
        <v>28</v>
      </c>
      <c r="E615">
        <v>80</v>
      </c>
      <c r="F615">
        <v>32.5</v>
      </c>
      <c r="G615">
        <v>0.67200000000000004</v>
      </c>
      <c r="H615">
        <v>26</v>
      </c>
      <c r="I615">
        <v>0</v>
      </c>
    </row>
    <row r="616" spans="1:9" x14ac:dyDescent="0.25">
      <c r="A616">
        <v>11</v>
      </c>
      <c r="B616">
        <v>138</v>
      </c>
      <c r="C616">
        <v>74</v>
      </c>
      <c r="D616">
        <v>26</v>
      </c>
      <c r="E616">
        <v>144</v>
      </c>
      <c r="F616">
        <v>36.1</v>
      </c>
      <c r="G616">
        <v>0.67200000000000004</v>
      </c>
      <c r="H616">
        <v>50</v>
      </c>
      <c r="I616">
        <v>1</v>
      </c>
    </row>
    <row r="617" spans="1:9" x14ac:dyDescent="0.25">
      <c r="A617">
        <v>3</v>
      </c>
      <c r="B617">
        <v>106</v>
      </c>
      <c r="C617">
        <v>72</v>
      </c>
      <c r="D617">
        <v>21</v>
      </c>
      <c r="E617">
        <v>80</v>
      </c>
      <c r="F617">
        <v>25.8</v>
      </c>
      <c r="G617">
        <v>0.67200000000000004</v>
      </c>
      <c r="H617">
        <v>27</v>
      </c>
      <c r="I617">
        <v>0</v>
      </c>
    </row>
    <row r="618" spans="1:9" x14ac:dyDescent="0.25">
      <c r="A618">
        <v>6</v>
      </c>
      <c r="B618">
        <v>117</v>
      </c>
      <c r="C618">
        <v>96</v>
      </c>
      <c r="D618">
        <v>21</v>
      </c>
      <c r="E618">
        <v>80</v>
      </c>
      <c r="F618">
        <v>28.7</v>
      </c>
      <c r="G618">
        <v>0.67200000000000004</v>
      </c>
      <c r="H618">
        <v>30</v>
      </c>
      <c r="I618">
        <v>0</v>
      </c>
    </row>
    <row r="619" spans="1:9" x14ac:dyDescent="0.25">
      <c r="A619">
        <v>2</v>
      </c>
      <c r="B619">
        <v>68</v>
      </c>
      <c r="C619">
        <v>62</v>
      </c>
      <c r="D619">
        <v>13</v>
      </c>
      <c r="E619">
        <v>15</v>
      </c>
      <c r="F619">
        <v>20.100000000000001</v>
      </c>
      <c r="G619">
        <v>0.67200000000000004</v>
      </c>
      <c r="H619">
        <v>23</v>
      </c>
      <c r="I619">
        <v>0</v>
      </c>
    </row>
    <row r="620" spans="1:9" x14ac:dyDescent="0.25">
      <c r="A620">
        <v>9</v>
      </c>
      <c r="B620">
        <v>112</v>
      </c>
      <c r="C620">
        <v>82</v>
      </c>
      <c r="D620">
        <v>24</v>
      </c>
      <c r="E620">
        <v>80</v>
      </c>
      <c r="F620">
        <v>28.2</v>
      </c>
      <c r="G620">
        <v>0.67200000000000004</v>
      </c>
      <c r="H620">
        <v>50</v>
      </c>
      <c r="I620">
        <v>1</v>
      </c>
    </row>
    <row r="621" spans="1:9" x14ac:dyDescent="0.25">
      <c r="A621">
        <v>4</v>
      </c>
      <c r="B621">
        <v>119</v>
      </c>
      <c r="C621">
        <v>69</v>
      </c>
      <c r="D621">
        <v>21</v>
      </c>
      <c r="E621">
        <v>80</v>
      </c>
      <c r="F621">
        <v>32.4</v>
      </c>
      <c r="G621">
        <v>0.67200000000000004</v>
      </c>
      <c r="H621">
        <v>24</v>
      </c>
      <c r="I621">
        <v>1</v>
      </c>
    </row>
    <row r="622" spans="1:9" x14ac:dyDescent="0.25">
      <c r="A622">
        <v>2</v>
      </c>
      <c r="B622">
        <v>112</v>
      </c>
      <c r="C622">
        <v>86</v>
      </c>
      <c r="D622">
        <v>42</v>
      </c>
      <c r="E622">
        <v>160</v>
      </c>
      <c r="F622">
        <v>38.4</v>
      </c>
      <c r="G622">
        <v>0.67200000000000004</v>
      </c>
      <c r="H622">
        <v>28</v>
      </c>
      <c r="I622">
        <v>0</v>
      </c>
    </row>
    <row r="623" spans="1:9" x14ac:dyDescent="0.25">
      <c r="A623">
        <v>2</v>
      </c>
      <c r="B623">
        <v>92</v>
      </c>
      <c r="C623">
        <v>76</v>
      </c>
      <c r="D623">
        <v>20</v>
      </c>
      <c r="E623">
        <v>80</v>
      </c>
      <c r="F623">
        <v>24.2</v>
      </c>
      <c r="G623">
        <v>0.67200000000000004</v>
      </c>
      <c r="H623">
        <v>28</v>
      </c>
      <c r="I623">
        <v>0</v>
      </c>
    </row>
    <row r="624" spans="1:9" x14ac:dyDescent="0.25">
      <c r="A624">
        <v>6</v>
      </c>
      <c r="B624">
        <v>183</v>
      </c>
      <c r="C624">
        <v>94</v>
      </c>
      <c r="D624">
        <v>21</v>
      </c>
      <c r="E624">
        <v>80</v>
      </c>
      <c r="F624">
        <v>40.799999999999997</v>
      </c>
      <c r="G624">
        <v>0.67200000000000004</v>
      </c>
      <c r="H624">
        <v>45</v>
      </c>
      <c r="I624">
        <v>0</v>
      </c>
    </row>
    <row r="625" spans="1:9" x14ac:dyDescent="0.25">
      <c r="A625">
        <v>4</v>
      </c>
      <c r="B625">
        <v>94</v>
      </c>
      <c r="C625">
        <v>70</v>
      </c>
      <c r="D625">
        <v>27</v>
      </c>
      <c r="E625">
        <v>115</v>
      </c>
      <c r="F625">
        <v>43.5</v>
      </c>
      <c r="G625">
        <v>0.67200000000000004</v>
      </c>
      <c r="H625">
        <v>21</v>
      </c>
      <c r="I625">
        <v>0</v>
      </c>
    </row>
    <row r="626" spans="1:9" x14ac:dyDescent="0.25">
      <c r="A626">
        <v>2</v>
      </c>
      <c r="B626">
        <v>108</v>
      </c>
      <c r="C626">
        <v>64</v>
      </c>
      <c r="D626">
        <v>21</v>
      </c>
      <c r="E626">
        <v>80</v>
      </c>
      <c r="F626">
        <v>30.8</v>
      </c>
      <c r="G626">
        <v>0.67200000000000004</v>
      </c>
      <c r="H626">
        <v>21</v>
      </c>
      <c r="I626">
        <v>0</v>
      </c>
    </row>
    <row r="627" spans="1:9" x14ac:dyDescent="0.25">
      <c r="A627">
        <v>4</v>
      </c>
      <c r="B627">
        <v>90</v>
      </c>
      <c r="C627">
        <v>88</v>
      </c>
      <c r="D627">
        <v>47</v>
      </c>
      <c r="E627">
        <v>54</v>
      </c>
      <c r="F627">
        <v>37.700000000000003</v>
      </c>
      <c r="G627">
        <v>0.67200000000000004</v>
      </c>
      <c r="H627">
        <v>29</v>
      </c>
      <c r="I627">
        <v>0</v>
      </c>
    </row>
    <row r="628" spans="1:9" x14ac:dyDescent="0.25">
      <c r="A628">
        <v>4</v>
      </c>
      <c r="B628">
        <v>125</v>
      </c>
      <c r="C628">
        <v>68</v>
      </c>
      <c r="D628">
        <v>21</v>
      </c>
      <c r="E628">
        <v>80</v>
      </c>
      <c r="F628">
        <v>24.7</v>
      </c>
      <c r="G628">
        <v>0.67200000000000004</v>
      </c>
      <c r="H628">
        <v>21</v>
      </c>
      <c r="I628">
        <v>0</v>
      </c>
    </row>
    <row r="629" spans="1:9" x14ac:dyDescent="0.25">
      <c r="A629">
        <v>4</v>
      </c>
      <c r="B629">
        <v>132</v>
      </c>
      <c r="C629">
        <v>78</v>
      </c>
      <c r="D629">
        <v>21</v>
      </c>
      <c r="E629">
        <v>80</v>
      </c>
      <c r="F629">
        <v>32.4</v>
      </c>
      <c r="G629">
        <v>0.67200000000000004</v>
      </c>
      <c r="H629">
        <v>21</v>
      </c>
      <c r="I629">
        <v>0</v>
      </c>
    </row>
    <row r="630" spans="1:9" x14ac:dyDescent="0.25">
      <c r="A630">
        <v>5</v>
      </c>
      <c r="B630">
        <v>128</v>
      </c>
      <c r="C630">
        <v>80</v>
      </c>
      <c r="D630">
        <v>21</v>
      </c>
      <c r="E630">
        <v>80</v>
      </c>
      <c r="F630">
        <v>34.6</v>
      </c>
      <c r="G630">
        <v>0.67200000000000004</v>
      </c>
      <c r="H630">
        <v>45</v>
      </c>
      <c r="I630">
        <v>0</v>
      </c>
    </row>
    <row r="631" spans="1:9" x14ac:dyDescent="0.25">
      <c r="A631">
        <v>4</v>
      </c>
      <c r="B631">
        <v>94</v>
      </c>
      <c r="C631">
        <v>65</v>
      </c>
      <c r="D631">
        <v>22</v>
      </c>
      <c r="E631">
        <v>80</v>
      </c>
      <c r="F631">
        <v>24.7</v>
      </c>
      <c r="G631">
        <v>0.67200000000000004</v>
      </c>
      <c r="H631">
        <v>21</v>
      </c>
      <c r="I631">
        <v>0</v>
      </c>
    </row>
    <row r="632" spans="1:9" x14ac:dyDescent="0.25">
      <c r="A632">
        <v>7</v>
      </c>
      <c r="B632">
        <v>114</v>
      </c>
      <c r="C632">
        <v>64</v>
      </c>
      <c r="D632">
        <v>21</v>
      </c>
      <c r="E632">
        <v>80</v>
      </c>
      <c r="F632">
        <v>27.4</v>
      </c>
      <c r="G632">
        <v>0.67200000000000004</v>
      </c>
      <c r="H632">
        <v>34</v>
      </c>
      <c r="I632">
        <v>1</v>
      </c>
    </row>
    <row r="633" spans="1:9" x14ac:dyDescent="0.25">
      <c r="A633">
        <v>4</v>
      </c>
      <c r="B633">
        <v>102</v>
      </c>
      <c r="C633">
        <v>78</v>
      </c>
      <c r="D633">
        <v>40</v>
      </c>
      <c r="E633">
        <v>90</v>
      </c>
      <c r="F633">
        <v>34.5</v>
      </c>
      <c r="G633">
        <v>0.67200000000000004</v>
      </c>
      <c r="H633">
        <v>24</v>
      </c>
      <c r="I633">
        <v>0</v>
      </c>
    </row>
    <row r="634" spans="1:9" x14ac:dyDescent="0.25">
      <c r="A634">
        <v>2</v>
      </c>
      <c r="B634">
        <v>111</v>
      </c>
      <c r="C634">
        <v>60</v>
      </c>
      <c r="D634">
        <v>21</v>
      </c>
      <c r="E634">
        <v>80</v>
      </c>
      <c r="F634">
        <v>26.2</v>
      </c>
      <c r="G634">
        <v>0.67200000000000004</v>
      </c>
      <c r="H634">
        <v>23</v>
      </c>
      <c r="I634">
        <v>0</v>
      </c>
    </row>
    <row r="635" spans="1:9" x14ac:dyDescent="0.25">
      <c r="A635">
        <v>1</v>
      </c>
      <c r="B635">
        <v>128</v>
      </c>
      <c r="C635">
        <v>82</v>
      </c>
      <c r="D635">
        <v>17</v>
      </c>
      <c r="E635">
        <v>183</v>
      </c>
      <c r="F635">
        <v>27.5</v>
      </c>
      <c r="G635">
        <v>0.67200000000000004</v>
      </c>
      <c r="H635">
        <v>22</v>
      </c>
      <c r="I635">
        <v>0</v>
      </c>
    </row>
    <row r="636" spans="1:9" x14ac:dyDescent="0.25">
      <c r="A636">
        <v>10</v>
      </c>
      <c r="B636">
        <v>92</v>
      </c>
      <c r="C636">
        <v>62</v>
      </c>
      <c r="D636">
        <v>21</v>
      </c>
      <c r="E636">
        <v>80</v>
      </c>
      <c r="F636">
        <v>25.9</v>
      </c>
      <c r="G636">
        <v>0.67200000000000004</v>
      </c>
      <c r="H636">
        <v>31</v>
      </c>
      <c r="I636">
        <v>0</v>
      </c>
    </row>
    <row r="637" spans="1:9" x14ac:dyDescent="0.25">
      <c r="A637">
        <v>13</v>
      </c>
      <c r="B637">
        <v>104</v>
      </c>
      <c r="C637">
        <v>72</v>
      </c>
      <c r="D637">
        <v>21</v>
      </c>
      <c r="E637">
        <v>80</v>
      </c>
      <c r="F637">
        <v>31.2</v>
      </c>
      <c r="G637">
        <v>0.67200000000000004</v>
      </c>
      <c r="H637">
        <v>38</v>
      </c>
      <c r="I637">
        <v>1</v>
      </c>
    </row>
    <row r="638" spans="1:9" x14ac:dyDescent="0.25">
      <c r="A638">
        <v>5</v>
      </c>
      <c r="B638">
        <v>104</v>
      </c>
      <c r="C638">
        <v>74</v>
      </c>
      <c r="D638">
        <v>21</v>
      </c>
      <c r="E638">
        <v>80</v>
      </c>
      <c r="F638">
        <v>28.8</v>
      </c>
      <c r="G638">
        <v>0.67200000000000004</v>
      </c>
      <c r="H638">
        <v>48</v>
      </c>
      <c r="I638">
        <v>0</v>
      </c>
    </row>
    <row r="639" spans="1:9" x14ac:dyDescent="0.25">
      <c r="A639">
        <v>2</v>
      </c>
      <c r="B639">
        <v>94</v>
      </c>
      <c r="C639">
        <v>76</v>
      </c>
      <c r="D639">
        <v>18</v>
      </c>
      <c r="E639">
        <v>66</v>
      </c>
      <c r="F639">
        <v>31.6</v>
      </c>
      <c r="G639">
        <v>0.67200000000000004</v>
      </c>
      <c r="H639">
        <v>23</v>
      </c>
      <c r="I639">
        <v>0</v>
      </c>
    </row>
    <row r="640" spans="1:9" x14ac:dyDescent="0.25">
      <c r="A640">
        <v>7</v>
      </c>
      <c r="B640">
        <v>97</v>
      </c>
      <c r="C640">
        <v>76</v>
      </c>
      <c r="D640">
        <v>32</v>
      </c>
      <c r="E640">
        <v>91</v>
      </c>
      <c r="F640">
        <v>40.9</v>
      </c>
      <c r="G640">
        <v>0.67200000000000004</v>
      </c>
      <c r="H640">
        <v>32</v>
      </c>
      <c r="I640">
        <v>1</v>
      </c>
    </row>
    <row r="641" spans="1:9" x14ac:dyDescent="0.25">
      <c r="A641">
        <v>1</v>
      </c>
      <c r="B641">
        <v>100</v>
      </c>
      <c r="C641">
        <v>74</v>
      </c>
      <c r="D641">
        <v>12</v>
      </c>
      <c r="E641">
        <v>46</v>
      </c>
      <c r="F641">
        <v>19.5</v>
      </c>
      <c r="G641">
        <v>0.67200000000000004</v>
      </c>
      <c r="H641">
        <v>28</v>
      </c>
      <c r="I641">
        <v>0</v>
      </c>
    </row>
    <row r="642" spans="1:9" x14ac:dyDescent="0.25">
      <c r="A642">
        <v>4</v>
      </c>
      <c r="B642">
        <v>102</v>
      </c>
      <c r="C642">
        <v>86</v>
      </c>
      <c r="D642">
        <v>17</v>
      </c>
      <c r="E642">
        <v>105</v>
      </c>
      <c r="F642">
        <v>29.3</v>
      </c>
      <c r="G642">
        <v>0.67200000000000004</v>
      </c>
      <c r="H642">
        <v>27</v>
      </c>
      <c r="I642">
        <v>0</v>
      </c>
    </row>
    <row r="643" spans="1:9" x14ac:dyDescent="0.25">
      <c r="A643">
        <v>4</v>
      </c>
      <c r="B643">
        <v>128</v>
      </c>
      <c r="C643">
        <v>70</v>
      </c>
      <c r="D643">
        <v>21</v>
      </c>
      <c r="E643">
        <v>80</v>
      </c>
      <c r="F643">
        <v>34.299999999999997</v>
      </c>
      <c r="G643">
        <v>0.67200000000000004</v>
      </c>
      <c r="H643">
        <v>24</v>
      </c>
      <c r="I643">
        <v>0</v>
      </c>
    </row>
    <row r="644" spans="1:9" x14ac:dyDescent="0.25">
      <c r="A644">
        <v>6</v>
      </c>
      <c r="B644">
        <v>147</v>
      </c>
      <c r="C644">
        <v>80</v>
      </c>
      <c r="D644">
        <v>21</v>
      </c>
      <c r="E644">
        <v>80</v>
      </c>
      <c r="F644">
        <v>29.5</v>
      </c>
      <c r="G644">
        <v>0.67200000000000004</v>
      </c>
      <c r="H644">
        <v>50</v>
      </c>
      <c r="I644">
        <v>1</v>
      </c>
    </row>
    <row r="645" spans="1:9" x14ac:dyDescent="0.25">
      <c r="A645">
        <v>4</v>
      </c>
      <c r="B645">
        <v>90</v>
      </c>
      <c r="C645">
        <v>69</v>
      </c>
      <c r="D645">
        <v>21</v>
      </c>
      <c r="E645">
        <v>80</v>
      </c>
      <c r="F645">
        <v>28</v>
      </c>
      <c r="G645">
        <v>0.67200000000000004</v>
      </c>
      <c r="H645">
        <v>31</v>
      </c>
      <c r="I645">
        <v>0</v>
      </c>
    </row>
    <row r="646" spans="1:9" x14ac:dyDescent="0.25">
      <c r="A646">
        <v>3</v>
      </c>
      <c r="B646">
        <v>103</v>
      </c>
      <c r="C646">
        <v>72</v>
      </c>
      <c r="D646">
        <v>30</v>
      </c>
      <c r="E646">
        <v>152</v>
      </c>
      <c r="F646">
        <v>27.6</v>
      </c>
      <c r="G646">
        <v>0.67200000000000004</v>
      </c>
      <c r="H646">
        <v>27</v>
      </c>
      <c r="I646">
        <v>0</v>
      </c>
    </row>
    <row r="647" spans="1:9" x14ac:dyDescent="0.25">
      <c r="A647">
        <v>2</v>
      </c>
      <c r="B647">
        <v>157</v>
      </c>
      <c r="C647">
        <v>74</v>
      </c>
      <c r="D647">
        <v>35</v>
      </c>
      <c r="E647">
        <v>440</v>
      </c>
      <c r="F647">
        <v>39.4</v>
      </c>
      <c r="G647">
        <v>0.67200000000000004</v>
      </c>
      <c r="H647">
        <v>30</v>
      </c>
      <c r="I647">
        <v>0</v>
      </c>
    </row>
    <row r="648" spans="1:9" x14ac:dyDescent="0.25">
      <c r="A648">
        <v>1</v>
      </c>
      <c r="B648">
        <v>167</v>
      </c>
      <c r="C648">
        <v>74</v>
      </c>
      <c r="D648">
        <v>17</v>
      </c>
      <c r="E648">
        <v>144</v>
      </c>
      <c r="F648">
        <v>23.4</v>
      </c>
      <c r="G648">
        <v>0.67200000000000004</v>
      </c>
      <c r="H648">
        <v>33</v>
      </c>
      <c r="I648">
        <v>1</v>
      </c>
    </row>
    <row r="649" spans="1:9" x14ac:dyDescent="0.25">
      <c r="A649">
        <v>4</v>
      </c>
      <c r="B649">
        <v>179</v>
      </c>
      <c r="C649">
        <v>50</v>
      </c>
      <c r="D649">
        <v>36</v>
      </c>
      <c r="E649">
        <v>159</v>
      </c>
      <c r="F649">
        <v>37.799999999999997</v>
      </c>
      <c r="G649">
        <v>0.67200000000000004</v>
      </c>
      <c r="H649">
        <v>22</v>
      </c>
      <c r="I649">
        <v>1</v>
      </c>
    </row>
    <row r="650" spans="1:9" x14ac:dyDescent="0.25">
      <c r="A650">
        <v>11</v>
      </c>
      <c r="B650">
        <v>136</v>
      </c>
      <c r="C650">
        <v>84</v>
      </c>
      <c r="D650">
        <v>35</v>
      </c>
      <c r="E650">
        <v>130</v>
      </c>
      <c r="F650">
        <v>28.3</v>
      </c>
      <c r="G650">
        <v>0.67200000000000004</v>
      </c>
      <c r="H650">
        <v>42</v>
      </c>
      <c r="I650">
        <v>1</v>
      </c>
    </row>
    <row r="651" spans="1:9" x14ac:dyDescent="0.25">
      <c r="A651">
        <v>4</v>
      </c>
      <c r="B651">
        <v>107</v>
      </c>
      <c r="C651">
        <v>60</v>
      </c>
      <c r="D651">
        <v>25</v>
      </c>
      <c r="E651">
        <v>80</v>
      </c>
      <c r="F651">
        <v>26.4</v>
      </c>
      <c r="G651">
        <v>0.67200000000000004</v>
      </c>
      <c r="H651">
        <v>23</v>
      </c>
      <c r="I651">
        <v>0</v>
      </c>
    </row>
    <row r="652" spans="1:9" x14ac:dyDescent="0.25">
      <c r="A652">
        <v>1</v>
      </c>
      <c r="B652">
        <v>91</v>
      </c>
      <c r="C652">
        <v>54</v>
      </c>
      <c r="D652">
        <v>25</v>
      </c>
      <c r="E652">
        <v>100</v>
      </c>
      <c r="F652">
        <v>25.2</v>
      </c>
      <c r="G652">
        <v>0.67200000000000004</v>
      </c>
      <c r="H652">
        <v>23</v>
      </c>
      <c r="I652">
        <v>0</v>
      </c>
    </row>
    <row r="653" spans="1:9" x14ac:dyDescent="0.25">
      <c r="A653">
        <v>1</v>
      </c>
      <c r="B653">
        <v>117</v>
      </c>
      <c r="C653">
        <v>60</v>
      </c>
      <c r="D653">
        <v>23</v>
      </c>
      <c r="E653">
        <v>106</v>
      </c>
      <c r="F653">
        <v>33.799999999999997</v>
      </c>
      <c r="G653">
        <v>0.67200000000000004</v>
      </c>
      <c r="H653">
        <v>27</v>
      </c>
      <c r="I653">
        <v>0</v>
      </c>
    </row>
    <row r="654" spans="1:9" x14ac:dyDescent="0.25">
      <c r="A654">
        <v>5</v>
      </c>
      <c r="B654">
        <v>123</v>
      </c>
      <c r="C654">
        <v>74</v>
      </c>
      <c r="D654">
        <v>40</v>
      </c>
      <c r="E654">
        <v>77</v>
      </c>
      <c r="F654">
        <v>34.1</v>
      </c>
      <c r="G654">
        <v>0.67200000000000004</v>
      </c>
      <c r="H654">
        <v>28</v>
      </c>
      <c r="I654">
        <v>0</v>
      </c>
    </row>
    <row r="655" spans="1:9" x14ac:dyDescent="0.25">
      <c r="A655">
        <v>2</v>
      </c>
      <c r="B655">
        <v>120</v>
      </c>
      <c r="C655">
        <v>54</v>
      </c>
      <c r="D655">
        <v>21</v>
      </c>
      <c r="E655">
        <v>80</v>
      </c>
      <c r="F655">
        <v>26.8</v>
      </c>
      <c r="G655">
        <v>0.67200000000000004</v>
      </c>
      <c r="H655">
        <v>27</v>
      </c>
      <c r="I655">
        <v>0</v>
      </c>
    </row>
    <row r="656" spans="1:9" x14ac:dyDescent="0.25">
      <c r="A656">
        <v>1</v>
      </c>
      <c r="B656">
        <v>106</v>
      </c>
      <c r="C656">
        <v>70</v>
      </c>
      <c r="D656">
        <v>28</v>
      </c>
      <c r="E656">
        <v>135</v>
      </c>
      <c r="F656">
        <v>34.200000000000003</v>
      </c>
      <c r="G656">
        <v>0.67200000000000004</v>
      </c>
      <c r="H656">
        <v>22</v>
      </c>
      <c r="I656">
        <v>0</v>
      </c>
    </row>
    <row r="657" spans="1:9" x14ac:dyDescent="0.25">
      <c r="A657">
        <v>2</v>
      </c>
      <c r="B657">
        <v>155</v>
      </c>
      <c r="C657">
        <v>52</v>
      </c>
      <c r="D657">
        <v>27</v>
      </c>
      <c r="E657">
        <v>540</v>
      </c>
      <c r="F657">
        <v>38.700000000000003</v>
      </c>
      <c r="G657">
        <v>0.67200000000000004</v>
      </c>
      <c r="H657">
        <v>25</v>
      </c>
      <c r="I657">
        <v>1</v>
      </c>
    </row>
    <row r="658" spans="1:9" x14ac:dyDescent="0.25">
      <c r="A658">
        <v>2</v>
      </c>
      <c r="B658">
        <v>101</v>
      </c>
      <c r="C658">
        <v>58</v>
      </c>
      <c r="D658">
        <v>35</v>
      </c>
      <c r="E658">
        <v>90</v>
      </c>
      <c r="F658">
        <v>21.8</v>
      </c>
      <c r="G658">
        <v>0.67200000000000004</v>
      </c>
      <c r="H658">
        <v>22</v>
      </c>
      <c r="I658">
        <v>0</v>
      </c>
    </row>
    <row r="659" spans="1:9" x14ac:dyDescent="0.25">
      <c r="A659">
        <v>1</v>
      </c>
      <c r="B659">
        <v>120</v>
      </c>
      <c r="C659">
        <v>80</v>
      </c>
      <c r="D659">
        <v>48</v>
      </c>
      <c r="E659">
        <v>200</v>
      </c>
      <c r="F659">
        <v>38.9</v>
      </c>
      <c r="G659">
        <v>0.67200000000000004</v>
      </c>
      <c r="H659">
        <v>41</v>
      </c>
      <c r="I659">
        <v>0</v>
      </c>
    </row>
    <row r="660" spans="1:9" x14ac:dyDescent="0.25">
      <c r="A660">
        <v>11</v>
      </c>
      <c r="B660">
        <v>127</v>
      </c>
      <c r="C660">
        <v>106</v>
      </c>
      <c r="D660">
        <v>21</v>
      </c>
      <c r="E660">
        <v>80</v>
      </c>
      <c r="F660">
        <v>39</v>
      </c>
      <c r="G660">
        <v>0.67200000000000004</v>
      </c>
      <c r="H660">
        <v>51</v>
      </c>
      <c r="I660">
        <v>0</v>
      </c>
    </row>
    <row r="661" spans="1:9" x14ac:dyDescent="0.25">
      <c r="A661">
        <v>3</v>
      </c>
      <c r="B661">
        <v>80</v>
      </c>
      <c r="C661">
        <v>82</v>
      </c>
      <c r="D661">
        <v>31</v>
      </c>
      <c r="E661">
        <v>70</v>
      </c>
      <c r="F661">
        <v>34.200000000000003</v>
      </c>
      <c r="G661">
        <v>0.67200000000000004</v>
      </c>
      <c r="H661">
        <v>27</v>
      </c>
      <c r="I661">
        <v>1</v>
      </c>
    </row>
    <row r="662" spans="1:9" x14ac:dyDescent="0.25">
      <c r="A662">
        <v>10</v>
      </c>
      <c r="B662">
        <v>162</v>
      </c>
      <c r="C662">
        <v>84</v>
      </c>
      <c r="D662">
        <v>21</v>
      </c>
      <c r="E662">
        <v>80</v>
      </c>
      <c r="F662">
        <v>27.7</v>
      </c>
      <c r="G662">
        <v>0.67200000000000004</v>
      </c>
      <c r="H662">
        <v>54</v>
      </c>
      <c r="I662">
        <v>0</v>
      </c>
    </row>
    <row r="663" spans="1:9" x14ac:dyDescent="0.25">
      <c r="A663">
        <v>1</v>
      </c>
      <c r="B663">
        <v>199</v>
      </c>
      <c r="C663">
        <v>76</v>
      </c>
      <c r="D663">
        <v>43</v>
      </c>
      <c r="E663">
        <v>80</v>
      </c>
      <c r="F663">
        <v>42.9</v>
      </c>
      <c r="G663">
        <v>0.67200000000000004</v>
      </c>
      <c r="H663">
        <v>22</v>
      </c>
      <c r="I663">
        <v>1</v>
      </c>
    </row>
    <row r="664" spans="1:9" x14ac:dyDescent="0.25">
      <c r="A664">
        <v>8</v>
      </c>
      <c r="B664">
        <v>167</v>
      </c>
      <c r="C664">
        <v>106</v>
      </c>
      <c r="D664">
        <v>46</v>
      </c>
      <c r="E664">
        <v>231</v>
      </c>
      <c r="F664">
        <v>37.6</v>
      </c>
      <c r="G664">
        <v>0.67200000000000004</v>
      </c>
      <c r="H664">
        <v>43</v>
      </c>
      <c r="I664">
        <v>1</v>
      </c>
    </row>
    <row r="665" spans="1:9" x14ac:dyDescent="0.25">
      <c r="A665">
        <v>9</v>
      </c>
      <c r="B665">
        <v>145</v>
      </c>
      <c r="C665">
        <v>80</v>
      </c>
      <c r="D665">
        <v>46</v>
      </c>
      <c r="E665">
        <v>130</v>
      </c>
      <c r="F665">
        <v>37.9</v>
      </c>
      <c r="G665">
        <v>0.67200000000000004</v>
      </c>
      <c r="H665">
        <v>40</v>
      </c>
      <c r="I665">
        <v>1</v>
      </c>
    </row>
    <row r="666" spans="1:9" x14ac:dyDescent="0.25">
      <c r="A666">
        <v>6</v>
      </c>
      <c r="B666">
        <v>115</v>
      </c>
      <c r="C666">
        <v>60</v>
      </c>
      <c r="D666">
        <v>39</v>
      </c>
      <c r="E666">
        <v>80</v>
      </c>
      <c r="F666">
        <v>33.700000000000003</v>
      </c>
      <c r="G666">
        <v>0.67200000000000004</v>
      </c>
      <c r="H666">
        <v>40</v>
      </c>
      <c r="I666">
        <v>1</v>
      </c>
    </row>
    <row r="667" spans="1:9" x14ac:dyDescent="0.25">
      <c r="A667">
        <v>1</v>
      </c>
      <c r="B667">
        <v>112</v>
      </c>
      <c r="C667">
        <v>80</v>
      </c>
      <c r="D667">
        <v>45</v>
      </c>
      <c r="E667">
        <v>132</v>
      </c>
      <c r="F667">
        <v>34.799999999999997</v>
      </c>
      <c r="G667">
        <v>0.67200000000000004</v>
      </c>
      <c r="H667">
        <v>24</v>
      </c>
      <c r="I667">
        <v>0</v>
      </c>
    </row>
    <row r="668" spans="1:9" x14ac:dyDescent="0.25">
      <c r="A668">
        <v>4</v>
      </c>
      <c r="B668">
        <v>145</v>
      </c>
      <c r="C668">
        <v>82</v>
      </c>
      <c r="D668">
        <v>18</v>
      </c>
      <c r="E668">
        <v>80</v>
      </c>
      <c r="F668">
        <v>32.5</v>
      </c>
      <c r="G668">
        <v>0.67200000000000004</v>
      </c>
      <c r="H668">
        <v>70</v>
      </c>
      <c r="I668">
        <v>1</v>
      </c>
    </row>
    <row r="669" spans="1:9" x14ac:dyDescent="0.25">
      <c r="A669">
        <v>10</v>
      </c>
      <c r="B669">
        <v>111</v>
      </c>
      <c r="C669">
        <v>70</v>
      </c>
      <c r="D669">
        <v>27</v>
      </c>
      <c r="E669">
        <v>80</v>
      </c>
      <c r="F669">
        <v>27.5</v>
      </c>
      <c r="G669">
        <v>0.67200000000000004</v>
      </c>
      <c r="H669">
        <v>40</v>
      </c>
      <c r="I669">
        <v>1</v>
      </c>
    </row>
    <row r="670" spans="1:9" x14ac:dyDescent="0.25">
      <c r="A670">
        <v>6</v>
      </c>
      <c r="B670">
        <v>98</v>
      </c>
      <c r="C670">
        <v>58</v>
      </c>
      <c r="D670">
        <v>33</v>
      </c>
      <c r="E670">
        <v>190</v>
      </c>
      <c r="F670">
        <v>34</v>
      </c>
      <c r="G670">
        <v>0.67200000000000004</v>
      </c>
      <c r="H670">
        <v>43</v>
      </c>
      <c r="I670">
        <v>0</v>
      </c>
    </row>
    <row r="671" spans="1:9" x14ac:dyDescent="0.25">
      <c r="A671">
        <v>9</v>
      </c>
      <c r="B671">
        <v>154</v>
      </c>
      <c r="C671">
        <v>78</v>
      </c>
      <c r="D671">
        <v>30</v>
      </c>
      <c r="E671">
        <v>100</v>
      </c>
      <c r="F671">
        <v>30.9</v>
      </c>
      <c r="G671">
        <v>0.67200000000000004</v>
      </c>
      <c r="H671">
        <v>45</v>
      </c>
      <c r="I671">
        <v>0</v>
      </c>
    </row>
    <row r="672" spans="1:9" x14ac:dyDescent="0.25">
      <c r="A672">
        <v>6</v>
      </c>
      <c r="B672">
        <v>165</v>
      </c>
      <c r="C672">
        <v>68</v>
      </c>
      <c r="D672">
        <v>26</v>
      </c>
      <c r="E672">
        <v>168</v>
      </c>
      <c r="F672">
        <v>33.6</v>
      </c>
      <c r="G672">
        <v>0.67200000000000004</v>
      </c>
      <c r="H672">
        <v>49</v>
      </c>
      <c r="I672">
        <v>0</v>
      </c>
    </row>
    <row r="673" spans="1:9" x14ac:dyDescent="0.25">
      <c r="A673">
        <v>1</v>
      </c>
      <c r="B673">
        <v>99</v>
      </c>
      <c r="C673">
        <v>58</v>
      </c>
      <c r="D673">
        <v>10</v>
      </c>
      <c r="E673">
        <v>80</v>
      </c>
      <c r="F673">
        <v>25.4</v>
      </c>
      <c r="G673">
        <v>0.67200000000000004</v>
      </c>
      <c r="H673">
        <v>21</v>
      </c>
      <c r="I673">
        <v>0</v>
      </c>
    </row>
    <row r="674" spans="1:9" x14ac:dyDescent="0.25">
      <c r="A674">
        <v>10</v>
      </c>
      <c r="B674">
        <v>68</v>
      </c>
      <c r="C674">
        <v>106</v>
      </c>
      <c r="D674">
        <v>23</v>
      </c>
      <c r="E674">
        <v>49</v>
      </c>
      <c r="F674">
        <v>35.5</v>
      </c>
      <c r="G674">
        <v>0.67200000000000004</v>
      </c>
      <c r="H674">
        <v>47</v>
      </c>
      <c r="I674">
        <v>0</v>
      </c>
    </row>
    <row r="675" spans="1:9" x14ac:dyDescent="0.25">
      <c r="A675">
        <v>3</v>
      </c>
      <c r="B675">
        <v>123</v>
      </c>
      <c r="C675">
        <v>100</v>
      </c>
      <c r="D675">
        <v>35</v>
      </c>
      <c r="E675">
        <v>240</v>
      </c>
      <c r="F675">
        <v>57.3</v>
      </c>
      <c r="G675">
        <v>0.67200000000000004</v>
      </c>
      <c r="H675">
        <v>22</v>
      </c>
      <c r="I675">
        <v>0</v>
      </c>
    </row>
    <row r="676" spans="1:9" x14ac:dyDescent="0.25">
      <c r="A676">
        <v>8</v>
      </c>
      <c r="B676">
        <v>91</v>
      </c>
      <c r="C676">
        <v>82</v>
      </c>
      <c r="D676">
        <v>21</v>
      </c>
      <c r="E676">
        <v>80</v>
      </c>
      <c r="F676">
        <v>35.6</v>
      </c>
      <c r="G676">
        <v>0.67200000000000004</v>
      </c>
      <c r="H676">
        <v>68</v>
      </c>
      <c r="I676">
        <v>0</v>
      </c>
    </row>
    <row r="677" spans="1:9" x14ac:dyDescent="0.25">
      <c r="A677">
        <v>6</v>
      </c>
      <c r="B677">
        <v>195</v>
      </c>
      <c r="C677">
        <v>70</v>
      </c>
      <c r="D677">
        <v>21</v>
      </c>
      <c r="E677">
        <v>80</v>
      </c>
      <c r="F677">
        <v>30.9</v>
      </c>
      <c r="G677">
        <v>0.67200000000000004</v>
      </c>
      <c r="H677">
        <v>31</v>
      </c>
      <c r="I677">
        <v>1</v>
      </c>
    </row>
    <row r="678" spans="1:9" x14ac:dyDescent="0.25">
      <c r="A678">
        <v>9</v>
      </c>
      <c r="B678">
        <v>156</v>
      </c>
      <c r="C678">
        <v>86</v>
      </c>
      <c r="D678">
        <v>21</v>
      </c>
      <c r="E678">
        <v>80</v>
      </c>
      <c r="F678">
        <v>24.8</v>
      </c>
      <c r="G678">
        <v>0.67200000000000004</v>
      </c>
      <c r="H678">
        <v>53</v>
      </c>
      <c r="I678">
        <v>1</v>
      </c>
    </row>
    <row r="679" spans="1:9" x14ac:dyDescent="0.25">
      <c r="A679">
        <v>4</v>
      </c>
      <c r="B679">
        <v>93</v>
      </c>
      <c r="C679">
        <v>60</v>
      </c>
      <c r="D679">
        <v>21</v>
      </c>
      <c r="E679">
        <v>80</v>
      </c>
      <c r="F679">
        <v>35.299999999999997</v>
      </c>
      <c r="G679">
        <v>0.67200000000000004</v>
      </c>
      <c r="H679">
        <v>25</v>
      </c>
      <c r="I679">
        <v>0</v>
      </c>
    </row>
    <row r="680" spans="1:9" x14ac:dyDescent="0.25">
      <c r="A680">
        <v>3</v>
      </c>
      <c r="B680">
        <v>121</v>
      </c>
      <c r="C680">
        <v>52</v>
      </c>
      <c r="D680">
        <v>21</v>
      </c>
      <c r="E680">
        <v>80</v>
      </c>
      <c r="F680">
        <v>36</v>
      </c>
      <c r="G680">
        <v>0.67200000000000004</v>
      </c>
      <c r="H680">
        <v>25</v>
      </c>
      <c r="I680">
        <v>1</v>
      </c>
    </row>
    <row r="681" spans="1:9" x14ac:dyDescent="0.25">
      <c r="A681">
        <v>2</v>
      </c>
      <c r="B681">
        <v>101</v>
      </c>
      <c r="C681">
        <v>58</v>
      </c>
      <c r="D681">
        <v>17</v>
      </c>
      <c r="E681">
        <v>265</v>
      </c>
      <c r="F681">
        <v>24.2</v>
      </c>
      <c r="G681">
        <v>0.67200000000000004</v>
      </c>
      <c r="H681">
        <v>23</v>
      </c>
      <c r="I681">
        <v>0</v>
      </c>
    </row>
    <row r="682" spans="1:9" x14ac:dyDescent="0.25">
      <c r="A682">
        <v>2</v>
      </c>
      <c r="B682">
        <v>56</v>
      </c>
      <c r="C682">
        <v>56</v>
      </c>
      <c r="D682">
        <v>28</v>
      </c>
      <c r="E682">
        <v>45</v>
      </c>
      <c r="F682">
        <v>24.2</v>
      </c>
      <c r="G682">
        <v>0.67200000000000004</v>
      </c>
      <c r="H682">
        <v>22</v>
      </c>
      <c r="I682">
        <v>0</v>
      </c>
    </row>
    <row r="683" spans="1:9" x14ac:dyDescent="0.25">
      <c r="A683">
        <v>4</v>
      </c>
      <c r="B683">
        <v>162</v>
      </c>
      <c r="C683">
        <v>76</v>
      </c>
      <c r="D683">
        <v>36</v>
      </c>
      <c r="E683">
        <v>80</v>
      </c>
      <c r="F683">
        <v>49.6</v>
      </c>
      <c r="G683">
        <v>0.67200000000000004</v>
      </c>
      <c r="H683">
        <v>26</v>
      </c>
      <c r="I683">
        <v>1</v>
      </c>
    </row>
    <row r="684" spans="1:9" x14ac:dyDescent="0.25">
      <c r="A684">
        <v>4</v>
      </c>
      <c r="B684">
        <v>95</v>
      </c>
      <c r="C684">
        <v>64</v>
      </c>
      <c r="D684">
        <v>39</v>
      </c>
      <c r="E684">
        <v>105</v>
      </c>
      <c r="F684">
        <v>44.6</v>
      </c>
      <c r="G684">
        <v>0.67200000000000004</v>
      </c>
      <c r="H684">
        <v>22</v>
      </c>
      <c r="I684">
        <v>0</v>
      </c>
    </row>
    <row r="685" spans="1:9" x14ac:dyDescent="0.25">
      <c r="A685">
        <v>4</v>
      </c>
      <c r="B685">
        <v>125</v>
      </c>
      <c r="C685">
        <v>80</v>
      </c>
      <c r="D685">
        <v>21</v>
      </c>
      <c r="E685">
        <v>80</v>
      </c>
      <c r="F685">
        <v>32.299999999999997</v>
      </c>
      <c r="G685">
        <v>0.67200000000000004</v>
      </c>
      <c r="H685">
        <v>27</v>
      </c>
      <c r="I685">
        <v>1</v>
      </c>
    </row>
    <row r="686" spans="1:9" x14ac:dyDescent="0.25">
      <c r="A686">
        <v>5</v>
      </c>
      <c r="B686">
        <v>136</v>
      </c>
      <c r="C686">
        <v>82</v>
      </c>
      <c r="D686">
        <v>21</v>
      </c>
      <c r="E686">
        <v>80</v>
      </c>
      <c r="F686">
        <v>32</v>
      </c>
      <c r="G686">
        <v>0.67200000000000004</v>
      </c>
      <c r="H686">
        <v>69</v>
      </c>
      <c r="I686">
        <v>0</v>
      </c>
    </row>
    <row r="687" spans="1:9" x14ac:dyDescent="0.25">
      <c r="A687">
        <v>2</v>
      </c>
      <c r="B687">
        <v>129</v>
      </c>
      <c r="C687">
        <v>74</v>
      </c>
      <c r="D687">
        <v>26</v>
      </c>
      <c r="E687">
        <v>205</v>
      </c>
      <c r="F687">
        <v>33.200000000000003</v>
      </c>
      <c r="G687">
        <v>0.67200000000000004</v>
      </c>
      <c r="H687">
        <v>25</v>
      </c>
      <c r="I687">
        <v>0</v>
      </c>
    </row>
    <row r="688" spans="1:9" x14ac:dyDescent="0.25">
      <c r="A688">
        <v>3</v>
      </c>
      <c r="B688">
        <v>130</v>
      </c>
      <c r="C688">
        <v>64</v>
      </c>
      <c r="D688">
        <v>21</v>
      </c>
      <c r="E688">
        <v>80</v>
      </c>
      <c r="F688">
        <v>23.1</v>
      </c>
      <c r="G688">
        <v>0.67200000000000004</v>
      </c>
      <c r="H688">
        <v>22</v>
      </c>
      <c r="I688">
        <v>0</v>
      </c>
    </row>
    <row r="689" spans="1:9" x14ac:dyDescent="0.25">
      <c r="A689">
        <v>1</v>
      </c>
      <c r="B689">
        <v>107</v>
      </c>
      <c r="C689">
        <v>50</v>
      </c>
      <c r="D689">
        <v>19</v>
      </c>
      <c r="E689">
        <v>80</v>
      </c>
      <c r="F689">
        <v>28.3</v>
      </c>
      <c r="G689">
        <v>0.67200000000000004</v>
      </c>
      <c r="H689">
        <v>29</v>
      </c>
      <c r="I689">
        <v>0</v>
      </c>
    </row>
    <row r="690" spans="1:9" x14ac:dyDescent="0.25">
      <c r="A690">
        <v>1</v>
      </c>
      <c r="B690">
        <v>140</v>
      </c>
      <c r="C690">
        <v>74</v>
      </c>
      <c r="D690">
        <v>26</v>
      </c>
      <c r="E690">
        <v>180</v>
      </c>
      <c r="F690">
        <v>24.1</v>
      </c>
      <c r="G690">
        <v>0.67200000000000004</v>
      </c>
      <c r="H690">
        <v>23</v>
      </c>
      <c r="I690">
        <v>0</v>
      </c>
    </row>
    <row r="691" spans="1:9" x14ac:dyDescent="0.25">
      <c r="A691">
        <v>1</v>
      </c>
      <c r="B691">
        <v>144</v>
      </c>
      <c r="C691">
        <v>82</v>
      </c>
      <c r="D691">
        <v>46</v>
      </c>
      <c r="E691">
        <v>180</v>
      </c>
      <c r="F691">
        <v>46.1</v>
      </c>
      <c r="G691">
        <v>0.67200000000000004</v>
      </c>
      <c r="H691">
        <v>46</v>
      </c>
      <c r="I691">
        <v>1</v>
      </c>
    </row>
    <row r="692" spans="1:9" x14ac:dyDescent="0.25">
      <c r="A692">
        <v>8</v>
      </c>
      <c r="B692">
        <v>107</v>
      </c>
      <c r="C692">
        <v>80</v>
      </c>
      <c r="D692">
        <v>21</v>
      </c>
      <c r="E692">
        <v>80</v>
      </c>
      <c r="F692">
        <v>24.6</v>
      </c>
      <c r="G692">
        <v>0.67200000000000004</v>
      </c>
      <c r="H692">
        <v>34</v>
      </c>
      <c r="I692">
        <v>0</v>
      </c>
    </row>
    <row r="693" spans="1:9" x14ac:dyDescent="0.25">
      <c r="A693">
        <v>13</v>
      </c>
      <c r="B693">
        <v>158</v>
      </c>
      <c r="C693">
        <v>114</v>
      </c>
      <c r="D693">
        <v>21</v>
      </c>
      <c r="E693">
        <v>80</v>
      </c>
      <c r="F693">
        <v>42.3</v>
      </c>
      <c r="G693">
        <v>0.67200000000000004</v>
      </c>
      <c r="H693">
        <v>44</v>
      </c>
      <c r="I693">
        <v>1</v>
      </c>
    </row>
    <row r="694" spans="1:9" x14ac:dyDescent="0.25">
      <c r="A694">
        <v>2</v>
      </c>
      <c r="B694">
        <v>121</v>
      </c>
      <c r="C694">
        <v>70</v>
      </c>
      <c r="D694">
        <v>32</v>
      </c>
      <c r="E694">
        <v>95</v>
      </c>
      <c r="F694">
        <v>39.1</v>
      </c>
      <c r="G694">
        <v>0.67200000000000004</v>
      </c>
      <c r="H694">
        <v>23</v>
      </c>
      <c r="I694">
        <v>0</v>
      </c>
    </row>
    <row r="695" spans="1:9" x14ac:dyDescent="0.25">
      <c r="A695">
        <v>7</v>
      </c>
      <c r="B695">
        <v>129</v>
      </c>
      <c r="C695">
        <v>68</v>
      </c>
      <c r="D695">
        <v>49</v>
      </c>
      <c r="E695">
        <v>125</v>
      </c>
      <c r="F695">
        <v>38.5</v>
      </c>
      <c r="G695">
        <v>0.67200000000000004</v>
      </c>
      <c r="H695">
        <v>43</v>
      </c>
      <c r="I695">
        <v>1</v>
      </c>
    </row>
    <row r="696" spans="1:9" x14ac:dyDescent="0.25">
      <c r="A696">
        <v>2</v>
      </c>
      <c r="B696">
        <v>90</v>
      </c>
      <c r="C696">
        <v>60</v>
      </c>
      <c r="D696">
        <v>21</v>
      </c>
      <c r="E696">
        <v>80</v>
      </c>
      <c r="F696">
        <v>23.5</v>
      </c>
      <c r="G696">
        <v>0.67200000000000004</v>
      </c>
      <c r="H696">
        <v>25</v>
      </c>
      <c r="I696">
        <v>0</v>
      </c>
    </row>
    <row r="697" spans="1:9" x14ac:dyDescent="0.25">
      <c r="A697">
        <v>7</v>
      </c>
      <c r="B697">
        <v>142</v>
      </c>
      <c r="C697">
        <v>90</v>
      </c>
      <c r="D697">
        <v>24</v>
      </c>
      <c r="E697">
        <v>480</v>
      </c>
      <c r="F697">
        <v>30.4</v>
      </c>
      <c r="G697">
        <v>0.67200000000000004</v>
      </c>
      <c r="H697">
        <v>43</v>
      </c>
      <c r="I697">
        <v>1</v>
      </c>
    </row>
    <row r="698" spans="1:9" x14ac:dyDescent="0.25">
      <c r="A698">
        <v>3</v>
      </c>
      <c r="B698">
        <v>169</v>
      </c>
      <c r="C698">
        <v>74</v>
      </c>
      <c r="D698">
        <v>19</v>
      </c>
      <c r="E698">
        <v>125</v>
      </c>
      <c r="F698">
        <v>29.9</v>
      </c>
      <c r="G698">
        <v>0.67200000000000004</v>
      </c>
      <c r="H698">
        <v>31</v>
      </c>
      <c r="I698">
        <v>1</v>
      </c>
    </row>
    <row r="699" spans="1:9" x14ac:dyDescent="0.25">
      <c r="A699">
        <v>4</v>
      </c>
      <c r="B699">
        <v>99</v>
      </c>
      <c r="C699">
        <v>69</v>
      </c>
      <c r="D699">
        <v>21</v>
      </c>
      <c r="E699">
        <v>80</v>
      </c>
      <c r="F699">
        <v>25</v>
      </c>
      <c r="G699">
        <v>0.67200000000000004</v>
      </c>
      <c r="H699">
        <v>22</v>
      </c>
      <c r="I699">
        <v>0</v>
      </c>
    </row>
    <row r="700" spans="1:9" x14ac:dyDescent="0.25">
      <c r="A700">
        <v>4</v>
      </c>
      <c r="B700">
        <v>127</v>
      </c>
      <c r="C700">
        <v>88</v>
      </c>
      <c r="D700">
        <v>11</v>
      </c>
      <c r="E700">
        <v>155</v>
      </c>
      <c r="F700">
        <v>34.5</v>
      </c>
      <c r="G700">
        <v>0.67200000000000004</v>
      </c>
      <c r="H700">
        <v>28</v>
      </c>
      <c r="I700">
        <v>0</v>
      </c>
    </row>
    <row r="701" spans="1:9" x14ac:dyDescent="0.25">
      <c r="A701">
        <v>4</v>
      </c>
      <c r="B701">
        <v>118</v>
      </c>
      <c r="C701">
        <v>70</v>
      </c>
      <c r="D701">
        <v>21</v>
      </c>
      <c r="E701">
        <v>80</v>
      </c>
      <c r="F701">
        <v>44.5</v>
      </c>
      <c r="G701">
        <v>0.67200000000000004</v>
      </c>
      <c r="H701">
        <v>26</v>
      </c>
      <c r="I701">
        <v>0</v>
      </c>
    </row>
    <row r="702" spans="1:9" x14ac:dyDescent="0.25">
      <c r="A702">
        <v>2</v>
      </c>
      <c r="B702">
        <v>122</v>
      </c>
      <c r="C702">
        <v>76</v>
      </c>
      <c r="D702">
        <v>27</v>
      </c>
      <c r="E702">
        <v>200</v>
      </c>
      <c r="F702">
        <v>35.9</v>
      </c>
      <c r="G702">
        <v>0.67200000000000004</v>
      </c>
      <c r="H702">
        <v>26</v>
      </c>
      <c r="I702">
        <v>0</v>
      </c>
    </row>
    <row r="703" spans="1:9" x14ac:dyDescent="0.25">
      <c r="A703">
        <v>6</v>
      </c>
      <c r="B703">
        <v>125</v>
      </c>
      <c r="C703">
        <v>78</v>
      </c>
      <c r="D703">
        <v>31</v>
      </c>
      <c r="E703">
        <v>80</v>
      </c>
      <c r="F703">
        <v>27.6</v>
      </c>
      <c r="G703">
        <v>0.67200000000000004</v>
      </c>
      <c r="H703">
        <v>49</v>
      </c>
      <c r="I703">
        <v>1</v>
      </c>
    </row>
    <row r="704" spans="1:9" x14ac:dyDescent="0.25">
      <c r="A704">
        <v>1</v>
      </c>
      <c r="B704">
        <v>168</v>
      </c>
      <c r="C704">
        <v>88</v>
      </c>
      <c r="D704">
        <v>29</v>
      </c>
      <c r="E704">
        <v>80</v>
      </c>
      <c r="F704">
        <v>35</v>
      </c>
      <c r="G704">
        <v>0.67200000000000004</v>
      </c>
      <c r="H704">
        <v>52</v>
      </c>
      <c r="I704">
        <v>1</v>
      </c>
    </row>
    <row r="705" spans="1:9" x14ac:dyDescent="0.25">
      <c r="A705">
        <v>2</v>
      </c>
      <c r="B705">
        <v>129</v>
      </c>
      <c r="C705">
        <v>69</v>
      </c>
      <c r="D705">
        <v>21</v>
      </c>
      <c r="E705">
        <v>80</v>
      </c>
      <c r="F705">
        <v>38.5</v>
      </c>
      <c r="G705">
        <v>0.67200000000000004</v>
      </c>
      <c r="H705">
        <v>41</v>
      </c>
      <c r="I705">
        <v>0</v>
      </c>
    </row>
    <row r="706" spans="1:9" x14ac:dyDescent="0.25">
      <c r="A706">
        <v>4</v>
      </c>
      <c r="B706">
        <v>110</v>
      </c>
      <c r="C706">
        <v>76</v>
      </c>
      <c r="D706">
        <v>20</v>
      </c>
      <c r="E706">
        <v>100</v>
      </c>
      <c r="F706">
        <v>28.4</v>
      </c>
      <c r="G706">
        <v>0.67200000000000004</v>
      </c>
      <c r="H706">
        <v>27</v>
      </c>
      <c r="I706">
        <v>0</v>
      </c>
    </row>
    <row r="707" spans="1:9" x14ac:dyDescent="0.25">
      <c r="A707">
        <v>6</v>
      </c>
      <c r="B707">
        <v>80</v>
      </c>
      <c r="C707">
        <v>80</v>
      </c>
      <c r="D707">
        <v>36</v>
      </c>
      <c r="E707">
        <v>80</v>
      </c>
      <c r="F707">
        <v>39.799999999999997</v>
      </c>
      <c r="G707">
        <v>0.67200000000000004</v>
      </c>
      <c r="H707">
        <v>28</v>
      </c>
      <c r="I707">
        <v>0</v>
      </c>
    </row>
    <row r="708" spans="1:9" x14ac:dyDescent="0.25">
      <c r="A708">
        <v>10</v>
      </c>
      <c r="B708">
        <v>115</v>
      </c>
      <c r="C708">
        <v>69</v>
      </c>
      <c r="D708">
        <v>21</v>
      </c>
      <c r="E708">
        <v>80</v>
      </c>
      <c r="F708">
        <v>32</v>
      </c>
      <c r="G708">
        <v>0.67200000000000004</v>
      </c>
      <c r="H708">
        <v>30</v>
      </c>
      <c r="I708">
        <v>1</v>
      </c>
    </row>
    <row r="709" spans="1:9" x14ac:dyDescent="0.25">
      <c r="A709">
        <v>2</v>
      </c>
      <c r="B709">
        <v>127</v>
      </c>
      <c r="C709">
        <v>46</v>
      </c>
      <c r="D709">
        <v>21</v>
      </c>
      <c r="E709">
        <v>335</v>
      </c>
      <c r="F709">
        <v>34.4</v>
      </c>
      <c r="G709">
        <v>0.67200000000000004</v>
      </c>
      <c r="H709">
        <v>22</v>
      </c>
      <c r="I709">
        <v>0</v>
      </c>
    </row>
    <row r="710" spans="1:9" x14ac:dyDescent="0.25">
      <c r="A710">
        <v>9</v>
      </c>
      <c r="B710">
        <v>164</v>
      </c>
      <c r="C710">
        <v>78</v>
      </c>
      <c r="D710">
        <v>21</v>
      </c>
      <c r="E710">
        <v>80</v>
      </c>
      <c r="F710">
        <v>32.799999999999997</v>
      </c>
      <c r="G710">
        <v>0.67200000000000004</v>
      </c>
      <c r="H710">
        <v>45</v>
      </c>
      <c r="I710">
        <v>1</v>
      </c>
    </row>
    <row r="711" spans="1:9" x14ac:dyDescent="0.25">
      <c r="A711">
        <v>2</v>
      </c>
      <c r="B711">
        <v>93</v>
      </c>
      <c r="C711">
        <v>64</v>
      </c>
      <c r="D711">
        <v>32</v>
      </c>
      <c r="E711">
        <v>160</v>
      </c>
      <c r="F711">
        <v>38</v>
      </c>
      <c r="G711">
        <v>0.67200000000000004</v>
      </c>
      <c r="H711">
        <v>23</v>
      </c>
      <c r="I711">
        <v>1</v>
      </c>
    </row>
    <row r="712" spans="1:9" x14ac:dyDescent="0.25">
      <c r="A712">
        <v>3</v>
      </c>
      <c r="B712">
        <v>158</v>
      </c>
      <c r="C712">
        <v>64</v>
      </c>
      <c r="D712">
        <v>13</v>
      </c>
      <c r="E712">
        <v>387</v>
      </c>
      <c r="F712">
        <v>31.2</v>
      </c>
      <c r="G712">
        <v>0.67200000000000004</v>
      </c>
      <c r="H712">
        <v>24</v>
      </c>
      <c r="I712">
        <v>0</v>
      </c>
    </row>
    <row r="713" spans="1:9" x14ac:dyDescent="0.25">
      <c r="A713">
        <v>5</v>
      </c>
      <c r="B713">
        <v>126</v>
      </c>
      <c r="C713">
        <v>78</v>
      </c>
      <c r="D713">
        <v>27</v>
      </c>
      <c r="E713">
        <v>22</v>
      </c>
      <c r="F713">
        <v>29.6</v>
      </c>
      <c r="G713">
        <v>0.67200000000000004</v>
      </c>
      <c r="H713">
        <v>40</v>
      </c>
      <c r="I713">
        <v>0</v>
      </c>
    </row>
    <row r="714" spans="1:9" x14ac:dyDescent="0.25">
      <c r="A714">
        <v>10</v>
      </c>
      <c r="B714">
        <v>129</v>
      </c>
      <c r="C714">
        <v>62</v>
      </c>
      <c r="D714">
        <v>36</v>
      </c>
      <c r="E714">
        <v>80</v>
      </c>
      <c r="F714">
        <v>41.2</v>
      </c>
      <c r="G714">
        <v>0.67200000000000004</v>
      </c>
      <c r="H714">
        <v>38</v>
      </c>
      <c r="I714">
        <v>1</v>
      </c>
    </row>
    <row r="715" spans="1:9" x14ac:dyDescent="0.25">
      <c r="A715">
        <v>4</v>
      </c>
      <c r="B715">
        <v>134</v>
      </c>
      <c r="C715">
        <v>58</v>
      </c>
      <c r="D715">
        <v>20</v>
      </c>
      <c r="E715">
        <v>291</v>
      </c>
      <c r="F715">
        <v>26.4</v>
      </c>
      <c r="G715">
        <v>0.67200000000000004</v>
      </c>
      <c r="H715">
        <v>21</v>
      </c>
      <c r="I715">
        <v>0</v>
      </c>
    </row>
    <row r="716" spans="1:9" x14ac:dyDescent="0.25">
      <c r="A716">
        <v>3</v>
      </c>
      <c r="B716">
        <v>102</v>
      </c>
      <c r="C716">
        <v>74</v>
      </c>
      <c r="D716">
        <v>21</v>
      </c>
      <c r="E716">
        <v>80</v>
      </c>
      <c r="F716">
        <v>29.5</v>
      </c>
      <c r="G716">
        <v>0.67200000000000004</v>
      </c>
      <c r="H716">
        <v>32</v>
      </c>
      <c r="I716">
        <v>0</v>
      </c>
    </row>
    <row r="717" spans="1:9" x14ac:dyDescent="0.25">
      <c r="A717">
        <v>7</v>
      </c>
      <c r="B717">
        <v>187</v>
      </c>
      <c r="C717">
        <v>50</v>
      </c>
      <c r="D717">
        <v>33</v>
      </c>
      <c r="E717">
        <v>392</v>
      </c>
      <c r="F717">
        <v>33.9</v>
      </c>
      <c r="G717">
        <v>0.67200000000000004</v>
      </c>
      <c r="H717">
        <v>34</v>
      </c>
      <c r="I717">
        <v>1</v>
      </c>
    </row>
    <row r="718" spans="1:9" x14ac:dyDescent="0.25">
      <c r="A718">
        <v>3</v>
      </c>
      <c r="B718">
        <v>173</v>
      </c>
      <c r="C718">
        <v>78</v>
      </c>
      <c r="D718">
        <v>39</v>
      </c>
      <c r="E718">
        <v>185</v>
      </c>
      <c r="F718">
        <v>33.799999999999997</v>
      </c>
      <c r="G718">
        <v>0.67200000000000004</v>
      </c>
      <c r="H718">
        <v>31</v>
      </c>
      <c r="I718">
        <v>1</v>
      </c>
    </row>
    <row r="719" spans="1:9" x14ac:dyDescent="0.25">
      <c r="A719">
        <v>10</v>
      </c>
      <c r="B719">
        <v>94</v>
      </c>
      <c r="C719">
        <v>72</v>
      </c>
      <c r="D719">
        <v>18</v>
      </c>
      <c r="E719">
        <v>80</v>
      </c>
      <c r="F719">
        <v>23.1</v>
      </c>
      <c r="G719">
        <v>0.67200000000000004</v>
      </c>
      <c r="H719">
        <v>56</v>
      </c>
      <c r="I719">
        <v>0</v>
      </c>
    </row>
    <row r="720" spans="1:9" x14ac:dyDescent="0.25">
      <c r="A720">
        <v>1</v>
      </c>
      <c r="B720">
        <v>108</v>
      </c>
      <c r="C720">
        <v>60</v>
      </c>
      <c r="D720">
        <v>46</v>
      </c>
      <c r="E720">
        <v>178</v>
      </c>
      <c r="F720">
        <v>35.5</v>
      </c>
      <c r="G720">
        <v>0.67200000000000004</v>
      </c>
      <c r="H720">
        <v>24</v>
      </c>
      <c r="I720">
        <v>0</v>
      </c>
    </row>
    <row r="721" spans="1:9" x14ac:dyDescent="0.25">
      <c r="A721">
        <v>5</v>
      </c>
      <c r="B721">
        <v>97</v>
      </c>
      <c r="C721">
        <v>76</v>
      </c>
      <c r="D721">
        <v>27</v>
      </c>
      <c r="E721">
        <v>80</v>
      </c>
      <c r="F721">
        <v>35.6</v>
      </c>
      <c r="G721">
        <v>0.67200000000000004</v>
      </c>
      <c r="H721">
        <v>52</v>
      </c>
      <c r="I721">
        <v>1</v>
      </c>
    </row>
    <row r="722" spans="1:9" x14ac:dyDescent="0.25">
      <c r="A722">
        <v>4</v>
      </c>
      <c r="B722">
        <v>83</v>
      </c>
      <c r="C722">
        <v>86</v>
      </c>
      <c r="D722">
        <v>19</v>
      </c>
      <c r="E722">
        <v>80</v>
      </c>
      <c r="F722">
        <v>29.3</v>
      </c>
      <c r="G722">
        <v>0.67200000000000004</v>
      </c>
      <c r="H722">
        <v>34</v>
      </c>
      <c r="I722">
        <v>0</v>
      </c>
    </row>
    <row r="723" spans="1:9" x14ac:dyDescent="0.25">
      <c r="A723">
        <v>1</v>
      </c>
      <c r="B723">
        <v>114</v>
      </c>
      <c r="C723">
        <v>66</v>
      </c>
      <c r="D723">
        <v>36</v>
      </c>
      <c r="E723">
        <v>200</v>
      </c>
      <c r="F723">
        <v>38.1</v>
      </c>
      <c r="G723">
        <v>0.67200000000000004</v>
      </c>
      <c r="H723">
        <v>21</v>
      </c>
      <c r="I723">
        <v>0</v>
      </c>
    </row>
    <row r="724" spans="1:9" x14ac:dyDescent="0.25">
      <c r="A724">
        <v>1</v>
      </c>
      <c r="B724">
        <v>149</v>
      </c>
      <c r="C724">
        <v>68</v>
      </c>
      <c r="D724">
        <v>29</v>
      </c>
      <c r="E724">
        <v>127</v>
      </c>
      <c r="F724">
        <v>29.3</v>
      </c>
      <c r="G724">
        <v>0.67200000000000004</v>
      </c>
      <c r="H724">
        <v>42</v>
      </c>
      <c r="I724">
        <v>1</v>
      </c>
    </row>
    <row r="725" spans="1:9" x14ac:dyDescent="0.25">
      <c r="A725">
        <v>5</v>
      </c>
      <c r="B725">
        <v>117</v>
      </c>
      <c r="C725">
        <v>86</v>
      </c>
      <c r="D725">
        <v>30</v>
      </c>
      <c r="E725">
        <v>105</v>
      </c>
      <c r="F725">
        <v>39.1</v>
      </c>
      <c r="G725">
        <v>0.67200000000000004</v>
      </c>
      <c r="H725">
        <v>42</v>
      </c>
      <c r="I725">
        <v>0</v>
      </c>
    </row>
    <row r="726" spans="1:9" x14ac:dyDescent="0.25">
      <c r="A726">
        <v>1</v>
      </c>
      <c r="B726">
        <v>111</v>
      </c>
      <c r="C726">
        <v>94</v>
      </c>
      <c r="D726">
        <v>21</v>
      </c>
      <c r="E726">
        <v>80</v>
      </c>
      <c r="F726">
        <v>32.799999999999997</v>
      </c>
      <c r="G726">
        <v>0.67200000000000004</v>
      </c>
      <c r="H726">
        <v>45</v>
      </c>
      <c r="I726">
        <v>0</v>
      </c>
    </row>
    <row r="727" spans="1:9" x14ac:dyDescent="0.25">
      <c r="A727">
        <v>4</v>
      </c>
      <c r="B727">
        <v>112</v>
      </c>
      <c r="C727">
        <v>78</v>
      </c>
      <c r="D727">
        <v>40</v>
      </c>
      <c r="E727">
        <v>80</v>
      </c>
      <c r="F727">
        <v>39.4</v>
      </c>
      <c r="G727">
        <v>0.67200000000000004</v>
      </c>
      <c r="H727">
        <v>38</v>
      </c>
      <c r="I727">
        <v>0</v>
      </c>
    </row>
    <row r="728" spans="1:9" x14ac:dyDescent="0.25">
      <c r="A728">
        <v>1</v>
      </c>
      <c r="B728">
        <v>116</v>
      </c>
      <c r="C728">
        <v>78</v>
      </c>
      <c r="D728">
        <v>29</v>
      </c>
      <c r="E728">
        <v>180</v>
      </c>
      <c r="F728">
        <v>36.1</v>
      </c>
      <c r="G728">
        <v>0.67200000000000004</v>
      </c>
      <c r="H728">
        <v>25</v>
      </c>
      <c r="I728">
        <v>0</v>
      </c>
    </row>
    <row r="729" spans="1:9" x14ac:dyDescent="0.25">
      <c r="A729">
        <v>4</v>
      </c>
      <c r="B729">
        <v>141</v>
      </c>
      <c r="C729">
        <v>84</v>
      </c>
      <c r="D729">
        <v>26</v>
      </c>
      <c r="E729">
        <v>80</v>
      </c>
      <c r="F729">
        <v>32.4</v>
      </c>
      <c r="G729">
        <v>0.67200000000000004</v>
      </c>
      <c r="H729">
        <v>22</v>
      </c>
      <c r="I729">
        <v>0</v>
      </c>
    </row>
    <row r="730" spans="1:9" x14ac:dyDescent="0.25">
      <c r="A730">
        <v>2</v>
      </c>
      <c r="B730">
        <v>175</v>
      </c>
      <c r="C730">
        <v>88</v>
      </c>
      <c r="D730">
        <v>21</v>
      </c>
      <c r="E730">
        <v>80</v>
      </c>
      <c r="F730">
        <v>22.9</v>
      </c>
      <c r="G730">
        <v>0.67200000000000004</v>
      </c>
      <c r="H730">
        <v>22</v>
      </c>
      <c r="I730">
        <v>0</v>
      </c>
    </row>
    <row r="731" spans="1:9" x14ac:dyDescent="0.25">
      <c r="A731">
        <v>2</v>
      </c>
      <c r="B731">
        <v>92</v>
      </c>
      <c r="C731">
        <v>52</v>
      </c>
      <c r="D731">
        <v>21</v>
      </c>
      <c r="E731">
        <v>80</v>
      </c>
      <c r="F731">
        <v>30.1</v>
      </c>
      <c r="G731">
        <v>0.67200000000000004</v>
      </c>
      <c r="H731">
        <v>22</v>
      </c>
      <c r="I731">
        <v>0</v>
      </c>
    </row>
    <row r="732" spans="1:9" x14ac:dyDescent="0.25">
      <c r="A732">
        <v>3</v>
      </c>
      <c r="B732">
        <v>130</v>
      </c>
      <c r="C732">
        <v>78</v>
      </c>
      <c r="D732">
        <v>23</v>
      </c>
      <c r="E732">
        <v>79</v>
      </c>
      <c r="F732">
        <v>28.4</v>
      </c>
      <c r="G732">
        <v>0.67200000000000004</v>
      </c>
      <c r="H732">
        <v>34</v>
      </c>
      <c r="I732">
        <v>1</v>
      </c>
    </row>
    <row r="733" spans="1:9" x14ac:dyDescent="0.25">
      <c r="A733">
        <v>8</v>
      </c>
      <c r="B733">
        <v>120</v>
      </c>
      <c r="C733">
        <v>86</v>
      </c>
      <c r="D733">
        <v>21</v>
      </c>
      <c r="E733">
        <v>80</v>
      </c>
      <c r="F733">
        <v>28.4</v>
      </c>
      <c r="G733">
        <v>0.67200000000000004</v>
      </c>
      <c r="H733">
        <v>22</v>
      </c>
      <c r="I733">
        <v>1</v>
      </c>
    </row>
    <row r="734" spans="1:9" x14ac:dyDescent="0.25">
      <c r="A734">
        <v>2</v>
      </c>
      <c r="B734">
        <v>174</v>
      </c>
      <c r="C734">
        <v>88</v>
      </c>
      <c r="D734">
        <v>37</v>
      </c>
      <c r="E734">
        <v>120</v>
      </c>
      <c r="F734">
        <v>44.5</v>
      </c>
      <c r="G734">
        <v>0.67200000000000004</v>
      </c>
      <c r="H734">
        <v>24</v>
      </c>
      <c r="I734">
        <v>1</v>
      </c>
    </row>
    <row r="735" spans="1:9" x14ac:dyDescent="0.25">
      <c r="A735">
        <v>2</v>
      </c>
      <c r="B735">
        <v>106</v>
      </c>
      <c r="C735">
        <v>56</v>
      </c>
      <c r="D735">
        <v>27</v>
      </c>
      <c r="E735">
        <v>165</v>
      </c>
      <c r="F735">
        <v>29</v>
      </c>
      <c r="G735">
        <v>0.67200000000000004</v>
      </c>
      <c r="H735">
        <v>22</v>
      </c>
      <c r="I735">
        <v>0</v>
      </c>
    </row>
    <row r="736" spans="1:9" x14ac:dyDescent="0.25">
      <c r="A736">
        <v>2</v>
      </c>
      <c r="B736">
        <v>105</v>
      </c>
      <c r="C736">
        <v>75</v>
      </c>
      <c r="D736">
        <v>21</v>
      </c>
      <c r="E736">
        <v>80</v>
      </c>
      <c r="F736">
        <v>23.3</v>
      </c>
      <c r="G736">
        <v>0.67200000000000004</v>
      </c>
      <c r="H736">
        <v>53</v>
      </c>
      <c r="I736">
        <v>0</v>
      </c>
    </row>
    <row r="737" spans="1:9" x14ac:dyDescent="0.25">
      <c r="A737">
        <v>4</v>
      </c>
      <c r="B737">
        <v>95</v>
      </c>
      <c r="C737">
        <v>60</v>
      </c>
      <c r="D737">
        <v>32</v>
      </c>
      <c r="E737">
        <v>80</v>
      </c>
      <c r="F737">
        <v>35.4</v>
      </c>
      <c r="G737">
        <v>0.67200000000000004</v>
      </c>
      <c r="H737">
        <v>28</v>
      </c>
      <c r="I737">
        <v>0</v>
      </c>
    </row>
    <row r="738" spans="1:9" x14ac:dyDescent="0.25">
      <c r="A738">
        <v>4</v>
      </c>
      <c r="B738">
        <v>126</v>
      </c>
      <c r="C738">
        <v>86</v>
      </c>
      <c r="D738">
        <v>27</v>
      </c>
      <c r="E738">
        <v>120</v>
      </c>
      <c r="F738">
        <v>27.4</v>
      </c>
      <c r="G738">
        <v>0.67200000000000004</v>
      </c>
      <c r="H738">
        <v>21</v>
      </c>
      <c r="I738">
        <v>0</v>
      </c>
    </row>
    <row r="739" spans="1:9" x14ac:dyDescent="0.25">
      <c r="A739">
        <v>8</v>
      </c>
      <c r="B739">
        <v>65</v>
      </c>
      <c r="C739">
        <v>72</v>
      </c>
      <c r="D739">
        <v>23</v>
      </c>
      <c r="E739">
        <v>80</v>
      </c>
      <c r="F739">
        <v>32</v>
      </c>
      <c r="G739">
        <v>0.67200000000000004</v>
      </c>
      <c r="H739">
        <v>42</v>
      </c>
      <c r="I739">
        <v>0</v>
      </c>
    </row>
    <row r="740" spans="1:9" x14ac:dyDescent="0.25">
      <c r="A740">
        <v>2</v>
      </c>
      <c r="B740">
        <v>99</v>
      </c>
      <c r="C740">
        <v>60</v>
      </c>
      <c r="D740">
        <v>17</v>
      </c>
      <c r="E740">
        <v>160</v>
      </c>
      <c r="F740">
        <v>36.6</v>
      </c>
      <c r="G740">
        <v>0.67200000000000004</v>
      </c>
      <c r="H740">
        <v>21</v>
      </c>
      <c r="I740">
        <v>0</v>
      </c>
    </row>
    <row r="741" spans="1:9" x14ac:dyDescent="0.25">
      <c r="A741">
        <v>1</v>
      </c>
      <c r="B741">
        <v>102</v>
      </c>
      <c r="C741">
        <v>74</v>
      </c>
      <c r="D741">
        <v>21</v>
      </c>
      <c r="E741">
        <v>80</v>
      </c>
      <c r="F741">
        <v>39.5</v>
      </c>
      <c r="G741">
        <v>0.67200000000000004</v>
      </c>
      <c r="H741">
        <v>42</v>
      </c>
      <c r="I741">
        <v>1</v>
      </c>
    </row>
    <row r="742" spans="1:9" x14ac:dyDescent="0.25">
      <c r="A742">
        <v>11</v>
      </c>
      <c r="B742">
        <v>120</v>
      </c>
      <c r="C742">
        <v>80</v>
      </c>
      <c r="D742">
        <v>37</v>
      </c>
      <c r="E742">
        <v>150</v>
      </c>
      <c r="F742">
        <v>42.3</v>
      </c>
      <c r="G742">
        <v>0.67200000000000004</v>
      </c>
      <c r="H742">
        <v>48</v>
      </c>
      <c r="I742">
        <v>1</v>
      </c>
    </row>
    <row r="743" spans="1:9" x14ac:dyDescent="0.25">
      <c r="A743">
        <v>3</v>
      </c>
      <c r="B743">
        <v>102</v>
      </c>
      <c r="C743">
        <v>44</v>
      </c>
      <c r="D743">
        <v>20</v>
      </c>
      <c r="E743">
        <v>94</v>
      </c>
      <c r="F743">
        <v>30.8</v>
      </c>
      <c r="G743">
        <v>0.67200000000000004</v>
      </c>
      <c r="H743">
        <v>26</v>
      </c>
      <c r="I743">
        <v>0</v>
      </c>
    </row>
    <row r="744" spans="1:9" x14ac:dyDescent="0.25">
      <c r="A744">
        <v>1</v>
      </c>
      <c r="B744">
        <v>109</v>
      </c>
      <c r="C744">
        <v>58</v>
      </c>
      <c r="D744">
        <v>18</v>
      </c>
      <c r="E744">
        <v>116</v>
      </c>
      <c r="F744">
        <v>28.5</v>
      </c>
      <c r="G744">
        <v>0.67200000000000004</v>
      </c>
      <c r="H744">
        <v>22</v>
      </c>
      <c r="I744">
        <v>0</v>
      </c>
    </row>
    <row r="745" spans="1:9" x14ac:dyDescent="0.25">
      <c r="A745">
        <v>9</v>
      </c>
      <c r="B745">
        <v>140</v>
      </c>
      <c r="C745">
        <v>94</v>
      </c>
      <c r="D745">
        <v>21</v>
      </c>
      <c r="E745">
        <v>80</v>
      </c>
      <c r="F745">
        <v>32.700000000000003</v>
      </c>
      <c r="G745">
        <v>0.67200000000000004</v>
      </c>
      <c r="H745">
        <v>45</v>
      </c>
      <c r="I745">
        <v>1</v>
      </c>
    </row>
    <row r="746" spans="1:9" x14ac:dyDescent="0.25">
      <c r="A746">
        <v>13</v>
      </c>
      <c r="B746">
        <v>153</v>
      </c>
      <c r="C746">
        <v>88</v>
      </c>
      <c r="D746">
        <v>37</v>
      </c>
      <c r="E746">
        <v>140</v>
      </c>
      <c r="F746">
        <v>40.6</v>
      </c>
      <c r="G746">
        <v>0.67200000000000004</v>
      </c>
      <c r="H746">
        <v>39</v>
      </c>
      <c r="I746">
        <v>0</v>
      </c>
    </row>
    <row r="747" spans="1:9" x14ac:dyDescent="0.25">
      <c r="A747">
        <v>12</v>
      </c>
      <c r="B747">
        <v>100</v>
      </c>
      <c r="C747">
        <v>84</v>
      </c>
      <c r="D747">
        <v>33</v>
      </c>
      <c r="E747">
        <v>105</v>
      </c>
      <c r="F747">
        <v>30</v>
      </c>
      <c r="G747">
        <v>0.67200000000000004</v>
      </c>
      <c r="H747">
        <v>46</v>
      </c>
      <c r="I747">
        <v>0</v>
      </c>
    </row>
    <row r="748" spans="1:9" x14ac:dyDescent="0.25">
      <c r="A748">
        <v>1</v>
      </c>
      <c r="B748">
        <v>147</v>
      </c>
      <c r="C748">
        <v>94</v>
      </c>
      <c r="D748">
        <v>41</v>
      </c>
      <c r="E748">
        <v>80</v>
      </c>
      <c r="F748">
        <v>49.3</v>
      </c>
      <c r="G748">
        <v>0.67200000000000004</v>
      </c>
      <c r="H748">
        <v>27</v>
      </c>
      <c r="I748">
        <v>1</v>
      </c>
    </row>
    <row r="749" spans="1:9" x14ac:dyDescent="0.25">
      <c r="A749">
        <v>1</v>
      </c>
      <c r="B749">
        <v>81</v>
      </c>
      <c r="C749">
        <v>74</v>
      </c>
      <c r="D749">
        <v>41</v>
      </c>
      <c r="E749">
        <v>57</v>
      </c>
      <c r="F749">
        <v>46.3</v>
      </c>
      <c r="G749">
        <v>0.67200000000000004</v>
      </c>
      <c r="H749">
        <v>32</v>
      </c>
      <c r="I749">
        <v>0</v>
      </c>
    </row>
    <row r="750" spans="1:9" x14ac:dyDescent="0.25">
      <c r="A750">
        <v>3</v>
      </c>
      <c r="B750">
        <v>187</v>
      </c>
      <c r="C750">
        <v>70</v>
      </c>
      <c r="D750">
        <v>22</v>
      </c>
      <c r="E750">
        <v>200</v>
      </c>
      <c r="F750">
        <v>36.4</v>
      </c>
      <c r="G750">
        <v>0.67200000000000004</v>
      </c>
      <c r="H750">
        <v>36</v>
      </c>
      <c r="I750">
        <v>1</v>
      </c>
    </row>
    <row r="751" spans="1:9" x14ac:dyDescent="0.25">
      <c r="A751">
        <v>6</v>
      </c>
      <c r="B751">
        <v>162</v>
      </c>
      <c r="C751">
        <v>62</v>
      </c>
      <c r="D751">
        <v>21</v>
      </c>
      <c r="E751">
        <v>80</v>
      </c>
      <c r="F751">
        <v>24.3</v>
      </c>
      <c r="G751">
        <v>0.67200000000000004</v>
      </c>
      <c r="H751">
        <v>50</v>
      </c>
      <c r="I751">
        <v>1</v>
      </c>
    </row>
    <row r="752" spans="1:9" x14ac:dyDescent="0.25">
      <c r="A752">
        <v>4</v>
      </c>
      <c r="B752">
        <v>136</v>
      </c>
      <c r="C752">
        <v>70</v>
      </c>
      <c r="D752">
        <v>21</v>
      </c>
      <c r="E752">
        <v>80</v>
      </c>
      <c r="F752">
        <v>31.2</v>
      </c>
      <c r="G752">
        <v>0.67200000000000004</v>
      </c>
      <c r="H752">
        <v>22</v>
      </c>
      <c r="I752">
        <v>1</v>
      </c>
    </row>
    <row r="753" spans="1:9" x14ac:dyDescent="0.25">
      <c r="A753">
        <v>1</v>
      </c>
      <c r="B753">
        <v>121</v>
      </c>
      <c r="C753">
        <v>78</v>
      </c>
      <c r="D753">
        <v>39</v>
      </c>
      <c r="E753">
        <v>74</v>
      </c>
      <c r="F753">
        <v>39</v>
      </c>
      <c r="G753">
        <v>0.67200000000000004</v>
      </c>
      <c r="H753">
        <v>28</v>
      </c>
      <c r="I753">
        <v>0</v>
      </c>
    </row>
    <row r="754" spans="1:9" x14ac:dyDescent="0.25">
      <c r="A754">
        <v>3</v>
      </c>
      <c r="B754">
        <v>108</v>
      </c>
      <c r="C754">
        <v>62</v>
      </c>
      <c r="D754">
        <v>24</v>
      </c>
      <c r="E754">
        <v>80</v>
      </c>
      <c r="F754">
        <v>26</v>
      </c>
      <c r="G754">
        <v>0.67200000000000004</v>
      </c>
      <c r="H754">
        <v>25</v>
      </c>
      <c r="I754">
        <v>0</v>
      </c>
    </row>
    <row r="755" spans="1:9" x14ac:dyDescent="0.25">
      <c r="A755">
        <v>4</v>
      </c>
      <c r="B755">
        <v>181</v>
      </c>
      <c r="C755">
        <v>88</v>
      </c>
      <c r="D755">
        <v>44</v>
      </c>
      <c r="E755">
        <v>510</v>
      </c>
      <c r="F755">
        <v>43.3</v>
      </c>
      <c r="G755">
        <v>0.67200000000000004</v>
      </c>
      <c r="H755">
        <v>26</v>
      </c>
      <c r="I755">
        <v>1</v>
      </c>
    </row>
    <row r="756" spans="1:9" x14ac:dyDescent="0.25">
      <c r="A756">
        <v>8</v>
      </c>
      <c r="B756">
        <v>154</v>
      </c>
      <c r="C756">
        <v>78</v>
      </c>
      <c r="D756">
        <v>32</v>
      </c>
      <c r="E756">
        <v>80</v>
      </c>
      <c r="F756">
        <v>32.4</v>
      </c>
      <c r="G756">
        <v>0.67200000000000004</v>
      </c>
      <c r="H756">
        <v>45</v>
      </c>
      <c r="I756">
        <v>1</v>
      </c>
    </row>
    <row r="757" spans="1:9" x14ac:dyDescent="0.25">
      <c r="A757">
        <v>1</v>
      </c>
      <c r="B757">
        <v>128</v>
      </c>
      <c r="C757">
        <v>88</v>
      </c>
      <c r="D757">
        <v>39</v>
      </c>
      <c r="E757">
        <v>110</v>
      </c>
      <c r="F757">
        <v>36.5</v>
      </c>
      <c r="G757">
        <v>0.67200000000000004</v>
      </c>
      <c r="H757">
        <v>37</v>
      </c>
      <c r="I757">
        <v>1</v>
      </c>
    </row>
    <row r="758" spans="1:9" x14ac:dyDescent="0.25">
      <c r="A758">
        <v>7</v>
      </c>
      <c r="B758">
        <v>137</v>
      </c>
      <c r="C758">
        <v>90</v>
      </c>
      <c r="D758">
        <v>41</v>
      </c>
      <c r="E758">
        <v>80</v>
      </c>
      <c r="F758">
        <v>32</v>
      </c>
      <c r="G758">
        <v>0.67200000000000004</v>
      </c>
      <c r="H758">
        <v>39</v>
      </c>
      <c r="I758">
        <v>0</v>
      </c>
    </row>
    <row r="759" spans="1:9" x14ac:dyDescent="0.25">
      <c r="A759">
        <v>4</v>
      </c>
      <c r="B759">
        <v>123</v>
      </c>
      <c r="C759">
        <v>72</v>
      </c>
      <c r="D759">
        <v>21</v>
      </c>
      <c r="E759">
        <v>80</v>
      </c>
      <c r="F759">
        <v>36.299999999999997</v>
      </c>
      <c r="G759">
        <v>0.67200000000000004</v>
      </c>
      <c r="H759">
        <v>52</v>
      </c>
      <c r="I759">
        <v>1</v>
      </c>
    </row>
    <row r="760" spans="1:9" x14ac:dyDescent="0.25">
      <c r="A760">
        <v>1</v>
      </c>
      <c r="B760">
        <v>106</v>
      </c>
      <c r="C760">
        <v>76</v>
      </c>
      <c r="D760">
        <v>21</v>
      </c>
      <c r="E760">
        <v>80</v>
      </c>
      <c r="F760">
        <v>37.5</v>
      </c>
      <c r="G760">
        <v>0.67200000000000004</v>
      </c>
      <c r="H760">
        <v>26</v>
      </c>
      <c r="I760">
        <v>0</v>
      </c>
    </row>
    <row r="761" spans="1:9" x14ac:dyDescent="0.25">
      <c r="A761">
        <v>6</v>
      </c>
      <c r="B761">
        <v>190</v>
      </c>
      <c r="C761">
        <v>92</v>
      </c>
      <c r="D761">
        <v>21</v>
      </c>
      <c r="E761">
        <v>80</v>
      </c>
      <c r="F761">
        <v>35.5</v>
      </c>
      <c r="G761">
        <v>0.67200000000000004</v>
      </c>
      <c r="H761">
        <v>66</v>
      </c>
      <c r="I761">
        <v>1</v>
      </c>
    </row>
    <row r="762" spans="1:9" x14ac:dyDescent="0.25">
      <c r="A762">
        <v>2</v>
      </c>
      <c r="B762">
        <v>88</v>
      </c>
      <c r="C762">
        <v>58</v>
      </c>
      <c r="D762">
        <v>26</v>
      </c>
      <c r="E762">
        <v>16</v>
      </c>
      <c r="F762">
        <v>28.4</v>
      </c>
      <c r="G762">
        <v>0.67200000000000004</v>
      </c>
      <c r="H762">
        <v>22</v>
      </c>
      <c r="I762">
        <v>0</v>
      </c>
    </row>
    <row r="763" spans="1:9" x14ac:dyDescent="0.25">
      <c r="A763">
        <v>9</v>
      </c>
      <c r="B763">
        <v>170</v>
      </c>
      <c r="C763">
        <v>74</v>
      </c>
      <c r="D763">
        <v>31</v>
      </c>
      <c r="E763">
        <v>80</v>
      </c>
      <c r="F763">
        <v>44</v>
      </c>
      <c r="G763">
        <v>0.67200000000000004</v>
      </c>
      <c r="H763">
        <v>43</v>
      </c>
      <c r="I763">
        <v>1</v>
      </c>
    </row>
    <row r="764" spans="1:9" x14ac:dyDescent="0.25">
      <c r="A764">
        <v>9</v>
      </c>
      <c r="B764">
        <v>89</v>
      </c>
      <c r="C764">
        <v>62</v>
      </c>
      <c r="D764">
        <v>21</v>
      </c>
      <c r="E764">
        <v>80</v>
      </c>
      <c r="F764">
        <v>22.5</v>
      </c>
      <c r="G764">
        <v>0.67200000000000004</v>
      </c>
      <c r="H764">
        <v>33</v>
      </c>
      <c r="I764">
        <v>0</v>
      </c>
    </row>
    <row r="765" spans="1:9" x14ac:dyDescent="0.25">
      <c r="A765">
        <v>10</v>
      </c>
      <c r="B765">
        <v>101</v>
      </c>
      <c r="C765">
        <v>76</v>
      </c>
      <c r="D765">
        <v>48</v>
      </c>
      <c r="E765">
        <v>180</v>
      </c>
      <c r="F765">
        <v>32.9</v>
      </c>
      <c r="G765">
        <v>0.67200000000000004</v>
      </c>
      <c r="H765">
        <v>63</v>
      </c>
      <c r="I765">
        <v>0</v>
      </c>
    </row>
    <row r="766" spans="1:9" x14ac:dyDescent="0.25">
      <c r="A766">
        <v>2</v>
      </c>
      <c r="B766">
        <v>122</v>
      </c>
      <c r="C766">
        <v>70</v>
      </c>
      <c r="D766">
        <v>27</v>
      </c>
      <c r="E766">
        <v>80</v>
      </c>
      <c r="F766">
        <v>36.799999999999997</v>
      </c>
      <c r="G766">
        <v>0.67200000000000004</v>
      </c>
      <c r="H766">
        <v>27</v>
      </c>
      <c r="I766">
        <v>0</v>
      </c>
    </row>
    <row r="767" spans="1:9" x14ac:dyDescent="0.25">
      <c r="A767">
        <v>5</v>
      </c>
      <c r="B767">
        <v>121</v>
      </c>
      <c r="C767">
        <v>72</v>
      </c>
      <c r="D767">
        <v>23</v>
      </c>
      <c r="E767">
        <v>112</v>
      </c>
      <c r="F767">
        <v>26.2</v>
      </c>
      <c r="G767">
        <v>0.67200000000000004</v>
      </c>
      <c r="H767">
        <v>30</v>
      </c>
      <c r="I767">
        <v>0</v>
      </c>
    </row>
    <row r="768" spans="1:9" x14ac:dyDescent="0.25">
      <c r="A768">
        <v>1</v>
      </c>
      <c r="B768">
        <v>126</v>
      </c>
      <c r="C768">
        <v>60</v>
      </c>
      <c r="D768">
        <v>21</v>
      </c>
      <c r="E768">
        <v>80</v>
      </c>
      <c r="F768">
        <v>30.1</v>
      </c>
      <c r="G768">
        <v>0.67200000000000004</v>
      </c>
      <c r="H768">
        <v>47</v>
      </c>
      <c r="I768">
        <v>1</v>
      </c>
    </row>
    <row r="769" spans="1:9" x14ac:dyDescent="0.25">
      <c r="A769">
        <v>1</v>
      </c>
      <c r="B769">
        <v>93</v>
      </c>
      <c r="C769">
        <v>70</v>
      </c>
      <c r="D769">
        <v>31</v>
      </c>
      <c r="E769">
        <v>80</v>
      </c>
      <c r="F769">
        <v>30.4</v>
      </c>
      <c r="G769">
        <v>0.67200000000000004</v>
      </c>
      <c r="H769">
        <v>23</v>
      </c>
      <c r="I769">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418CF-DDBE-4E58-918C-443B058DC1BE}">
  <sheetPr codeName="Sheet2"/>
  <dimension ref="A1:I769"/>
  <sheetViews>
    <sheetView workbookViewId="0"/>
  </sheetViews>
  <sheetFormatPr defaultRowHeight="15" x14ac:dyDescent="0.25"/>
  <cols>
    <col min="1" max="1" width="14" bestFit="1" customWidth="1"/>
    <col min="2" max="2" width="10.42578125" bestFit="1" customWidth="1"/>
    <col min="3" max="3" width="16.28515625" bestFit="1" customWidth="1"/>
    <col min="4" max="4" width="15.7109375" bestFit="1" customWidth="1"/>
    <col min="5" max="5" width="9.28515625" bestFit="1" customWidth="1"/>
    <col min="6" max="6" width="6.85546875" bestFit="1" customWidth="1"/>
    <col min="7" max="7" width="27.28515625" bestFit="1" customWidth="1"/>
    <col min="8" max="8" width="6.7109375" bestFit="1" customWidth="1"/>
    <col min="9" max="9" width="11.42578125" bestFit="1" customWidth="1"/>
  </cols>
  <sheetData>
    <row r="1" spans="1:9" x14ac:dyDescent="0.25">
      <c r="A1" t="s">
        <v>0</v>
      </c>
      <c r="B1" t="s">
        <v>1</v>
      </c>
      <c r="C1" t="s">
        <v>2</v>
      </c>
      <c r="D1" t="s">
        <v>3</v>
      </c>
      <c r="E1" t="s">
        <v>4</v>
      </c>
      <c r="F1" t="s">
        <v>5</v>
      </c>
      <c r="G1" t="s">
        <v>6</v>
      </c>
      <c r="H1" t="s">
        <v>7</v>
      </c>
      <c r="I1" t="s">
        <v>8</v>
      </c>
    </row>
    <row r="2" spans="1:9" x14ac:dyDescent="0.25">
      <c r="A2">
        <v>6</v>
      </c>
      <c r="B2">
        <v>148</v>
      </c>
      <c r="C2">
        <v>72</v>
      </c>
      <c r="D2">
        <v>35</v>
      </c>
      <c r="E2">
        <v>80</v>
      </c>
      <c r="F2">
        <v>34</v>
      </c>
      <c r="G2">
        <v>1</v>
      </c>
      <c r="H2">
        <v>50</v>
      </c>
      <c r="I2">
        <v>1</v>
      </c>
    </row>
    <row r="3" spans="1:9" x14ac:dyDescent="0.25">
      <c r="A3">
        <v>1</v>
      </c>
      <c r="B3">
        <v>85</v>
      </c>
      <c r="C3">
        <v>66</v>
      </c>
      <c r="D3">
        <v>29</v>
      </c>
      <c r="E3">
        <v>80</v>
      </c>
      <c r="F3">
        <v>27</v>
      </c>
      <c r="G3">
        <v>0</v>
      </c>
      <c r="H3">
        <v>31</v>
      </c>
      <c r="I3">
        <v>0</v>
      </c>
    </row>
    <row r="4" spans="1:9" x14ac:dyDescent="0.25">
      <c r="A4">
        <v>8</v>
      </c>
      <c r="B4">
        <v>183</v>
      </c>
      <c r="C4">
        <v>64</v>
      </c>
      <c r="D4">
        <v>21</v>
      </c>
      <c r="E4">
        <v>80</v>
      </c>
      <c r="F4">
        <v>23</v>
      </c>
      <c r="G4">
        <v>1</v>
      </c>
      <c r="H4">
        <v>32</v>
      </c>
      <c r="I4">
        <v>1</v>
      </c>
    </row>
    <row r="5" spans="1:9" x14ac:dyDescent="0.25">
      <c r="A5">
        <v>1</v>
      </c>
      <c r="B5">
        <v>89</v>
      </c>
      <c r="C5">
        <v>66</v>
      </c>
      <c r="D5">
        <v>23</v>
      </c>
      <c r="E5">
        <v>94</v>
      </c>
      <c r="F5">
        <v>28</v>
      </c>
      <c r="G5">
        <v>1</v>
      </c>
      <c r="H5">
        <v>21</v>
      </c>
      <c r="I5">
        <v>0</v>
      </c>
    </row>
    <row r="6" spans="1:9" x14ac:dyDescent="0.25">
      <c r="A6">
        <v>4</v>
      </c>
      <c r="B6">
        <v>137</v>
      </c>
      <c r="C6">
        <v>40</v>
      </c>
      <c r="D6">
        <v>35</v>
      </c>
      <c r="E6">
        <v>168</v>
      </c>
      <c r="F6">
        <v>43</v>
      </c>
      <c r="G6">
        <v>1</v>
      </c>
      <c r="H6">
        <v>33</v>
      </c>
      <c r="I6">
        <v>1</v>
      </c>
    </row>
    <row r="7" spans="1:9" x14ac:dyDescent="0.25">
      <c r="A7">
        <v>5</v>
      </c>
      <c r="B7">
        <v>116</v>
      </c>
      <c r="C7">
        <v>74</v>
      </c>
      <c r="D7">
        <v>21</v>
      </c>
      <c r="E7">
        <v>80</v>
      </c>
      <c r="F7">
        <v>26</v>
      </c>
      <c r="G7">
        <v>1</v>
      </c>
      <c r="H7">
        <v>30</v>
      </c>
      <c r="I7">
        <v>0</v>
      </c>
    </row>
    <row r="8" spans="1:9" x14ac:dyDescent="0.25">
      <c r="A8">
        <v>3</v>
      </c>
      <c r="B8">
        <v>78</v>
      </c>
      <c r="C8">
        <v>50</v>
      </c>
      <c r="D8">
        <v>32</v>
      </c>
      <c r="E8">
        <v>88</v>
      </c>
      <c r="F8">
        <v>31</v>
      </c>
      <c r="G8">
        <v>1</v>
      </c>
      <c r="H8">
        <v>26</v>
      </c>
      <c r="I8">
        <v>1</v>
      </c>
    </row>
    <row r="9" spans="1:9" x14ac:dyDescent="0.25">
      <c r="A9">
        <v>10</v>
      </c>
      <c r="B9">
        <v>115</v>
      </c>
      <c r="C9">
        <v>69</v>
      </c>
      <c r="D9">
        <v>21</v>
      </c>
      <c r="E9">
        <v>80</v>
      </c>
      <c r="F9">
        <v>35</v>
      </c>
      <c r="G9">
        <v>1</v>
      </c>
      <c r="H9">
        <v>29</v>
      </c>
      <c r="I9">
        <v>0</v>
      </c>
    </row>
    <row r="10" spans="1:9" x14ac:dyDescent="0.25">
      <c r="A10">
        <v>2</v>
      </c>
      <c r="B10">
        <v>197</v>
      </c>
      <c r="C10">
        <v>70</v>
      </c>
      <c r="D10">
        <v>45</v>
      </c>
      <c r="E10">
        <v>543</v>
      </c>
      <c r="F10">
        <v>30</v>
      </c>
      <c r="G10">
        <v>1</v>
      </c>
      <c r="H10">
        <v>53</v>
      </c>
      <c r="I10">
        <v>1</v>
      </c>
    </row>
    <row r="11" spans="1:9" x14ac:dyDescent="0.25">
      <c r="A11">
        <v>8</v>
      </c>
      <c r="B11">
        <v>125</v>
      </c>
      <c r="C11">
        <v>96</v>
      </c>
      <c r="D11">
        <v>21</v>
      </c>
      <c r="E11">
        <v>80</v>
      </c>
      <c r="F11">
        <v>32</v>
      </c>
      <c r="G11">
        <v>1</v>
      </c>
      <c r="H11">
        <v>54</v>
      </c>
      <c r="I11">
        <v>1</v>
      </c>
    </row>
    <row r="12" spans="1:9" x14ac:dyDescent="0.25">
      <c r="A12">
        <v>4</v>
      </c>
      <c r="B12">
        <v>110</v>
      </c>
      <c r="C12">
        <v>92</v>
      </c>
      <c r="D12">
        <v>21</v>
      </c>
      <c r="E12">
        <v>80</v>
      </c>
      <c r="F12">
        <v>38</v>
      </c>
      <c r="G12">
        <v>1</v>
      </c>
      <c r="H12">
        <v>30</v>
      </c>
      <c r="I12">
        <v>0</v>
      </c>
    </row>
    <row r="13" spans="1:9" x14ac:dyDescent="0.25">
      <c r="A13">
        <v>10</v>
      </c>
      <c r="B13">
        <v>168</v>
      </c>
      <c r="C13">
        <v>74</v>
      </c>
      <c r="D13">
        <v>21</v>
      </c>
      <c r="E13">
        <v>80</v>
      </c>
      <c r="F13">
        <v>38</v>
      </c>
      <c r="G13">
        <v>1</v>
      </c>
      <c r="H13">
        <v>34</v>
      </c>
      <c r="I13">
        <v>1</v>
      </c>
    </row>
    <row r="14" spans="1:9" x14ac:dyDescent="0.25">
      <c r="A14">
        <v>10</v>
      </c>
      <c r="B14">
        <v>139</v>
      </c>
      <c r="C14">
        <v>80</v>
      </c>
      <c r="D14">
        <v>21</v>
      </c>
      <c r="E14">
        <v>80</v>
      </c>
      <c r="F14">
        <v>27</v>
      </c>
      <c r="G14">
        <v>1</v>
      </c>
      <c r="H14">
        <v>57</v>
      </c>
      <c r="I14">
        <v>0</v>
      </c>
    </row>
    <row r="15" spans="1:9" x14ac:dyDescent="0.25">
      <c r="A15">
        <v>1</v>
      </c>
      <c r="B15">
        <v>189</v>
      </c>
      <c r="C15">
        <v>60</v>
      </c>
      <c r="D15">
        <v>23</v>
      </c>
      <c r="E15">
        <v>846</v>
      </c>
      <c r="F15">
        <v>30</v>
      </c>
      <c r="G15">
        <v>1</v>
      </c>
      <c r="H15">
        <v>59</v>
      </c>
      <c r="I15">
        <v>1</v>
      </c>
    </row>
    <row r="16" spans="1:9" x14ac:dyDescent="0.25">
      <c r="A16">
        <v>5</v>
      </c>
      <c r="B16">
        <v>166</v>
      </c>
      <c r="C16">
        <v>72</v>
      </c>
      <c r="D16">
        <v>19</v>
      </c>
      <c r="E16">
        <v>175</v>
      </c>
      <c r="F16">
        <v>26</v>
      </c>
      <c r="G16">
        <v>1</v>
      </c>
      <c r="H16">
        <v>51</v>
      </c>
      <c r="I16">
        <v>1</v>
      </c>
    </row>
    <row r="17" spans="1:9" x14ac:dyDescent="0.25">
      <c r="A17">
        <v>7</v>
      </c>
      <c r="B17">
        <v>100</v>
      </c>
      <c r="C17">
        <v>69</v>
      </c>
      <c r="D17">
        <v>21</v>
      </c>
      <c r="E17">
        <v>80</v>
      </c>
      <c r="F17">
        <v>30</v>
      </c>
      <c r="G17">
        <v>1</v>
      </c>
      <c r="H17">
        <v>32</v>
      </c>
      <c r="I17">
        <v>1</v>
      </c>
    </row>
    <row r="18" spans="1:9" x14ac:dyDescent="0.25">
      <c r="A18">
        <v>4</v>
      </c>
      <c r="B18">
        <v>118</v>
      </c>
      <c r="C18">
        <v>84</v>
      </c>
      <c r="D18">
        <v>47</v>
      </c>
      <c r="E18">
        <v>230</v>
      </c>
      <c r="F18">
        <v>46</v>
      </c>
      <c r="G18">
        <v>1</v>
      </c>
      <c r="H18">
        <v>31</v>
      </c>
      <c r="I18">
        <v>1</v>
      </c>
    </row>
    <row r="19" spans="1:9" x14ac:dyDescent="0.25">
      <c r="A19">
        <v>7</v>
      </c>
      <c r="B19">
        <v>107</v>
      </c>
      <c r="C19">
        <v>74</v>
      </c>
      <c r="D19">
        <v>21</v>
      </c>
      <c r="E19">
        <v>80</v>
      </c>
      <c r="F19">
        <v>30</v>
      </c>
      <c r="G19">
        <v>1</v>
      </c>
      <c r="H19">
        <v>31</v>
      </c>
      <c r="I19">
        <v>1</v>
      </c>
    </row>
    <row r="20" spans="1:9" x14ac:dyDescent="0.25">
      <c r="A20">
        <v>1</v>
      </c>
      <c r="B20">
        <v>103</v>
      </c>
      <c r="C20">
        <v>30</v>
      </c>
      <c r="D20">
        <v>38</v>
      </c>
      <c r="E20">
        <v>83</v>
      </c>
      <c r="F20">
        <v>43</v>
      </c>
      <c r="G20">
        <v>1</v>
      </c>
      <c r="H20">
        <v>33</v>
      </c>
      <c r="I20">
        <v>0</v>
      </c>
    </row>
    <row r="21" spans="1:9" x14ac:dyDescent="0.25">
      <c r="A21">
        <v>1</v>
      </c>
      <c r="B21">
        <v>115</v>
      </c>
      <c r="C21">
        <v>70</v>
      </c>
      <c r="D21">
        <v>30</v>
      </c>
      <c r="E21">
        <v>96</v>
      </c>
      <c r="F21">
        <v>35</v>
      </c>
      <c r="G21">
        <v>1</v>
      </c>
      <c r="H21">
        <v>32</v>
      </c>
      <c r="I21">
        <v>1</v>
      </c>
    </row>
    <row r="22" spans="1:9" x14ac:dyDescent="0.25">
      <c r="A22">
        <v>3</v>
      </c>
      <c r="B22">
        <v>126</v>
      </c>
      <c r="C22">
        <v>88</v>
      </c>
      <c r="D22">
        <v>41</v>
      </c>
      <c r="E22">
        <v>235</v>
      </c>
      <c r="F22">
        <v>39</v>
      </c>
      <c r="G22">
        <v>1</v>
      </c>
      <c r="H22">
        <v>27</v>
      </c>
      <c r="I22">
        <v>0</v>
      </c>
    </row>
    <row r="23" spans="1:9" x14ac:dyDescent="0.25">
      <c r="A23">
        <v>8</v>
      </c>
      <c r="B23">
        <v>99</v>
      </c>
      <c r="C23">
        <v>84</v>
      </c>
      <c r="D23">
        <v>21</v>
      </c>
      <c r="E23">
        <v>80</v>
      </c>
      <c r="F23">
        <v>35</v>
      </c>
      <c r="G23">
        <v>1</v>
      </c>
      <c r="H23">
        <v>50</v>
      </c>
      <c r="I23">
        <v>0</v>
      </c>
    </row>
    <row r="24" spans="1:9" x14ac:dyDescent="0.25">
      <c r="A24">
        <v>7</v>
      </c>
      <c r="B24">
        <v>196</v>
      </c>
      <c r="C24">
        <v>90</v>
      </c>
      <c r="D24">
        <v>21</v>
      </c>
      <c r="E24">
        <v>80</v>
      </c>
      <c r="F24">
        <v>40</v>
      </c>
      <c r="G24">
        <v>1</v>
      </c>
      <c r="H24">
        <v>41</v>
      </c>
      <c r="I24">
        <v>1</v>
      </c>
    </row>
    <row r="25" spans="1:9" x14ac:dyDescent="0.25">
      <c r="A25">
        <v>9</v>
      </c>
      <c r="B25">
        <v>119</v>
      </c>
      <c r="C25">
        <v>80</v>
      </c>
      <c r="D25">
        <v>35</v>
      </c>
      <c r="E25">
        <v>80</v>
      </c>
      <c r="F25">
        <v>29</v>
      </c>
      <c r="G25">
        <v>1</v>
      </c>
      <c r="H25">
        <v>29</v>
      </c>
      <c r="I25">
        <v>1</v>
      </c>
    </row>
    <row r="26" spans="1:9" x14ac:dyDescent="0.25">
      <c r="A26">
        <v>11</v>
      </c>
      <c r="B26">
        <v>143</v>
      </c>
      <c r="C26">
        <v>94</v>
      </c>
      <c r="D26">
        <v>33</v>
      </c>
      <c r="E26">
        <v>146</v>
      </c>
      <c r="F26">
        <v>37</v>
      </c>
      <c r="G26">
        <v>1</v>
      </c>
      <c r="H26">
        <v>51</v>
      </c>
      <c r="I26">
        <v>1</v>
      </c>
    </row>
    <row r="27" spans="1:9" x14ac:dyDescent="0.25">
      <c r="A27">
        <v>10</v>
      </c>
      <c r="B27">
        <v>125</v>
      </c>
      <c r="C27">
        <v>70</v>
      </c>
      <c r="D27">
        <v>26</v>
      </c>
      <c r="E27">
        <v>115</v>
      </c>
      <c r="F27">
        <v>31</v>
      </c>
      <c r="G27">
        <v>1</v>
      </c>
      <c r="H27">
        <v>41</v>
      </c>
      <c r="I27">
        <v>1</v>
      </c>
    </row>
    <row r="28" spans="1:9" x14ac:dyDescent="0.25">
      <c r="A28">
        <v>7</v>
      </c>
      <c r="B28">
        <v>147</v>
      </c>
      <c r="C28">
        <v>76</v>
      </c>
      <c r="D28">
        <v>21</v>
      </c>
      <c r="E28">
        <v>80</v>
      </c>
      <c r="F28">
        <v>39</v>
      </c>
      <c r="G28">
        <v>1</v>
      </c>
      <c r="H28">
        <v>43</v>
      </c>
      <c r="I28">
        <v>1</v>
      </c>
    </row>
    <row r="29" spans="1:9" x14ac:dyDescent="0.25">
      <c r="A29">
        <v>1</v>
      </c>
      <c r="B29">
        <v>97</v>
      </c>
      <c r="C29">
        <v>66</v>
      </c>
      <c r="D29">
        <v>15</v>
      </c>
      <c r="E29">
        <v>140</v>
      </c>
      <c r="F29">
        <v>23</v>
      </c>
      <c r="G29">
        <v>1</v>
      </c>
      <c r="H29">
        <v>22</v>
      </c>
      <c r="I29">
        <v>0</v>
      </c>
    </row>
    <row r="30" spans="1:9" x14ac:dyDescent="0.25">
      <c r="A30">
        <v>13</v>
      </c>
      <c r="B30">
        <v>145</v>
      </c>
      <c r="C30">
        <v>82</v>
      </c>
      <c r="D30">
        <v>19</v>
      </c>
      <c r="E30">
        <v>110</v>
      </c>
      <c r="F30">
        <v>22</v>
      </c>
      <c r="G30">
        <v>1</v>
      </c>
      <c r="H30">
        <v>57</v>
      </c>
      <c r="I30">
        <v>0</v>
      </c>
    </row>
    <row r="31" spans="1:9" x14ac:dyDescent="0.25">
      <c r="A31">
        <v>5</v>
      </c>
      <c r="B31">
        <v>117</v>
      </c>
      <c r="C31">
        <v>92</v>
      </c>
      <c r="D31">
        <v>21</v>
      </c>
      <c r="E31">
        <v>80</v>
      </c>
      <c r="F31">
        <v>34</v>
      </c>
      <c r="G31">
        <v>1</v>
      </c>
      <c r="H31">
        <v>38</v>
      </c>
      <c r="I31">
        <v>0</v>
      </c>
    </row>
    <row r="32" spans="1:9" x14ac:dyDescent="0.25">
      <c r="A32">
        <v>5</v>
      </c>
      <c r="B32">
        <v>109</v>
      </c>
      <c r="C32">
        <v>75</v>
      </c>
      <c r="D32">
        <v>26</v>
      </c>
      <c r="E32">
        <v>80</v>
      </c>
      <c r="F32">
        <v>36</v>
      </c>
      <c r="G32">
        <v>1</v>
      </c>
      <c r="H32">
        <v>60</v>
      </c>
      <c r="I32">
        <v>0</v>
      </c>
    </row>
    <row r="33" spans="1:9" x14ac:dyDescent="0.25">
      <c r="A33">
        <v>3</v>
      </c>
      <c r="B33">
        <v>158</v>
      </c>
      <c r="C33">
        <v>76</v>
      </c>
      <c r="D33">
        <v>36</v>
      </c>
      <c r="E33">
        <v>245</v>
      </c>
      <c r="F33">
        <v>32</v>
      </c>
      <c r="G33">
        <v>1</v>
      </c>
      <c r="H33">
        <v>28</v>
      </c>
      <c r="I33">
        <v>1</v>
      </c>
    </row>
    <row r="34" spans="1:9" x14ac:dyDescent="0.25">
      <c r="A34">
        <v>3</v>
      </c>
      <c r="B34">
        <v>88</v>
      </c>
      <c r="C34">
        <v>58</v>
      </c>
      <c r="D34">
        <v>11</v>
      </c>
      <c r="E34">
        <v>54</v>
      </c>
      <c r="F34">
        <v>25</v>
      </c>
      <c r="G34">
        <v>1</v>
      </c>
      <c r="H34">
        <v>22</v>
      </c>
      <c r="I34">
        <v>0</v>
      </c>
    </row>
    <row r="35" spans="1:9" x14ac:dyDescent="0.25">
      <c r="A35">
        <v>6</v>
      </c>
      <c r="B35">
        <v>92</v>
      </c>
      <c r="C35">
        <v>92</v>
      </c>
      <c r="D35">
        <v>21</v>
      </c>
      <c r="E35">
        <v>80</v>
      </c>
      <c r="F35">
        <v>20</v>
      </c>
      <c r="G35">
        <v>1</v>
      </c>
      <c r="H35">
        <v>28</v>
      </c>
      <c r="I35">
        <v>0</v>
      </c>
    </row>
    <row r="36" spans="1:9" x14ac:dyDescent="0.25">
      <c r="A36">
        <v>10</v>
      </c>
      <c r="B36">
        <v>122</v>
      </c>
      <c r="C36">
        <v>78</v>
      </c>
      <c r="D36">
        <v>31</v>
      </c>
      <c r="E36">
        <v>80</v>
      </c>
      <c r="F36">
        <v>28</v>
      </c>
      <c r="G36">
        <v>1</v>
      </c>
      <c r="H36">
        <v>45</v>
      </c>
      <c r="I36">
        <v>0</v>
      </c>
    </row>
    <row r="37" spans="1:9" x14ac:dyDescent="0.25">
      <c r="A37">
        <v>4</v>
      </c>
      <c r="B37">
        <v>103</v>
      </c>
      <c r="C37">
        <v>60</v>
      </c>
      <c r="D37">
        <v>33</v>
      </c>
      <c r="E37">
        <v>192</v>
      </c>
      <c r="F37">
        <v>24</v>
      </c>
      <c r="G37">
        <v>1</v>
      </c>
      <c r="H37">
        <v>33</v>
      </c>
      <c r="I37">
        <v>0</v>
      </c>
    </row>
    <row r="38" spans="1:9" x14ac:dyDescent="0.25">
      <c r="A38">
        <v>11</v>
      </c>
      <c r="B38">
        <v>138</v>
      </c>
      <c r="C38">
        <v>76</v>
      </c>
      <c r="D38">
        <v>21</v>
      </c>
      <c r="E38">
        <v>80</v>
      </c>
      <c r="F38">
        <v>33</v>
      </c>
      <c r="G38">
        <v>1</v>
      </c>
      <c r="H38">
        <v>35</v>
      </c>
      <c r="I38">
        <v>0</v>
      </c>
    </row>
    <row r="39" spans="1:9" x14ac:dyDescent="0.25">
      <c r="A39">
        <v>9</v>
      </c>
      <c r="B39">
        <v>102</v>
      </c>
      <c r="C39">
        <v>76</v>
      </c>
      <c r="D39">
        <v>37</v>
      </c>
      <c r="E39">
        <v>80</v>
      </c>
      <c r="F39">
        <v>33</v>
      </c>
      <c r="G39">
        <v>1</v>
      </c>
      <c r="H39">
        <v>46</v>
      </c>
      <c r="I39">
        <v>1</v>
      </c>
    </row>
    <row r="40" spans="1:9" x14ac:dyDescent="0.25">
      <c r="A40">
        <v>2</v>
      </c>
      <c r="B40">
        <v>90</v>
      </c>
      <c r="C40">
        <v>68</v>
      </c>
      <c r="D40">
        <v>42</v>
      </c>
      <c r="E40">
        <v>80</v>
      </c>
      <c r="F40">
        <v>38</v>
      </c>
      <c r="G40">
        <v>1</v>
      </c>
      <c r="H40">
        <v>27</v>
      </c>
      <c r="I40">
        <v>1</v>
      </c>
    </row>
    <row r="41" spans="1:9" x14ac:dyDescent="0.25">
      <c r="A41">
        <v>4</v>
      </c>
      <c r="B41">
        <v>111</v>
      </c>
      <c r="C41">
        <v>72</v>
      </c>
      <c r="D41">
        <v>47</v>
      </c>
      <c r="E41">
        <v>207</v>
      </c>
      <c r="F41">
        <v>37</v>
      </c>
      <c r="G41">
        <v>1</v>
      </c>
      <c r="H41">
        <v>56</v>
      </c>
      <c r="I41">
        <v>1</v>
      </c>
    </row>
    <row r="42" spans="1:9" x14ac:dyDescent="0.25">
      <c r="A42">
        <v>3</v>
      </c>
      <c r="B42">
        <v>180</v>
      </c>
      <c r="C42">
        <v>64</v>
      </c>
      <c r="D42">
        <v>25</v>
      </c>
      <c r="E42">
        <v>70</v>
      </c>
      <c r="F42">
        <v>34</v>
      </c>
      <c r="G42">
        <v>1</v>
      </c>
      <c r="H42">
        <v>26</v>
      </c>
      <c r="I42">
        <v>0</v>
      </c>
    </row>
    <row r="43" spans="1:9" x14ac:dyDescent="0.25">
      <c r="A43">
        <v>7</v>
      </c>
      <c r="B43">
        <v>133</v>
      </c>
      <c r="C43">
        <v>84</v>
      </c>
      <c r="D43">
        <v>21</v>
      </c>
      <c r="E43">
        <v>80</v>
      </c>
      <c r="F43">
        <v>40</v>
      </c>
      <c r="G43">
        <v>1</v>
      </c>
      <c r="H43">
        <v>37</v>
      </c>
      <c r="I43">
        <v>0</v>
      </c>
    </row>
    <row r="44" spans="1:9" x14ac:dyDescent="0.25">
      <c r="A44">
        <v>7</v>
      </c>
      <c r="B44">
        <v>106</v>
      </c>
      <c r="C44">
        <v>92</v>
      </c>
      <c r="D44">
        <v>18</v>
      </c>
      <c r="E44">
        <v>80</v>
      </c>
      <c r="F44">
        <v>23</v>
      </c>
      <c r="G44">
        <v>1</v>
      </c>
      <c r="H44">
        <v>48</v>
      </c>
      <c r="I44">
        <v>0</v>
      </c>
    </row>
    <row r="45" spans="1:9" x14ac:dyDescent="0.25">
      <c r="A45">
        <v>9</v>
      </c>
      <c r="B45">
        <v>171</v>
      </c>
      <c r="C45">
        <v>110</v>
      </c>
      <c r="D45">
        <v>24</v>
      </c>
      <c r="E45">
        <v>240</v>
      </c>
      <c r="F45">
        <v>45</v>
      </c>
      <c r="G45">
        <v>1</v>
      </c>
      <c r="H45">
        <v>54</v>
      </c>
      <c r="I45">
        <v>1</v>
      </c>
    </row>
    <row r="46" spans="1:9" x14ac:dyDescent="0.25">
      <c r="A46">
        <v>7</v>
      </c>
      <c r="B46">
        <v>159</v>
      </c>
      <c r="C46">
        <v>64</v>
      </c>
      <c r="D46">
        <v>21</v>
      </c>
      <c r="E46">
        <v>80</v>
      </c>
      <c r="F46">
        <v>27</v>
      </c>
      <c r="G46">
        <v>1</v>
      </c>
      <c r="H46">
        <v>40</v>
      </c>
      <c r="I46">
        <v>0</v>
      </c>
    </row>
    <row r="47" spans="1:9" x14ac:dyDescent="0.25">
      <c r="A47">
        <v>4</v>
      </c>
      <c r="B47">
        <v>180</v>
      </c>
      <c r="C47">
        <v>66</v>
      </c>
      <c r="D47">
        <v>39</v>
      </c>
      <c r="E47">
        <v>80</v>
      </c>
      <c r="F47">
        <v>42</v>
      </c>
      <c r="G47">
        <v>1</v>
      </c>
      <c r="H47">
        <v>25</v>
      </c>
      <c r="I47">
        <v>1</v>
      </c>
    </row>
    <row r="48" spans="1:9" x14ac:dyDescent="0.25">
      <c r="A48">
        <v>1</v>
      </c>
      <c r="B48">
        <v>146</v>
      </c>
      <c r="C48">
        <v>56</v>
      </c>
      <c r="D48">
        <v>21</v>
      </c>
      <c r="E48">
        <v>80</v>
      </c>
      <c r="F48">
        <v>30</v>
      </c>
      <c r="G48">
        <v>1</v>
      </c>
      <c r="H48">
        <v>29</v>
      </c>
      <c r="I48">
        <v>0</v>
      </c>
    </row>
    <row r="49" spans="1:9" x14ac:dyDescent="0.25">
      <c r="A49">
        <v>2</v>
      </c>
      <c r="B49">
        <v>71</v>
      </c>
      <c r="C49">
        <v>70</v>
      </c>
      <c r="D49">
        <v>27</v>
      </c>
      <c r="E49">
        <v>80</v>
      </c>
      <c r="F49">
        <v>28</v>
      </c>
      <c r="G49">
        <v>1</v>
      </c>
      <c r="H49">
        <v>22</v>
      </c>
      <c r="I49">
        <v>0</v>
      </c>
    </row>
    <row r="50" spans="1:9" x14ac:dyDescent="0.25">
      <c r="A50">
        <v>7</v>
      </c>
      <c r="B50">
        <v>103</v>
      </c>
      <c r="C50">
        <v>66</v>
      </c>
      <c r="D50">
        <v>32</v>
      </c>
      <c r="E50">
        <v>80</v>
      </c>
      <c r="F50">
        <v>39</v>
      </c>
      <c r="G50">
        <v>1</v>
      </c>
      <c r="H50">
        <v>31</v>
      </c>
      <c r="I50">
        <v>1</v>
      </c>
    </row>
    <row r="51" spans="1:9" x14ac:dyDescent="0.25">
      <c r="A51">
        <v>7</v>
      </c>
      <c r="B51">
        <v>105</v>
      </c>
      <c r="C51">
        <v>69</v>
      </c>
      <c r="D51">
        <v>21</v>
      </c>
      <c r="E51">
        <v>80</v>
      </c>
      <c r="F51">
        <v>32</v>
      </c>
      <c r="G51">
        <v>1</v>
      </c>
      <c r="H51">
        <v>24</v>
      </c>
      <c r="I51">
        <v>0</v>
      </c>
    </row>
    <row r="52" spans="1:9" x14ac:dyDescent="0.25">
      <c r="A52">
        <v>1</v>
      </c>
      <c r="B52">
        <v>103</v>
      </c>
      <c r="C52">
        <v>80</v>
      </c>
      <c r="D52">
        <v>11</v>
      </c>
      <c r="E52">
        <v>82</v>
      </c>
      <c r="F52">
        <v>19</v>
      </c>
      <c r="G52">
        <v>1</v>
      </c>
      <c r="H52">
        <v>22</v>
      </c>
      <c r="I52">
        <v>0</v>
      </c>
    </row>
    <row r="53" spans="1:9" x14ac:dyDescent="0.25">
      <c r="A53">
        <v>1</v>
      </c>
      <c r="B53">
        <v>101</v>
      </c>
      <c r="C53">
        <v>50</v>
      </c>
      <c r="D53">
        <v>15</v>
      </c>
      <c r="E53">
        <v>36</v>
      </c>
      <c r="F53">
        <v>24</v>
      </c>
      <c r="G53">
        <v>1</v>
      </c>
      <c r="H53">
        <v>26</v>
      </c>
      <c r="I53">
        <v>0</v>
      </c>
    </row>
    <row r="54" spans="1:9" x14ac:dyDescent="0.25">
      <c r="A54">
        <v>5</v>
      </c>
      <c r="B54">
        <v>88</v>
      </c>
      <c r="C54">
        <v>66</v>
      </c>
      <c r="D54">
        <v>21</v>
      </c>
      <c r="E54">
        <v>23</v>
      </c>
      <c r="F54">
        <v>24</v>
      </c>
      <c r="G54">
        <v>1</v>
      </c>
      <c r="H54">
        <v>30</v>
      </c>
      <c r="I54">
        <v>0</v>
      </c>
    </row>
    <row r="55" spans="1:9" x14ac:dyDescent="0.25">
      <c r="A55">
        <v>8</v>
      </c>
      <c r="B55">
        <v>176</v>
      </c>
      <c r="C55">
        <v>90</v>
      </c>
      <c r="D55">
        <v>34</v>
      </c>
      <c r="E55">
        <v>300</v>
      </c>
      <c r="F55">
        <v>34</v>
      </c>
      <c r="G55">
        <v>1</v>
      </c>
      <c r="H55">
        <v>58</v>
      </c>
      <c r="I55">
        <v>1</v>
      </c>
    </row>
    <row r="56" spans="1:9" x14ac:dyDescent="0.25">
      <c r="A56">
        <v>7</v>
      </c>
      <c r="B56">
        <v>150</v>
      </c>
      <c r="C56">
        <v>66</v>
      </c>
      <c r="D56">
        <v>42</v>
      </c>
      <c r="E56">
        <v>342</v>
      </c>
      <c r="F56">
        <v>35</v>
      </c>
      <c r="G56">
        <v>1</v>
      </c>
      <c r="H56">
        <v>42</v>
      </c>
      <c r="I56">
        <v>0</v>
      </c>
    </row>
    <row r="57" spans="1:9" x14ac:dyDescent="0.25">
      <c r="A57">
        <v>1</v>
      </c>
      <c r="B57">
        <v>73</v>
      </c>
      <c r="C57">
        <v>50</v>
      </c>
      <c r="D57">
        <v>10</v>
      </c>
      <c r="E57">
        <v>80</v>
      </c>
      <c r="F57">
        <v>23</v>
      </c>
      <c r="G57">
        <v>1</v>
      </c>
      <c r="H57">
        <v>21</v>
      </c>
      <c r="I57">
        <v>0</v>
      </c>
    </row>
    <row r="58" spans="1:9" x14ac:dyDescent="0.25">
      <c r="A58">
        <v>7</v>
      </c>
      <c r="B58">
        <v>187</v>
      </c>
      <c r="C58">
        <v>68</v>
      </c>
      <c r="D58">
        <v>39</v>
      </c>
      <c r="E58">
        <v>304</v>
      </c>
      <c r="F58">
        <v>38</v>
      </c>
      <c r="G58">
        <v>1</v>
      </c>
      <c r="H58">
        <v>41</v>
      </c>
      <c r="I58">
        <v>1</v>
      </c>
    </row>
    <row r="59" spans="1:9" x14ac:dyDescent="0.25">
      <c r="A59">
        <v>4</v>
      </c>
      <c r="B59">
        <v>100</v>
      </c>
      <c r="C59">
        <v>88</v>
      </c>
      <c r="D59">
        <v>60</v>
      </c>
      <c r="E59">
        <v>110</v>
      </c>
      <c r="F59">
        <v>47</v>
      </c>
      <c r="G59">
        <v>1</v>
      </c>
      <c r="H59">
        <v>31</v>
      </c>
      <c r="I59">
        <v>0</v>
      </c>
    </row>
    <row r="60" spans="1:9" x14ac:dyDescent="0.25">
      <c r="A60">
        <v>4</v>
      </c>
      <c r="B60">
        <v>146</v>
      </c>
      <c r="C60">
        <v>82</v>
      </c>
      <c r="D60">
        <v>21</v>
      </c>
      <c r="E60">
        <v>80</v>
      </c>
      <c r="F60">
        <v>40</v>
      </c>
      <c r="G60">
        <v>1</v>
      </c>
      <c r="H60">
        <v>44</v>
      </c>
      <c r="I60">
        <v>0</v>
      </c>
    </row>
    <row r="61" spans="1:9" x14ac:dyDescent="0.25">
      <c r="A61">
        <v>4</v>
      </c>
      <c r="B61">
        <v>105</v>
      </c>
      <c r="C61">
        <v>64</v>
      </c>
      <c r="D61">
        <v>41</v>
      </c>
      <c r="E61">
        <v>142</v>
      </c>
      <c r="F61">
        <v>42</v>
      </c>
      <c r="G61">
        <v>1</v>
      </c>
      <c r="H61">
        <v>22</v>
      </c>
      <c r="I61">
        <v>0</v>
      </c>
    </row>
    <row r="62" spans="1:9" x14ac:dyDescent="0.25">
      <c r="A62">
        <v>2</v>
      </c>
      <c r="B62">
        <v>84</v>
      </c>
      <c r="C62">
        <v>69</v>
      </c>
      <c r="D62">
        <v>21</v>
      </c>
      <c r="E62">
        <v>80</v>
      </c>
      <c r="F62">
        <v>32</v>
      </c>
      <c r="G62">
        <v>1</v>
      </c>
      <c r="H62">
        <v>21</v>
      </c>
      <c r="I62">
        <v>0</v>
      </c>
    </row>
    <row r="63" spans="1:9" x14ac:dyDescent="0.25">
      <c r="A63">
        <v>8</v>
      </c>
      <c r="B63">
        <v>133</v>
      </c>
      <c r="C63">
        <v>72</v>
      </c>
      <c r="D63">
        <v>21</v>
      </c>
      <c r="E63">
        <v>80</v>
      </c>
      <c r="F63">
        <v>33</v>
      </c>
      <c r="G63">
        <v>1</v>
      </c>
      <c r="H63">
        <v>39</v>
      </c>
      <c r="I63">
        <v>1</v>
      </c>
    </row>
    <row r="64" spans="1:9" x14ac:dyDescent="0.25">
      <c r="A64">
        <v>5</v>
      </c>
      <c r="B64">
        <v>44</v>
      </c>
      <c r="C64">
        <v>62</v>
      </c>
      <c r="D64">
        <v>21</v>
      </c>
      <c r="E64">
        <v>80</v>
      </c>
      <c r="F64">
        <v>25</v>
      </c>
      <c r="G64">
        <v>1</v>
      </c>
      <c r="H64">
        <v>36</v>
      </c>
      <c r="I64">
        <v>0</v>
      </c>
    </row>
    <row r="65" spans="1:9" x14ac:dyDescent="0.25">
      <c r="A65">
        <v>2</v>
      </c>
      <c r="B65">
        <v>141</v>
      </c>
      <c r="C65">
        <v>58</v>
      </c>
      <c r="D65">
        <v>34</v>
      </c>
      <c r="E65">
        <v>128</v>
      </c>
      <c r="F65">
        <v>25</v>
      </c>
      <c r="G65">
        <v>1</v>
      </c>
      <c r="H65">
        <v>24</v>
      </c>
      <c r="I65">
        <v>0</v>
      </c>
    </row>
    <row r="66" spans="1:9" x14ac:dyDescent="0.25">
      <c r="A66">
        <v>7</v>
      </c>
      <c r="B66">
        <v>114</v>
      </c>
      <c r="C66">
        <v>66</v>
      </c>
      <c r="D66">
        <v>21</v>
      </c>
      <c r="E66">
        <v>80</v>
      </c>
      <c r="F66">
        <v>33</v>
      </c>
      <c r="G66">
        <v>1</v>
      </c>
      <c r="H66">
        <v>42</v>
      </c>
      <c r="I66">
        <v>1</v>
      </c>
    </row>
    <row r="67" spans="1:9" x14ac:dyDescent="0.25">
      <c r="A67">
        <v>5</v>
      </c>
      <c r="B67">
        <v>99</v>
      </c>
      <c r="C67">
        <v>74</v>
      </c>
      <c r="D67">
        <v>27</v>
      </c>
      <c r="E67">
        <v>80</v>
      </c>
      <c r="F67">
        <v>29</v>
      </c>
      <c r="G67">
        <v>1</v>
      </c>
      <c r="H67">
        <v>32</v>
      </c>
      <c r="I67">
        <v>0</v>
      </c>
    </row>
    <row r="68" spans="1:9" x14ac:dyDescent="0.25">
      <c r="A68">
        <v>4</v>
      </c>
      <c r="B68">
        <v>109</v>
      </c>
      <c r="C68">
        <v>88</v>
      </c>
      <c r="D68">
        <v>30</v>
      </c>
      <c r="E68">
        <v>80</v>
      </c>
      <c r="F68">
        <v>32</v>
      </c>
      <c r="G68">
        <v>1</v>
      </c>
      <c r="H68">
        <v>38</v>
      </c>
      <c r="I68">
        <v>1</v>
      </c>
    </row>
    <row r="69" spans="1:9" x14ac:dyDescent="0.25">
      <c r="A69">
        <v>2</v>
      </c>
      <c r="B69">
        <v>109</v>
      </c>
      <c r="C69">
        <v>92</v>
      </c>
      <c r="D69">
        <v>21</v>
      </c>
      <c r="E69">
        <v>80</v>
      </c>
      <c r="F69">
        <v>43</v>
      </c>
      <c r="G69">
        <v>1</v>
      </c>
      <c r="H69">
        <v>54</v>
      </c>
      <c r="I69">
        <v>0</v>
      </c>
    </row>
    <row r="70" spans="1:9" x14ac:dyDescent="0.25">
      <c r="A70">
        <v>1</v>
      </c>
      <c r="B70">
        <v>95</v>
      </c>
      <c r="C70">
        <v>66</v>
      </c>
      <c r="D70">
        <v>13</v>
      </c>
      <c r="E70">
        <v>38</v>
      </c>
      <c r="F70">
        <v>20</v>
      </c>
      <c r="G70">
        <v>1</v>
      </c>
      <c r="H70">
        <v>25</v>
      </c>
      <c r="I70">
        <v>0</v>
      </c>
    </row>
    <row r="71" spans="1:9" x14ac:dyDescent="0.25">
      <c r="A71">
        <v>4</v>
      </c>
      <c r="B71">
        <v>146</v>
      </c>
      <c r="C71">
        <v>85</v>
      </c>
      <c r="D71">
        <v>27</v>
      </c>
      <c r="E71">
        <v>100</v>
      </c>
      <c r="F71">
        <v>29</v>
      </c>
      <c r="G71">
        <v>1</v>
      </c>
      <c r="H71">
        <v>27</v>
      </c>
      <c r="I71">
        <v>0</v>
      </c>
    </row>
    <row r="72" spans="1:9" x14ac:dyDescent="0.25">
      <c r="A72">
        <v>2</v>
      </c>
      <c r="B72">
        <v>100</v>
      </c>
      <c r="C72">
        <v>66</v>
      </c>
      <c r="D72">
        <v>20</v>
      </c>
      <c r="E72">
        <v>90</v>
      </c>
      <c r="F72">
        <v>33</v>
      </c>
      <c r="G72">
        <v>1</v>
      </c>
      <c r="H72">
        <v>28</v>
      </c>
      <c r="I72">
        <v>1</v>
      </c>
    </row>
    <row r="73" spans="1:9" x14ac:dyDescent="0.25">
      <c r="A73">
        <v>5</v>
      </c>
      <c r="B73">
        <v>139</v>
      </c>
      <c r="C73">
        <v>64</v>
      </c>
      <c r="D73">
        <v>35</v>
      </c>
      <c r="E73">
        <v>140</v>
      </c>
      <c r="F73">
        <v>29</v>
      </c>
      <c r="G73">
        <v>1</v>
      </c>
      <c r="H73">
        <v>26</v>
      </c>
      <c r="I73">
        <v>0</v>
      </c>
    </row>
    <row r="74" spans="1:9" x14ac:dyDescent="0.25">
      <c r="A74">
        <v>13</v>
      </c>
      <c r="B74">
        <v>126</v>
      </c>
      <c r="C74">
        <v>90</v>
      </c>
      <c r="D74">
        <v>21</v>
      </c>
      <c r="E74">
        <v>80</v>
      </c>
      <c r="F74">
        <v>43</v>
      </c>
      <c r="G74">
        <v>1</v>
      </c>
      <c r="H74">
        <v>42</v>
      </c>
      <c r="I74">
        <v>1</v>
      </c>
    </row>
    <row r="75" spans="1:9" x14ac:dyDescent="0.25">
      <c r="A75">
        <v>4</v>
      </c>
      <c r="B75">
        <v>129</v>
      </c>
      <c r="C75">
        <v>86</v>
      </c>
      <c r="D75">
        <v>20</v>
      </c>
      <c r="E75">
        <v>270</v>
      </c>
      <c r="F75">
        <v>35</v>
      </c>
      <c r="G75">
        <v>1</v>
      </c>
      <c r="H75">
        <v>23</v>
      </c>
      <c r="I75">
        <v>0</v>
      </c>
    </row>
    <row r="76" spans="1:9" x14ac:dyDescent="0.25">
      <c r="A76">
        <v>1</v>
      </c>
      <c r="B76">
        <v>79</v>
      </c>
      <c r="C76">
        <v>75</v>
      </c>
      <c r="D76">
        <v>30</v>
      </c>
      <c r="E76">
        <v>80</v>
      </c>
      <c r="F76">
        <v>32</v>
      </c>
      <c r="G76">
        <v>1</v>
      </c>
      <c r="H76">
        <v>22</v>
      </c>
      <c r="I76">
        <v>0</v>
      </c>
    </row>
    <row r="77" spans="1:9" x14ac:dyDescent="0.25">
      <c r="A77">
        <v>1</v>
      </c>
      <c r="B77">
        <v>121</v>
      </c>
      <c r="C77">
        <v>48</v>
      </c>
      <c r="D77">
        <v>20</v>
      </c>
      <c r="E77">
        <v>80</v>
      </c>
      <c r="F77">
        <v>25</v>
      </c>
      <c r="G77">
        <v>1</v>
      </c>
      <c r="H77">
        <v>22</v>
      </c>
      <c r="I77">
        <v>0</v>
      </c>
    </row>
    <row r="78" spans="1:9" x14ac:dyDescent="0.25">
      <c r="A78">
        <v>7</v>
      </c>
      <c r="B78">
        <v>62</v>
      </c>
      <c r="C78">
        <v>78</v>
      </c>
      <c r="D78">
        <v>21</v>
      </c>
      <c r="E78">
        <v>80</v>
      </c>
      <c r="F78">
        <v>33</v>
      </c>
      <c r="G78">
        <v>1</v>
      </c>
      <c r="H78">
        <v>41</v>
      </c>
      <c r="I78">
        <v>0</v>
      </c>
    </row>
    <row r="79" spans="1:9" x14ac:dyDescent="0.25">
      <c r="A79">
        <v>5</v>
      </c>
      <c r="B79">
        <v>95</v>
      </c>
      <c r="C79">
        <v>72</v>
      </c>
      <c r="D79">
        <v>33</v>
      </c>
      <c r="E79">
        <v>80</v>
      </c>
      <c r="F79">
        <v>38</v>
      </c>
      <c r="G79">
        <v>1</v>
      </c>
      <c r="H79">
        <v>27</v>
      </c>
      <c r="I79">
        <v>0</v>
      </c>
    </row>
    <row r="80" spans="1:9" x14ac:dyDescent="0.25">
      <c r="A80">
        <v>4</v>
      </c>
      <c r="B80">
        <v>131</v>
      </c>
      <c r="C80">
        <v>69</v>
      </c>
      <c r="D80">
        <v>21</v>
      </c>
      <c r="E80">
        <v>80</v>
      </c>
      <c r="F80">
        <v>43</v>
      </c>
      <c r="G80">
        <v>1</v>
      </c>
      <c r="H80">
        <v>26</v>
      </c>
      <c r="I80">
        <v>1</v>
      </c>
    </row>
    <row r="81" spans="1:9" x14ac:dyDescent="0.25">
      <c r="A81">
        <v>2</v>
      </c>
      <c r="B81">
        <v>112</v>
      </c>
      <c r="C81">
        <v>66</v>
      </c>
      <c r="D81">
        <v>22</v>
      </c>
      <c r="E81">
        <v>80</v>
      </c>
      <c r="F81">
        <v>25</v>
      </c>
      <c r="G81">
        <v>1</v>
      </c>
      <c r="H81">
        <v>24</v>
      </c>
      <c r="I81">
        <v>0</v>
      </c>
    </row>
    <row r="82" spans="1:9" x14ac:dyDescent="0.25">
      <c r="A82">
        <v>3</v>
      </c>
      <c r="B82">
        <v>113</v>
      </c>
      <c r="C82">
        <v>44</v>
      </c>
      <c r="D82">
        <v>13</v>
      </c>
      <c r="E82">
        <v>80</v>
      </c>
      <c r="F82">
        <v>22</v>
      </c>
      <c r="G82">
        <v>1</v>
      </c>
      <c r="H82">
        <v>22</v>
      </c>
      <c r="I82">
        <v>0</v>
      </c>
    </row>
    <row r="83" spans="1:9" x14ac:dyDescent="0.25">
      <c r="A83">
        <v>2</v>
      </c>
      <c r="B83">
        <v>74</v>
      </c>
      <c r="C83">
        <v>69</v>
      </c>
      <c r="D83">
        <v>21</v>
      </c>
      <c r="E83">
        <v>80</v>
      </c>
      <c r="F83">
        <v>32</v>
      </c>
      <c r="G83">
        <v>1</v>
      </c>
      <c r="H83">
        <v>22</v>
      </c>
      <c r="I83">
        <v>0</v>
      </c>
    </row>
    <row r="84" spans="1:9" x14ac:dyDescent="0.25">
      <c r="A84">
        <v>7</v>
      </c>
      <c r="B84">
        <v>83</v>
      </c>
      <c r="C84">
        <v>78</v>
      </c>
      <c r="D84">
        <v>26</v>
      </c>
      <c r="E84">
        <v>71</v>
      </c>
      <c r="F84">
        <v>29</v>
      </c>
      <c r="G84">
        <v>1</v>
      </c>
      <c r="H84">
        <v>36</v>
      </c>
      <c r="I84">
        <v>0</v>
      </c>
    </row>
    <row r="85" spans="1:9" x14ac:dyDescent="0.25">
      <c r="A85">
        <v>4</v>
      </c>
      <c r="B85">
        <v>101</v>
      </c>
      <c r="C85">
        <v>65</v>
      </c>
      <c r="D85">
        <v>28</v>
      </c>
      <c r="E85">
        <v>80</v>
      </c>
      <c r="F85">
        <v>25</v>
      </c>
      <c r="G85">
        <v>1</v>
      </c>
      <c r="H85">
        <v>22</v>
      </c>
      <c r="I85">
        <v>0</v>
      </c>
    </row>
    <row r="86" spans="1:9" x14ac:dyDescent="0.25">
      <c r="A86">
        <v>5</v>
      </c>
      <c r="B86">
        <v>137</v>
      </c>
      <c r="C86">
        <v>108</v>
      </c>
      <c r="D86">
        <v>21</v>
      </c>
      <c r="E86">
        <v>80</v>
      </c>
      <c r="F86">
        <v>49</v>
      </c>
      <c r="G86">
        <v>1</v>
      </c>
      <c r="H86">
        <v>37</v>
      </c>
      <c r="I86">
        <v>1</v>
      </c>
    </row>
    <row r="87" spans="1:9" x14ac:dyDescent="0.25">
      <c r="A87">
        <v>2</v>
      </c>
      <c r="B87">
        <v>110</v>
      </c>
      <c r="C87">
        <v>74</v>
      </c>
      <c r="D87">
        <v>29</v>
      </c>
      <c r="E87">
        <v>125</v>
      </c>
      <c r="F87">
        <v>32</v>
      </c>
      <c r="G87">
        <v>1</v>
      </c>
      <c r="H87">
        <v>27</v>
      </c>
      <c r="I87">
        <v>0</v>
      </c>
    </row>
    <row r="88" spans="1:9" x14ac:dyDescent="0.25">
      <c r="A88">
        <v>13</v>
      </c>
      <c r="B88">
        <v>106</v>
      </c>
      <c r="C88">
        <v>72</v>
      </c>
      <c r="D88">
        <v>54</v>
      </c>
      <c r="E88">
        <v>80</v>
      </c>
      <c r="F88">
        <v>37</v>
      </c>
      <c r="G88">
        <v>1</v>
      </c>
      <c r="H88">
        <v>45</v>
      </c>
      <c r="I88">
        <v>0</v>
      </c>
    </row>
    <row r="89" spans="1:9" x14ac:dyDescent="0.25">
      <c r="A89">
        <v>2</v>
      </c>
      <c r="B89">
        <v>100</v>
      </c>
      <c r="C89">
        <v>68</v>
      </c>
      <c r="D89">
        <v>25</v>
      </c>
      <c r="E89">
        <v>71</v>
      </c>
      <c r="F89">
        <v>38</v>
      </c>
      <c r="G89">
        <v>1</v>
      </c>
      <c r="H89">
        <v>26</v>
      </c>
      <c r="I89">
        <v>0</v>
      </c>
    </row>
    <row r="90" spans="1:9" x14ac:dyDescent="0.25">
      <c r="A90">
        <v>15</v>
      </c>
      <c r="B90">
        <v>136</v>
      </c>
      <c r="C90">
        <v>70</v>
      </c>
      <c r="D90">
        <v>32</v>
      </c>
      <c r="E90">
        <v>110</v>
      </c>
      <c r="F90">
        <v>37</v>
      </c>
      <c r="G90">
        <v>1</v>
      </c>
      <c r="H90">
        <v>43</v>
      </c>
      <c r="I90">
        <v>1</v>
      </c>
    </row>
    <row r="91" spans="1:9" x14ac:dyDescent="0.25">
      <c r="A91">
        <v>1</v>
      </c>
      <c r="B91">
        <v>107</v>
      </c>
      <c r="C91">
        <v>68</v>
      </c>
      <c r="D91">
        <v>19</v>
      </c>
      <c r="E91">
        <v>80</v>
      </c>
      <c r="F91">
        <v>26</v>
      </c>
      <c r="G91">
        <v>1</v>
      </c>
      <c r="H91">
        <v>24</v>
      </c>
      <c r="I91">
        <v>0</v>
      </c>
    </row>
    <row r="92" spans="1:9" x14ac:dyDescent="0.25">
      <c r="A92">
        <v>1</v>
      </c>
      <c r="B92">
        <v>80</v>
      </c>
      <c r="C92">
        <v>55</v>
      </c>
      <c r="D92">
        <v>21</v>
      </c>
      <c r="E92">
        <v>80</v>
      </c>
      <c r="F92">
        <v>19</v>
      </c>
      <c r="G92">
        <v>1</v>
      </c>
      <c r="H92">
        <v>21</v>
      </c>
      <c r="I92">
        <v>0</v>
      </c>
    </row>
    <row r="93" spans="1:9" x14ac:dyDescent="0.25">
      <c r="A93">
        <v>4</v>
      </c>
      <c r="B93">
        <v>123</v>
      </c>
      <c r="C93">
        <v>80</v>
      </c>
      <c r="D93">
        <v>15</v>
      </c>
      <c r="E93">
        <v>176</v>
      </c>
      <c r="F93">
        <v>32</v>
      </c>
      <c r="G93">
        <v>1</v>
      </c>
      <c r="H93">
        <v>34</v>
      </c>
      <c r="I93">
        <v>0</v>
      </c>
    </row>
    <row r="94" spans="1:9" x14ac:dyDescent="0.25">
      <c r="A94">
        <v>7</v>
      </c>
      <c r="B94">
        <v>81</v>
      </c>
      <c r="C94">
        <v>78</v>
      </c>
      <c r="D94">
        <v>40</v>
      </c>
      <c r="E94">
        <v>48</v>
      </c>
      <c r="F94">
        <v>47</v>
      </c>
      <c r="G94">
        <v>1</v>
      </c>
      <c r="H94">
        <v>42</v>
      </c>
      <c r="I94">
        <v>0</v>
      </c>
    </row>
    <row r="95" spans="1:9" x14ac:dyDescent="0.25">
      <c r="A95">
        <v>4</v>
      </c>
      <c r="B95">
        <v>134</v>
      </c>
      <c r="C95">
        <v>72</v>
      </c>
      <c r="D95">
        <v>21</v>
      </c>
      <c r="E95">
        <v>80</v>
      </c>
      <c r="F95">
        <v>24</v>
      </c>
      <c r="G95">
        <v>1</v>
      </c>
      <c r="H95">
        <v>60</v>
      </c>
      <c r="I95">
        <v>1</v>
      </c>
    </row>
    <row r="96" spans="1:9" x14ac:dyDescent="0.25">
      <c r="A96">
        <v>2</v>
      </c>
      <c r="B96">
        <v>142</v>
      </c>
      <c r="C96">
        <v>82</v>
      </c>
      <c r="D96">
        <v>18</v>
      </c>
      <c r="E96">
        <v>64</v>
      </c>
      <c r="F96">
        <v>25</v>
      </c>
      <c r="G96">
        <v>1</v>
      </c>
      <c r="H96">
        <v>21</v>
      </c>
      <c r="I96">
        <v>0</v>
      </c>
    </row>
    <row r="97" spans="1:9" x14ac:dyDescent="0.25">
      <c r="A97">
        <v>6</v>
      </c>
      <c r="B97">
        <v>144</v>
      </c>
      <c r="C97">
        <v>72</v>
      </c>
      <c r="D97">
        <v>27</v>
      </c>
      <c r="E97">
        <v>228</v>
      </c>
      <c r="F97">
        <v>34</v>
      </c>
      <c r="G97">
        <v>1</v>
      </c>
      <c r="H97">
        <v>40</v>
      </c>
      <c r="I97">
        <v>0</v>
      </c>
    </row>
    <row r="98" spans="1:9" x14ac:dyDescent="0.25">
      <c r="A98">
        <v>2</v>
      </c>
      <c r="B98">
        <v>92</v>
      </c>
      <c r="C98">
        <v>62</v>
      </c>
      <c r="D98">
        <v>28</v>
      </c>
      <c r="E98">
        <v>80</v>
      </c>
      <c r="F98">
        <v>32</v>
      </c>
      <c r="G98">
        <v>1</v>
      </c>
      <c r="H98">
        <v>24</v>
      </c>
      <c r="I98">
        <v>0</v>
      </c>
    </row>
    <row r="99" spans="1:9" x14ac:dyDescent="0.25">
      <c r="A99">
        <v>1</v>
      </c>
      <c r="B99">
        <v>71</v>
      </c>
      <c r="C99">
        <v>48</v>
      </c>
      <c r="D99">
        <v>18</v>
      </c>
      <c r="E99">
        <v>76</v>
      </c>
      <c r="F99">
        <v>20</v>
      </c>
      <c r="G99">
        <v>1</v>
      </c>
      <c r="H99">
        <v>22</v>
      </c>
      <c r="I99">
        <v>0</v>
      </c>
    </row>
    <row r="100" spans="1:9" x14ac:dyDescent="0.25">
      <c r="A100">
        <v>6</v>
      </c>
      <c r="B100">
        <v>93</v>
      </c>
      <c r="C100">
        <v>50</v>
      </c>
      <c r="D100">
        <v>30</v>
      </c>
      <c r="E100">
        <v>64</v>
      </c>
      <c r="F100">
        <v>29</v>
      </c>
      <c r="G100">
        <v>1</v>
      </c>
      <c r="H100">
        <v>23</v>
      </c>
      <c r="I100">
        <v>0</v>
      </c>
    </row>
    <row r="101" spans="1:9" x14ac:dyDescent="0.25">
      <c r="A101">
        <v>1</v>
      </c>
      <c r="B101">
        <v>122</v>
      </c>
      <c r="C101">
        <v>90</v>
      </c>
      <c r="D101">
        <v>51</v>
      </c>
      <c r="E101">
        <v>220</v>
      </c>
      <c r="F101">
        <v>50</v>
      </c>
      <c r="G101">
        <v>1</v>
      </c>
      <c r="H101">
        <v>31</v>
      </c>
      <c r="I101">
        <v>1</v>
      </c>
    </row>
    <row r="102" spans="1:9" x14ac:dyDescent="0.25">
      <c r="A102">
        <v>1</v>
      </c>
      <c r="B102">
        <v>163</v>
      </c>
      <c r="C102">
        <v>72</v>
      </c>
      <c r="D102">
        <v>21</v>
      </c>
      <c r="E102">
        <v>80</v>
      </c>
      <c r="F102">
        <v>39</v>
      </c>
      <c r="G102">
        <v>1</v>
      </c>
      <c r="H102">
        <v>33</v>
      </c>
      <c r="I102">
        <v>1</v>
      </c>
    </row>
    <row r="103" spans="1:9" x14ac:dyDescent="0.25">
      <c r="A103">
        <v>1</v>
      </c>
      <c r="B103">
        <v>151</v>
      </c>
      <c r="C103">
        <v>60</v>
      </c>
      <c r="D103">
        <v>21</v>
      </c>
      <c r="E103">
        <v>80</v>
      </c>
      <c r="F103">
        <v>26</v>
      </c>
      <c r="G103">
        <v>1</v>
      </c>
      <c r="H103">
        <v>22</v>
      </c>
      <c r="I103">
        <v>0</v>
      </c>
    </row>
    <row r="104" spans="1:9" x14ac:dyDescent="0.25">
      <c r="A104">
        <v>4</v>
      </c>
      <c r="B104">
        <v>125</v>
      </c>
      <c r="C104">
        <v>96</v>
      </c>
      <c r="D104">
        <v>21</v>
      </c>
      <c r="E104">
        <v>80</v>
      </c>
      <c r="F104">
        <v>22</v>
      </c>
      <c r="G104">
        <v>1</v>
      </c>
      <c r="H104">
        <v>21</v>
      </c>
      <c r="I104">
        <v>0</v>
      </c>
    </row>
    <row r="105" spans="1:9" x14ac:dyDescent="0.25">
      <c r="A105">
        <v>1</v>
      </c>
      <c r="B105">
        <v>81</v>
      </c>
      <c r="C105">
        <v>72</v>
      </c>
      <c r="D105">
        <v>18</v>
      </c>
      <c r="E105">
        <v>40</v>
      </c>
      <c r="F105">
        <v>27</v>
      </c>
      <c r="G105">
        <v>1</v>
      </c>
      <c r="H105">
        <v>24</v>
      </c>
      <c r="I105">
        <v>0</v>
      </c>
    </row>
    <row r="106" spans="1:9" x14ac:dyDescent="0.25">
      <c r="A106">
        <v>2</v>
      </c>
      <c r="B106">
        <v>85</v>
      </c>
      <c r="C106">
        <v>65</v>
      </c>
      <c r="D106">
        <v>21</v>
      </c>
      <c r="E106">
        <v>80</v>
      </c>
      <c r="F106">
        <v>40</v>
      </c>
      <c r="G106">
        <v>1</v>
      </c>
      <c r="H106">
        <v>27</v>
      </c>
      <c r="I106">
        <v>0</v>
      </c>
    </row>
    <row r="107" spans="1:9" x14ac:dyDescent="0.25">
      <c r="A107">
        <v>1</v>
      </c>
      <c r="B107">
        <v>126</v>
      </c>
      <c r="C107">
        <v>56</v>
      </c>
      <c r="D107">
        <v>29</v>
      </c>
      <c r="E107">
        <v>152</v>
      </c>
      <c r="F107">
        <v>29</v>
      </c>
      <c r="G107">
        <v>1</v>
      </c>
      <c r="H107">
        <v>21</v>
      </c>
      <c r="I107">
        <v>0</v>
      </c>
    </row>
    <row r="108" spans="1:9" x14ac:dyDescent="0.25">
      <c r="A108">
        <v>1</v>
      </c>
      <c r="B108">
        <v>96</v>
      </c>
      <c r="C108">
        <v>122</v>
      </c>
      <c r="D108">
        <v>21</v>
      </c>
      <c r="E108">
        <v>80</v>
      </c>
      <c r="F108">
        <v>22</v>
      </c>
      <c r="G108">
        <v>1</v>
      </c>
      <c r="H108">
        <v>27</v>
      </c>
      <c r="I108">
        <v>0</v>
      </c>
    </row>
    <row r="109" spans="1:9" x14ac:dyDescent="0.25">
      <c r="A109">
        <v>4</v>
      </c>
      <c r="B109">
        <v>144</v>
      </c>
      <c r="C109">
        <v>58</v>
      </c>
      <c r="D109">
        <v>28</v>
      </c>
      <c r="E109">
        <v>140</v>
      </c>
      <c r="F109">
        <v>30</v>
      </c>
      <c r="G109">
        <v>1</v>
      </c>
      <c r="H109">
        <v>37</v>
      </c>
      <c r="I109">
        <v>0</v>
      </c>
    </row>
    <row r="110" spans="1:9" x14ac:dyDescent="0.25">
      <c r="A110">
        <v>3</v>
      </c>
      <c r="B110">
        <v>83</v>
      </c>
      <c r="C110">
        <v>58</v>
      </c>
      <c r="D110">
        <v>31</v>
      </c>
      <c r="E110">
        <v>18</v>
      </c>
      <c r="F110">
        <v>34</v>
      </c>
      <c r="G110">
        <v>1</v>
      </c>
      <c r="H110">
        <v>25</v>
      </c>
      <c r="I110">
        <v>0</v>
      </c>
    </row>
    <row r="111" spans="1:9" x14ac:dyDescent="0.25">
      <c r="A111">
        <v>4</v>
      </c>
      <c r="B111">
        <v>95</v>
      </c>
      <c r="C111">
        <v>85</v>
      </c>
      <c r="D111">
        <v>25</v>
      </c>
      <c r="E111">
        <v>36</v>
      </c>
      <c r="F111">
        <v>37</v>
      </c>
      <c r="G111">
        <v>1</v>
      </c>
      <c r="H111">
        <v>24</v>
      </c>
      <c r="I111">
        <v>1</v>
      </c>
    </row>
    <row r="112" spans="1:9" x14ac:dyDescent="0.25">
      <c r="A112">
        <v>3</v>
      </c>
      <c r="B112">
        <v>171</v>
      </c>
      <c r="C112">
        <v>72</v>
      </c>
      <c r="D112">
        <v>33</v>
      </c>
      <c r="E112">
        <v>135</v>
      </c>
      <c r="F112">
        <v>33</v>
      </c>
      <c r="G112">
        <v>1</v>
      </c>
      <c r="H112">
        <v>24</v>
      </c>
      <c r="I112">
        <v>1</v>
      </c>
    </row>
    <row r="113" spans="1:9" x14ac:dyDescent="0.25">
      <c r="A113">
        <v>8</v>
      </c>
      <c r="B113">
        <v>155</v>
      </c>
      <c r="C113">
        <v>62</v>
      </c>
      <c r="D113">
        <v>26</v>
      </c>
      <c r="E113">
        <v>495</v>
      </c>
      <c r="F113">
        <v>34</v>
      </c>
      <c r="G113">
        <v>1</v>
      </c>
      <c r="H113">
        <v>46</v>
      </c>
      <c r="I113">
        <v>1</v>
      </c>
    </row>
    <row r="114" spans="1:9" x14ac:dyDescent="0.25">
      <c r="A114">
        <v>1</v>
      </c>
      <c r="B114">
        <v>89</v>
      </c>
      <c r="C114">
        <v>76</v>
      </c>
      <c r="D114">
        <v>34</v>
      </c>
      <c r="E114">
        <v>37</v>
      </c>
      <c r="F114">
        <v>31</v>
      </c>
      <c r="G114">
        <v>1</v>
      </c>
      <c r="H114">
        <v>23</v>
      </c>
      <c r="I114">
        <v>0</v>
      </c>
    </row>
    <row r="115" spans="1:9" x14ac:dyDescent="0.25">
      <c r="A115">
        <v>4</v>
      </c>
      <c r="B115">
        <v>76</v>
      </c>
      <c r="C115">
        <v>62</v>
      </c>
      <c r="D115">
        <v>21</v>
      </c>
      <c r="E115">
        <v>80</v>
      </c>
      <c r="F115">
        <v>34</v>
      </c>
      <c r="G115">
        <v>1</v>
      </c>
      <c r="H115">
        <v>25</v>
      </c>
      <c r="I115">
        <v>0</v>
      </c>
    </row>
    <row r="116" spans="1:9" x14ac:dyDescent="0.25">
      <c r="A116">
        <v>7</v>
      </c>
      <c r="B116">
        <v>160</v>
      </c>
      <c r="C116">
        <v>54</v>
      </c>
      <c r="D116">
        <v>32</v>
      </c>
      <c r="E116">
        <v>175</v>
      </c>
      <c r="F116">
        <v>30</v>
      </c>
      <c r="G116">
        <v>1</v>
      </c>
      <c r="H116">
        <v>39</v>
      </c>
      <c r="I116">
        <v>1</v>
      </c>
    </row>
    <row r="117" spans="1:9" x14ac:dyDescent="0.25">
      <c r="A117">
        <v>4</v>
      </c>
      <c r="B117">
        <v>146</v>
      </c>
      <c r="C117">
        <v>92</v>
      </c>
      <c r="D117">
        <v>21</v>
      </c>
      <c r="E117">
        <v>80</v>
      </c>
      <c r="F117">
        <v>31</v>
      </c>
      <c r="G117">
        <v>1</v>
      </c>
      <c r="H117">
        <v>61</v>
      </c>
      <c r="I117">
        <v>1</v>
      </c>
    </row>
    <row r="118" spans="1:9" x14ac:dyDescent="0.25">
      <c r="A118">
        <v>5</v>
      </c>
      <c r="B118">
        <v>124</v>
      </c>
      <c r="C118">
        <v>74</v>
      </c>
      <c r="D118">
        <v>21</v>
      </c>
      <c r="E118">
        <v>80</v>
      </c>
      <c r="F118">
        <v>34</v>
      </c>
      <c r="G118">
        <v>1</v>
      </c>
      <c r="H118">
        <v>38</v>
      </c>
      <c r="I118">
        <v>1</v>
      </c>
    </row>
    <row r="119" spans="1:9" x14ac:dyDescent="0.25">
      <c r="A119">
        <v>5</v>
      </c>
      <c r="B119">
        <v>78</v>
      </c>
      <c r="C119">
        <v>48</v>
      </c>
      <c r="D119">
        <v>21</v>
      </c>
      <c r="E119">
        <v>80</v>
      </c>
      <c r="F119">
        <v>34</v>
      </c>
      <c r="G119">
        <v>1</v>
      </c>
      <c r="H119">
        <v>25</v>
      </c>
      <c r="I119">
        <v>0</v>
      </c>
    </row>
    <row r="120" spans="1:9" x14ac:dyDescent="0.25">
      <c r="A120">
        <v>4</v>
      </c>
      <c r="B120">
        <v>97</v>
      </c>
      <c r="C120">
        <v>60</v>
      </c>
      <c r="D120">
        <v>23</v>
      </c>
      <c r="E120">
        <v>80</v>
      </c>
      <c r="F120">
        <v>28</v>
      </c>
      <c r="G120">
        <v>1</v>
      </c>
      <c r="H120">
        <v>22</v>
      </c>
      <c r="I120">
        <v>0</v>
      </c>
    </row>
    <row r="121" spans="1:9" x14ac:dyDescent="0.25">
      <c r="A121">
        <v>4</v>
      </c>
      <c r="B121">
        <v>99</v>
      </c>
      <c r="C121">
        <v>76</v>
      </c>
      <c r="D121">
        <v>15</v>
      </c>
      <c r="E121">
        <v>51</v>
      </c>
      <c r="F121">
        <v>23</v>
      </c>
      <c r="G121">
        <v>1</v>
      </c>
      <c r="H121">
        <v>21</v>
      </c>
      <c r="I121">
        <v>0</v>
      </c>
    </row>
    <row r="122" spans="1:9" x14ac:dyDescent="0.25">
      <c r="A122">
        <v>4</v>
      </c>
      <c r="B122">
        <v>162</v>
      </c>
      <c r="C122">
        <v>76</v>
      </c>
      <c r="D122">
        <v>56</v>
      </c>
      <c r="E122">
        <v>100</v>
      </c>
      <c r="F122">
        <v>53</v>
      </c>
      <c r="G122">
        <v>1</v>
      </c>
      <c r="H122">
        <v>25</v>
      </c>
      <c r="I122">
        <v>1</v>
      </c>
    </row>
    <row r="123" spans="1:9" x14ac:dyDescent="0.25">
      <c r="A123">
        <v>6</v>
      </c>
      <c r="B123">
        <v>111</v>
      </c>
      <c r="C123">
        <v>64</v>
      </c>
      <c r="D123">
        <v>39</v>
      </c>
      <c r="E123">
        <v>80</v>
      </c>
      <c r="F123">
        <v>34</v>
      </c>
      <c r="G123">
        <v>1</v>
      </c>
      <c r="H123">
        <v>24</v>
      </c>
      <c r="I123">
        <v>0</v>
      </c>
    </row>
    <row r="124" spans="1:9" x14ac:dyDescent="0.25">
      <c r="A124">
        <v>2</v>
      </c>
      <c r="B124">
        <v>107</v>
      </c>
      <c r="C124">
        <v>74</v>
      </c>
      <c r="D124">
        <v>30</v>
      </c>
      <c r="E124">
        <v>100</v>
      </c>
      <c r="F124">
        <v>34</v>
      </c>
      <c r="G124">
        <v>1</v>
      </c>
      <c r="H124">
        <v>23</v>
      </c>
      <c r="I124">
        <v>0</v>
      </c>
    </row>
    <row r="125" spans="1:9" x14ac:dyDescent="0.25">
      <c r="A125">
        <v>5</v>
      </c>
      <c r="B125">
        <v>132</v>
      </c>
      <c r="C125">
        <v>80</v>
      </c>
      <c r="D125">
        <v>21</v>
      </c>
      <c r="E125">
        <v>80</v>
      </c>
      <c r="F125">
        <v>27</v>
      </c>
      <c r="G125">
        <v>1</v>
      </c>
      <c r="H125">
        <v>69</v>
      </c>
      <c r="I125">
        <v>0</v>
      </c>
    </row>
    <row r="126" spans="1:9" x14ac:dyDescent="0.25">
      <c r="A126">
        <v>4</v>
      </c>
      <c r="B126">
        <v>113</v>
      </c>
      <c r="C126">
        <v>76</v>
      </c>
      <c r="D126">
        <v>21</v>
      </c>
      <c r="E126">
        <v>80</v>
      </c>
      <c r="F126">
        <v>33</v>
      </c>
      <c r="G126">
        <v>1</v>
      </c>
      <c r="H126">
        <v>23</v>
      </c>
      <c r="I126">
        <v>1</v>
      </c>
    </row>
    <row r="127" spans="1:9" x14ac:dyDescent="0.25">
      <c r="A127">
        <v>1</v>
      </c>
      <c r="B127">
        <v>88</v>
      </c>
      <c r="C127">
        <v>30</v>
      </c>
      <c r="D127">
        <v>42</v>
      </c>
      <c r="E127">
        <v>99</v>
      </c>
      <c r="F127">
        <v>55</v>
      </c>
      <c r="G127">
        <v>1</v>
      </c>
      <c r="H127">
        <v>26</v>
      </c>
      <c r="I127">
        <v>1</v>
      </c>
    </row>
    <row r="128" spans="1:9" x14ac:dyDescent="0.25">
      <c r="A128">
        <v>3</v>
      </c>
      <c r="B128">
        <v>120</v>
      </c>
      <c r="C128">
        <v>70</v>
      </c>
      <c r="D128">
        <v>30</v>
      </c>
      <c r="E128">
        <v>135</v>
      </c>
      <c r="F128">
        <v>43</v>
      </c>
      <c r="G128">
        <v>1</v>
      </c>
      <c r="H128">
        <v>30</v>
      </c>
      <c r="I128">
        <v>0</v>
      </c>
    </row>
    <row r="129" spans="1:9" x14ac:dyDescent="0.25">
      <c r="A129">
        <v>1</v>
      </c>
      <c r="B129">
        <v>118</v>
      </c>
      <c r="C129">
        <v>58</v>
      </c>
      <c r="D129">
        <v>36</v>
      </c>
      <c r="E129">
        <v>94</v>
      </c>
      <c r="F129">
        <v>33</v>
      </c>
      <c r="G129">
        <v>1</v>
      </c>
      <c r="H129">
        <v>23</v>
      </c>
      <c r="I129">
        <v>0</v>
      </c>
    </row>
    <row r="130" spans="1:9" x14ac:dyDescent="0.25">
      <c r="A130">
        <v>1</v>
      </c>
      <c r="B130">
        <v>117</v>
      </c>
      <c r="C130">
        <v>88</v>
      </c>
      <c r="D130">
        <v>24</v>
      </c>
      <c r="E130">
        <v>145</v>
      </c>
      <c r="F130">
        <v>34</v>
      </c>
      <c r="G130">
        <v>1</v>
      </c>
      <c r="H130">
        <v>40</v>
      </c>
      <c r="I130">
        <v>1</v>
      </c>
    </row>
    <row r="131" spans="1:9" x14ac:dyDescent="0.25">
      <c r="A131">
        <v>4</v>
      </c>
      <c r="B131">
        <v>105</v>
      </c>
      <c r="C131">
        <v>84</v>
      </c>
      <c r="D131">
        <v>21</v>
      </c>
      <c r="E131">
        <v>80</v>
      </c>
      <c r="F131">
        <v>28</v>
      </c>
      <c r="G131">
        <v>1</v>
      </c>
      <c r="H131">
        <v>62</v>
      </c>
      <c r="I131">
        <v>1</v>
      </c>
    </row>
    <row r="132" spans="1:9" x14ac:dyDescent="0.25">
      <c r="A132">
        <v>4</v>
      </c>
      <c r="B132">
        <v>173</v>
      </c>
      <c r="C132">
        <v>70</v>
      </c>
      <c r="D132">
        <v>14</v>
      </c>
      <c r="E132">
        <v>168</v>
      </c>
      <c r="F132">
        <v>30</v>
      </c>
      <c r="G132">
        <v>1</v>
      </c>
      <c r="H132">
        <v>33</v>
      </c>
      <c r="I132">
        <v>1</v>
      </c>
    </row>
    <row r="133" spans="1:9" x14ac:dyDescent="0.25">
      <c r="A133">
        <v>9</v>
      </c>
      <c r="B133">
        <v>122</v>
      </c>
      <c r="C133">
        <v>56</v>
      </c>
      <c r="D133">
        <v>21</v>
      </c>
      <c r="E133">
        <v>80</v>
      </c>
      <c r="F133">
        <v>33</v>
      </c>
      <c r="G133">
        <v>1</v>
      </c>
      <c r="H133">
        <v>33</v>
      </c>
      <c r="I133">
        <v>1</v>
      </c>
    </row>
    <row r="134" spans="1:9" x14ac:dyDescent="0.25">
      <c r="A134">
        <v>3</v>
      </c>
      <c r="B134">
        <v>170</v>
      </c>
      <c r="C134">
        <v>64</v>
      </c>
      <c r="D134">
        <v>37</v>
      </c>
      <c r="E134">
        <v>225</v>
      </c>
      <c r="F134">
        <v>34</v>
      </c>
      <c r="G134">
        <v>1</v>
      </c>
      <c r="H134">
        <v>30</v>
      </c>
      <c r="I134">
        <v>1</v>
      </c>
    </row>
    <row r="135" spans="1:9" x14ac:dyDescent="0.25">
      <c r="A135">
        <v>8</v>
      </c>
      <c r="B135">
        <v>84</v>
      </c>
      <c r="C135">
        <v>74</v>
      </c>
      <c r="D135">
        <v>31</v>
      </c>
      <c r="E135">
        <v>80</v>
      </c>
      <c r="F135">
        <v>38</v>
      </c>
      <c r="G135">
        <v>1</v>
      </c>
      <c r="H135">
        <v>39</v>
      </c>
      <c r="I135">
        <v>0</v>
      </c>
    </row>
    <row r="136" spans="1:9" x14ac:dyDescent="0.25">
      <c r="A136">
        <v>2</v>
      </c>
      <c r="B136">
        <v>96</v>
      </c>
      <c r="C136">
        <v>68</v>
      </c>
      <c r="D136">
        <v>13</v>
      </c>
      <c r="E136">
        <v>49</v>
      </c>
      <c r="F136">
        <v>21</v>
      </c>
      <c r="G136">
        <v>1</v>
      </c>
      <c r="H136">
        <v>26</v>
      </c>
      <c r="I136">
        <v>0</v>
      </c>
    </row>
    <row r="137" spans="1:9" x14ac:dyDescent="0.25">
      <c r="A137">
        <v>2</v>
      </c>
      <c r="B137">
        <v>125</v>
      </c>
      <c r="C137">
        <v>60</v>
      </c>
      <c r="D137">
        <v>20</v>
      </c>
      <c r="E137">
        <v>140</v>
      </c>
      <c r="F137">
        <v>34</v>
      </c>
      <c r="G137">
        <v>1</v>
      </c>
      <c r="H137">
        <v>31</v>
      </c>
      <c r="I137">
        <v>0</v>
      </c>
    </row>
    <row r="138" spans="1:9" x14ac:dyDescent="0.25">
      <c r="A138">
        <v>4</v>
      </c>
      <c r="B138">
        <v>100</v>
      </c>
      <c r="C138">
        <v>70</v>
      </c>
      <c r="D138">
        <v>26</v>
      </c>
      <c r="E138">
        <v>50</v>
      </c>
      <c r="F138">
        <v>31</v>
      </c>
      <c r="G138">
        <v>1</v>
      </c>
      <c r="H138">
        <v>21</v>
      </c>
      <c r="I138">
        <v>0</v>
      </c>
    </row>
    <row r="139" spans="1:9" x14ac:dyDescent="0.25">
      <c r="A139">
        <v>4</v>
      </c>
      <c r="B139">
        <v>93</v>
      </c>
      <c r="C139">
        <v>60</v>
      </c>
      <c r="D139">
        <v>25</v>
      </c>
      <c r="E139">
        <v>92</v>
      </c>
      <c r="F139">
        <v>29</v>
      </c>
      <c r="G139">
        <v>1</v>
      </c>
      <c r="H139">
        <v>22</v>
      </c>
      <c r="I139">
        <v>0</v>
      </c>
    </row>
    <row r="140" spans="1:9" x14ac:dyDescent="0.25">
      <c r="A140">
        <v>4</v>
      </c>
      <c r="B140">
        <v>129</v>
      </c>
      <c r="C140">
        <v>80</v>
      </c>
      <c r="D140">
        <v>21</v>
      </c>
      <c r="E140">
        <v>80</v>
      </c>
      <c r="F140">
        <v>31</v>
      </c>
      <c r="G140">
        <v>1</v>
      </c>
      <c r="H140">
        <v>29</v>
      </c>
      <c r="I140">
        <v>0</v>
      </c>
    </row>
    <row r="141" spans="1:9" x14ac:dyDescent="0.25">
      <c r="A141">
        <v>5</v>
      </c>
      <c r="B141">
        <v>105</v>
      </c>
      <c r="C141">
        <v>72</v>
      </c>
      <c r="D141">
        <v>29</v>
      </c>
      <c r="E141">
        <v>325</v>
      </c>
      <c r="F141">
        <v>37</v>
      </c>
      <c r="G141">
        <v>1</v>
      </c>
      <c r="H141">
        <v>28</v>
      </c>
      <c r="I141">
        <v>0</v>
      </c>
    </row>
    <row r="142" spans="1:9" x14ac:dyDescent="0.25">
      <c r="A142">
        <v>3</v>
      </c>
      <c r="B142">
        <v>128</v>
      </c>
      <c r="C142">
        <v>78</v>
      </c>
      <c r="D142">
        <v>21</v>
      </c>
      <c r="E142">
        <v>80</v>
      </c>
      <c r="F142">
        <v>21</v>
      </c>
      <c r="G142">
        <v>1</v>
      </c>
      <c r="H142">
        <v>55</v>
      </c>
      <c r="I142">
        <v>0</v>
      </c>
    </row>
    <row r="143" spans="1:9" x14ac:dyDescent="0.25">
      <c r="A143">
        <v>5</v>
      </c>
      <c r="B143">
        <v>106</v>
      </c>
      <c r="C143">
        <v>82</v>
      </c>
      <c r="D143">
        <v>30</v>
      </c>
      <c r="E143">
        <v>80</v>
      </c>
      <c r="F143">
        <v>40</v>
      </c>
      <c r="G143">
        <v>1</v>
      </c>
      <c r="H143">
        <v>38</v>
      </c>
      <c r="I143">
        <v>0</v>
      </c>
    </row>
    <row r="144" spans="1:9" x14ac:dyDescent="0.25">
      <c r="A144">
        <v>2</v>
      </c>
      <c r="B144">
        <v>108</v>
      </c>
      <c r="C144">
        <v>52</v>
      </c>
      <c r="D144">
        <v>26</v>
      </c>
      <c r="E144">
        <v>63</v>
      </c>
      <c r="F144">
        <v>32</v>
      </c>
      <c r="G144">
        <v>1</v>
      </c>
      <c r="H144">
        <v>22</v>
      </c>
      <c r="I144">
        <v>0</v>
      </c>
    </row>
    <row r="145" spans="1:9" x14ac:dyDescent="0.25">
      <c r="A145">
        <v>10</v>
      </c>
      <c r="B145">
        <v>108</v>
      </c>
      <c r="C145">
        <v>66</v>
      </c>
      <c r="D145">
        <v>21</v>
      </c>
      <c r="E145">
        <v>80</v>
      </c>
      <c r="F145">
        <v>32</v>
      </c>
      <c r="G145">
        <v>1</v>
      </c>
      <c r="H145">
        <v>42</v>
      </c>
      <c r="I145">
        <v>1</v>
      </c>
    </row>
    <row r="146" spans="1:9" x14ac:dyDescent="0.25">
      <c r="A146">
        <v>4</v>
      </c>
      <c r="B146">
        <v>154</v>
      </c>
      <c r="C146">
        <v>62</v>
      </c>
      <c r="D146">
        <v>31</v>
      </c>
      <c r="E146">
        <v>284</v>
      </c>
      <c r="F146">
        <v>33</v>
      </c>
      <c r="G146">
        <v>1</v>
      </c>
      <c r="H146">
        <v>23</v>
      </c>
      <c r="I146">
        <v>0</v>
      </c>
    </row>
    <row r="147" spans="1:9" x14ac:dyDescent="0.25">
      <c r="A147">
        <v>4</v>
      </c>
      <c r="B147">
        <v>102</v>
      </c>
      <c r="C147">
        <v>75</v>
      </c>
      <c r="D147">
        <v>23</v>
      </c>
      <c r="E147">
        <v>80</v>
      </c>
      <c r="F147">
        <v>32</v>
      </c>
      <c r="G147">
        <v>1</v>
      </c>
      <c r="H147">
        <v>21</v>
      </c>
      <c r="I147">
        <v>0</v>
      </c>
    </row>
    <row r="148" spans="1:9" x14ac:dyDescent="0.25">
      <c r="A148">
        <v>9</v>
      </c>
      <c r="B148">
        <v>57</v>
      </c>
      <c r="C148">
        <v>80</v>
      </c>
      <c r="D148">
        <v>37</v>
      </c>
      <c r="E148">
        <v>80</v>
      </c>
      <c r="F148">
        <v>33</v>
      </c>
      <c r="G148">
        <v>1</v>
      </c>
      <c r="H148">
        <v>41</v>
      </c>
      <c r="I148">
        <v>0</v>
      </c>
    </row>
    <row r="149" spans="1:9" x14ac:dyDescent="0.25">
      <c r="A149">
        <v>2</v>
      </c>
      <c r="B149">
        <v>106</v>
      </c>
      <c r="C149">
        <v>64</v>
      </c>
      <c r="D149">
        <v>35</v>
      </c>
      <c r="E149">
        <v>119</v>
      </c>
      <c r="F149">
        <v>30</v>
      </c>
      <c r="G149">
        <v>1</v>
      </c>
      <c r="H149">
        <v>34</v>
      </c>
      <c r="I149">
        <v>0</v>
      </c>
    </row>
    <row r="150" spans="1:9" x14ac:dyDescent="0.25">
      <c r="A150">
        <v>5</v>
      </c>
      <c r="B150">
        <v>147</v>
      </c>
      <c r="C150">
        <v>78</v>
      </c>
      <c r="D150">
        <v>21</v>
      </c>
      <c r="E150">
        <v>80</v>
      </c>
      <c r="F150">
        <v>34</v>
      </c>
      <c r="G150">
        <v>1</v>
      </c>
      <c r="H150">
        <v>65</v>
      </c>
      <c r="I150">
        <v>0</v>
      </c>
    </row>
    <row r="151" spans="1:9" x14ac:dyDescent="0.25">
      <c r="A151">
        <v>2</v>
      </c>
      <c r="B151">
        <v>90</v>
      </c>
      <c r="C151">
        <v>70</v>
      </c>
      <c r="D151">
        <v>17</v>
      </c>
      <c r="E151">
        <v>80</v>
      </c>
      <c r="F151">
        <v>27</v>
      </c>
      <c r="G151">
        <v>1</v>
      </c>
      <c r="H151">
        <v>22</v>
      </c>
      <c r="I151">
        <v>0</v>
      </c>
    </row>
    <row r="152" spans="1:9" x14ac:dyDescent="0.25">
      <c r="A152">
        <v>1</v>
      </c>
      <c r="B152">
        <v>136</v>
      </c>
      <c r="C152">
        <v>74</v>
      </c>
      <c r="D152">
        <v>50</v>
      </c>
      <c r="E152">
        <v>204</v>
      </c>
      <c r="F152">
        <v>37</v>
      </c>
      <c r="G152">
        <v>1</v>
      </c>
      <c r="H152">
        <v>24</v>
      </c>
      <c r="I152">
        <v>0</v>
      </c>
    </row>
    <row r="153" spans="1:9" x14ac:dyDescent="0.25">
      <c r="A153">
        <v>4</v>
      </c>
      <c r="B153">
        <v>114</v>
      </c>
      <c r="C153">
        <v>65</v>
      </c>
      <c r="D153">
        <v>21</v>
      </c>
      <c r="E153">
        <v>80</v>
      </c>
      <c r="F153">
        <v>22</v>
      </c>
      <c r="G153">
        <v>1</v>
      </c>
      <c r="H153">
        <v>37</v>
      </c>
      <c r="I153">
        <v>0</v>
      </c>
    </row>
    <row r="154" spans="1:9" x14ac:dyDescent="0.25">
      <c r="A154">
        <v>9</v>
      </c>
      <c r="B154">
        <v>156</v>
      </c>
      <c r="C154">
        <v>86</v>
      </c>
      <c r="D154">
        <v>28</v>
      </c>
      <c r="E154">
        <v>155</v>
      </c>
      <c r="F154">
        <v>34</v>
      </c>
      <c r="G154">
        <v>1</v>
      </c>
      <c r="H154">
        <v>42</v>
      </c>
      <c r="I154">
        <v>1</v>
      </c>
    </row>
    <row r="155" spans="1:9" x14ac:dyDescent="0.25">
      <c r="A155">
        <v>1</v>
      </c>
      <c r="B155">
        <v>153</v>
      </c>
      <c r="C155">
        <v>82</v>
      </c>
      <c r="D155">
        <v>42</v>
      </c>
      <c r="E155">
        <v>485</v>
      </c>
      <c r="F155">
        <v>41</v>
      </c>
      <c r="G155">
        <v>1</v>
      </c>
      <c r="H155">
        <v>23</v>
      </c>
      <c r="I155">
        <v>0</v>
      </c>
    </row>
    <row r="156" spans="1:9" x14ac:dyDescent="0.25">
      <c r="A156">
        <v>8</v>
      </c>
      <c r="B156">
        <v>188</v>
      </c>
      <c r="C156">
        <v>78</v>
      </c>
      <c r="D156">
        <v>21</v>
      </c>
      <c r="E156">
        <v>80</v>
      </c>
      <c r="F156">
        <v>48</v>
      </c>
      <c r="G156">
        <v>1</v>
      </c>
      <c r="H156">
        <v>43</v>
      </c>
      <c r="I156">
        <v>1</v>
      </c>
    </row>
    <row r="157" spans="1:9" x14ac:dyDescent="0.25">
      <c r="A157">
        <v>7</v>
      </c>
      <c r="B157">
        <v>152</v>
      </c>
      <c r="C157">
        <v>88</v>
      </c>
      <c r="D157">
        <v>44</v>
      </c>
      <c r="E157">
        <v>80</v>
      </c>
      <c r="F157">
        <v>50</v>
      </c>
      <c r="G157">
        <v>1</v>
      </c>
      <c r="H157">
        <v>36</v>
      </c>
      <c r="I157">
        <v>1</v>
      </c>
    </row>
    <row r="158" spans="1:9" x14ac:dyDescent="0.25">
      <c r="A158">
        <v>2</v>
      </c>
      <c r="B158">
        <v>99</v>
      </c>
      <c r="C158">
        <v>52</v>
      </c>
      <c r="D158">
        <v>15</v>
      </c>
      <c r="E158">
        <v>94</v>
      </c>
      <c r="F158">
        <v>25</v>
      </c>
      <c r="G158">
        <v>1</v>
      </c>
      <c r="H158">
        <v>21</v>
      </c>
      <c r="I158">
        <v>0</v>
      </c>
    </row>
    <row r="159" spans="1:9" x14ac:dyDescent="0.25">
      <c r="A159">
        <v>1</v>
      </c>
      <c r="B159">
        <v>109</v>
      </c>
      <c r="C159">
        <v>56</v>
      </c>
      <c r="D159">
        <v>21</v>
      </c>
      <c r="E159">
        <v>135</v>
      </c>
      <c r="F159">
        <v>25</v>
      </c>
      <c r="G159">
        <v>1</v>
      </c>
      <c r="H159">
        <v>23</v>
      </c>
      <c r="I159">
        <v>0</v>
      </c>
    </row>
    <row r="160" spans="1:9" x14ac:dyDescent="0.25">
      <c r="A160">
        <v>2</v>
      </c>
      <c r="B160">
        <v>88</v>
      </c>
      <c r="C160">
        <v>74</v>
      </c>
      <c r="D160">
        <v>19</v>
      </c>
      <c r="E160">
        <v>53</v>
      </c>
      <c r="F160">
        <v>29</v>
      </c>
      <c r="G160">
        <v>1</v>
      </c>
      <c r="H160">
        <v>22</v>
      </c>
      <c r="I160">
        <v>0</v>
      </c>
    </row>
    <row r="161" spans="1:9" x14ac:dyDescent="0.25">
      <c r="A161">
        <v>17</v>
      </c>
      <c r="B161">
        <v>163</v>
      </c>
      <c r="C161">
        <v>72</v>
      </c>
      <c r="D161">
        <v>41</v>
      </c>
      <c r="E161">
        <v>114</v>
      </c>
      <c r="F161">
        <v>41</v>
      </c>
      <c r="G161">
        <v>1</v>
      </c>
      <c r="H161">
        <v>47</v>
      </c>
      <c r="I161">
        <v>1</v>
      </c>
    </row>
    <row r="162" spans="1:9" x14ac:dyDescent="0.25">
      <c r="A162">
        <v>4</v>
      </c>
      <c r="B162">
        <v>151</v>
      </c>
      <c r="C162">
        <v>90</v>
      </c>
      <c r="D162">
        <v>38</v>
      </c>
      <c r="E162">
        <v>80</v>
      </c>
      <c r="F162">
        <v>30</v>
      </c>
      <c r="G162">
        <v>1</v>
      </c>
      <c r="H162">
        <v>36</v>
      </c>
      <c r="I162">
        <v>0</v>
      </c>
    </row>
    <row r="163" spans="1:9" x14ac:dyDescent="0.25">
      <c r="A163">
        <v>7</v>
      </c>
      <c r="B163">
        <v>102</v>
      </c>
      <c r="C163">
        <v>74</v>
      </c>
      <c r="D163">
        <v>40</v>
      </c>
      <c r="E163">
        <v>105</v>
      </c>
      <c r="F163">
        <v>37</v>
      </c>
      <c r="G163">
        <v>1</v>
      </c>
      <c r="H163">
        <v>45</v>
      </c>
      <c r="I163">
        <v>0</v>
      </c>
    </row>
    <row r="164" spans="1:9" x14ac:dyDescent="0.25">
      <c r="A164">
        <v>4</v>
      </c>
      <c r="B164">
        <v>114</v>
      </c>
      <c r="C164">
        <v>80</v>
      </c>
      <c r="D164">
        <v>34</v>
      </c>
      <c r="E164">
        <v>285</v>
      </c>
      <c r="F164">
        <v>44</v>
      </c>
      <c r="G164">
        <v>1</v>
      </c>
      <c r="H164">
        <v>27</v>
      </c>
      <c r="I164">
        <v>0</v>
      </c>
    </row>
    <row r="165" spans="1:9" x14ac:dyDescent="0.25">
      <c r="A165">
        <v>2</v>
      </c>
      <c r="B165">
        <v>100</v>
      </c>
      <c r="C165">
        <v>64</v>
      </c>
      <c r="D165">
        <v>23</v>
      </c>
      <c r="E165">
        <v>80</v>
      </c>
      <c r="F165">
        <v>30</v>
      </c>
      <c r="G165">
        <v>1</v>
      </c>
      <c r="H165">
        <v>21</v>
      </c>
      <c r="I165">
        <v>0</v>
      </c>
    </row>
    <row r="166" spans="1:9" x14ac:dyDescent="0.25">
      <c r="A166">
        <v>4</v>
      </c>
      <c r="B166">
        <v>131</v>
      </c>
      <c r="C166">
        <v>88</v>
      </c>
      <c r="D166">
        <v>21</v>
      </c>
      <c r="E166">
        <v>80</v>
      </c>
      <c r="F166">
        <v>32</v>
      </c>
      <c r="G166">
        <v>1</v>
      </c>
      <c r="H166">
        <v>32</v>
      </c>
      <c r="I166">
        <v>1</v>
      </c>
    </row>
    <row r="167" spans="1:9" x14ac:dyDescent="0.25">
      <c r="A167">
        <v>6</v>
      </c>
      <c r="B167">
        <v>104</v>
      </c>
      <c r="C167">
        <v>74</v>
      </c>
      <c r="D167">
        <v>18</v>
      </c>
      <c r="E167">
        <v>156</v>
      </c>
      <c r="F167">
        <v>30</v>
      </c>
      <c r="G167">
        <v>1</v>
      </c>
      <c r="H167">
        <v>41</v>
      </c>
      <c r="I167">
        <v>1</v>
      </c>
    </row>
    <row r="168" spans="1:9" x14ac:dyDescent="0.25">
      <c r="A168">
        <v>3</v>
      </c>
      <c r="B168">
        <v>148</v>
      </c>
      <c r="C168">
        <v>66</v>
      </c>
      <c r="D168">
        <v>25</v>
      </c>
      <c r="E168">
        <v>80</v>
      </c>
      <c r="F168">
        <v>32</v>
      </c>
      <c r="G168">
        <v>1</v>
      </c>
      <c r="H168">
        <v>22</v>
      </c>
      <c r="I168">
        <v>0</v>
      </c>
    </row>
    <row r="169" spans="1:9" x14ac:dyDescent="0.25">
      <c r="A169">
        <v>4</v>
      </c>
      <c r="B169">
        <v>120</v>
      </c>
      <c r="C169">
        <v>68</v>
      </c>
      <c r="D169">
        <v>21</v>
      </c>
      <c r="E169">
        <v>80</v>
      </c>
      <c r="F169">
        <v>30</v>
      </c>
      <c r="G169">
        <v>1</v>
      </c>
      <c r="H169">
        <v>34</v>
      </c>
      <c r="I169">
        <v>0</v>
      </c>
    </row>
    <row r="170" spans="1:9" x14ac:dyDescent="0.25">
      <c r="A170">
        <v>4</v>
      </c>
      <c r="B170">
        <v>110</v>
      </c>
      <c r="C170">
        <v>66</v>
      </c>
      <c r="D170">
        <v>21</v>
      </c>
      <c r="E170">
        <v>80</v>
      </c>
      <c r="F170">
        <v>32</v>
      </c>
      <c r="G170">
        <v>1</v>
      </c>
      <c r="H170">
        <v>29</v>
      </c>
      <c r="I170">
        <v>0</v>
      </c>
    </row>
    <row r="171" spans="1:9" x14ac:dyDescent="0.25">
      <c r="A171">
        <v>3</v>
      </c>
      <c r="B171">
        <v>111</v>
      </c>
      <c r="C171">
        <v>90</v>
      </c>
      <c r="D171">
        <v>12</v>
      </c>
      <c r="E171">
        <v>78</v>
      </c>
      <c r="F171">
        <v>28</v>
      </c>
      <c r="G171">
        <v>1</v>
      </c>
      <c r="H171">
        <v>29</v>
      </c>
      <c r="I171">
        <v>0</v>
      </c>
    </row>
    <row r="172" spans="1:9" x14ac:dyDescent="0.25">
      <c r="A172">
        <v>6</v>
      </c>
      <c r="B172">
        <v>102</v>
      </c>
      <c r="C172">
        <v>82</v>
      </c>
      <c r="D172">
        <v>21</v>
      </c>
      <c r="E172">
        <v>80</v>
      </c>
      <c r="F172">
        <v>31</v>
      </c>
      <c r="G172">
        <v>1</v>
      </c>
      <c r="H172">
        <v>36</v>
      </c>
      <c r="I172">
        <v>1</v>
      </c>
    </row>
    <row r="173" spans="1:9" x14ac:dyDescent="0.25">
      <c r="A173">
        <v>6</v>
      </c>
      <c r="B173">
        <v>134</v>
      </c>
      <c r="C173">
        <v>70</v>
      </c>
      <c r="D173">
        <v>23</v>
      </c>
      <c r="E173">
        <v>130</v>
      </c>
      <c r="F173">
        <v>35</v>
      </c>
      <c r="G173">
        <v>1</v>
      </c>
      <c r="H173">
        <v>29</v>
      </c>
      <c r="I173">
        <v>1</v>
      </c>
    </row>
    <row r="174" spans="1:9" x14ac:dyDescent="0.25">
      <c r="A174">
        <v>2</v>
      </c>
      <c r="B174">
        <v>87</v>
      </c>
      <c r="C174">
        <v>69</v>
      </c>
      <c r="D174">
        <v>23</v>
      </c>
      <c r="E174">
        <v>80</v>
      </c>
      <c r="F174">
        <v>29</v>
      </c>
      <c r="G174">
        <v>1</v>
      </c>
      <c r="H174">
        <v>25</v>
      </c>
      <c r="I174">
        <v>0</v>
      </c>
    </row>
    <row r="175" spans="1:9" x14ac:dyDescent="0.25">
      <c r="A175">
        <v>1</v>
      </c>
      <c r="B175">
        <v>79</v>
      </c>
      <c r="C175">
        <v>60</v>
      </c>
      <c r="D175">
        <v>42</v>
      </c>
      <c r="E175">
        <v>48</v>
      </c>
      <c r="F175">
        <v>44</v>
      </c>
      <c r="G175">
        <v>1</v>
      </c>
      <c r="H175">
        <v>23</v>
      </c>
      <c r="I175">
        <v>0</v>
      </c>
    </row>
    <row r="176" spans="1:9" x14ac:dyDescent="0.25">
      <c r="A176">
        <v>2</v>
      </c>
      <c r="B176">
        <v>75</v>
      </c>
      <c r="C176">
        <v>64</v>
      </c>
      <c r="D176">
        <v>24</v>
      </c>
      <c r="E176">
        <v>55</v>
      </c>
      <c r="F176">
        <v>30</v>
      </c>
      <c r="G176">
        <v>1</v>
      </c>
      <c r="H176">
        <v>33</v>
      </c>
      <c r="I176">
        <v>0</v>
      </c>
    </row>
    <row r="177" spans="1:9" x14ac:dyDescent="0.25">
      <c r="A177">
        <v>8</v>
      </c>
      <c r="B177">
        <v>179</v>
      </c>
      <c r="C177">
        <v>72</v>
      </c>
      <c r="D177">
        <v>42</v>
      </c>
      <c r="E177">
        <v>130</v>
      </c>
      <c r="F177">
        <v>33</v>
      </c>
      <c r="G177">
        <v>1</v>
      </c>
      <c r="H177">
        <v>36</v>
      </c>
      <c r="I177">
        <v>1</v>
      </c>
    </row>
    <row r="178" spans="1:9" x14ac:dyDescent="0.25">
      <c r="A178">
        <v>6</v>
      </c>
      <c r="B178">
        <v>85</v>
      </c>
      <c r="C178">
        <v>78</v>
      </c>
      <c r="D178">
        <v>21</v>
      </c>
      <c r="E178">
        <v>80</v>
      </c>
      <c r="F178">
        <v>31</v>
      </c>
      <c r="G178">
        <v>1</v>
      </c>
      <c r="H178">
        <v>42</v>
      </c>
      <c r="I178">
        <v>0</v>
      </c>
    </row>
    <row r="179" spans="1:9" x14ac:dyDescent="0.25">
      <c r="A179">
        <v>4</v>
      </c>
      <c r="B179">
        <v>129</v>
      </c>
      <c r="C179">
        <v>110</v>
      </c>
      <c r="D179">
        <v>46</v>
      </c>
      <c r="E179">
        <v>130</v>
      </c>
      <c r="F179">
        <v>67</v>
      </c>
      <c r="G179">
        <v>1</v>
      </c>
      <c r="H179">
        <v>26</v>
      </c>
      <c r="I179">
        <v>1</v>
      </c>
    </row>
    <row r="180" spans="1:9" x14ac:dyDescent="0.25">
      <c r="A180">
        <v>5</v>
      </c>
      <c r="B180">
        <v>143</v>
      </c>
      <c r="C180">
        <v>78</v>
      </c>
      <c r="D180">
        <v>21</v>
      </c>
      <c r="E180">
        <v>80</v>
      </c>
      <c r="F180">
        <v>45</v>
      </c>
      <c r="G180">
        <v>1</v>
      </c>
      <c r="H180">
        <v>47</v>
      </c>
      <c r="I180">
        <v>0</v>
      </c>
    </row>
    <row r="181" spans="1:9" x14ac:dyDescent="0.25">
      <c r="A181">
        <v>5</v>
      </c>
      <c r="B181">
        <v>130</v>
      </c>
      <c r="C181">
        <v>82</v>
      </c>
      <c r="D181">
        <v>21</v>
      </c>
      <c r="E181">
        <v>80</v>
      </c>
      <c r="F181">
        <v>39</v>
      </c>
      <c r="G181">
        <v>1</v>
      </c>
      <c r="H181">
        <v>37</v>
      </c>
      <c r="I181">
        <v>1</v>
      </c>
    </row>
    <row r="182" spans="1:9" x14ac:dyDescent="0.25">
      <c r="A182">
        <v>6</v>
      </c>
      <c r="B182">
        <v>87</v>
      </c>
      <c r="C182">
        <v>80</v>
      </c>
      <c r="D182">
        <v>21</v>
      </c>
      <c r="E182">
        <v>80</v>
      </c>
      <c r="F182">
        <v>23</v>
      </c>
      <c r="G182">
        <v>1</v>
      </c>
      <c r="H182">
        <v>32</v>
      </c>
      <c r="I182">
        <v>0</v>
      </c>
    </row>
    <row r="183" spans="1:9" x14ac:dyDescent="0.25">
      <c r="A183">
        <v>4</v>
      </c>
      <c r="B183">
        <v>119</v>
      </c>
      <c r="C183">
        <v>64</v>
      </c>
      <c r="D183">
        <v>18</v>
      </c>
      <c r="E183">
        <v>92</v>
      </c>
      <c r="F183">
        <v>35</v>
      </c>
      <c r="G183">
        <v>1</v>
      </c>
      <c r="H183">
        <v>23</v>
      </c>
      <c r="I183">
        <v>0</v>
      </c>
    </row>
    <row r="184" spans="1:9" x14ac:dyDescent="0.25">
      <c r="A184">
        <v>1</v>
      </c>
      <c r="B184">
        <v>121</v>
      </c>
      <c r="C184">
        <v>74</v>
      </c>
      <c r="D184">
        <v>20</v>
      </c>
      <c r="E184">
        <v>23</v>
      </c>
      <c r="F184">
        <v>28</v>
      </c>
      <c r="G184">
        <v>1</v>
      </c>
      <c r="H184">
        <v>21</v>
      </c>
      <c r="I184">
        <v>0</v>
      </c>
    </row>
    <row r="185" spans="1:9" x14ac:dyDescent="0.25">
      <c r="A185">
        <v>5</v>
      </c>
      <c r="B185">
        <v>73</v>
      </c>
      <c r="C185">
        <v>60</v>
      </c>
      <c r="D185">
        <v>21</v>
      </c>
      <c r="E185">
        <v>80</v>
      </c>
      <c r="F185">
        <v>27</v>
      </c>
      <c r="G185">
        <v>1</v>
      </c>
      <c r="H185">
        <v>27</v>
      </c>
      <c r="I185">
        <v>0</v>
      </c>
    </row>
    <row r="186" spans="1:9" x14ac:dyDescent="0.25">
      <c r="A186">
        <v>4</v>
      </c>
      <c r="B186">
        <v>141</v>
      </c>
      <c r="C186">
        <v>74</v>
      </c>
      <c r="D186">
        <v>21</v>
      </c>
      <c r="E186">
        <v>80</v>
      </c>
      <c r="F186">
        <v>28</v>
      </c>
      <c r="G186">
        <v>1</v>
      </c>
      <c r="H186">
        <v>40</v>
      </c>
      <c r="I186">
        <v>0</v>
      </c>
    </row>
    <row r="187" spans="1:9" x14ac:dyDescent="0.25">
      <c r="A187">
        <v>7</v>
      </c>
      <c r="B187">
        <v>194</v>
      </c>
      <c r="C187">
        <v>68</v>
      </c>
      <c r="D187">
        <v>28</v>
      </c>
      <c r="E187">
        <v>80</v>
      </c>
      <c r="F187">
        <v>36</v>
      </c>
      <c r="G187">
        <v>1</v>
      </c>
      <c r="H187">
        <v>41</v>
      </c>
      <c r="I187">
        <v>1</v>
      </c>
    </row>
    <row r="188" spans="1:9" x14ac:dyDescent="0.25">
      <c r="A188">
        <v>8</v>
      </c>
      <c r="B188">
        <v>181</v>
      </c>
      <c r="C188">
        <v>68</v>
      </c>
      <c r="D188">
        <v>36</v>
      </c>
      <c r="E188">
        <v>495</v>
      </c>
      <c r="F188">
        <v>30</v>
      </c>
      <c r="G188">
        <v>1</v>
      </c>
      <c r="H188">
        <v>60</v>
      </c>
      <c r="I188">
        <v>1</v>
      </c>
    </row>
    <row r="189" spans="1:9" x14ac:dyDescent="0.25">
      <c r="A189">
        <v>1</v>
      </c>
      <c r="B189">
        <v>128</v>
      </c>
      <c r="C189">
        <v>98</v>
      </c>
      <c r="D189">
        <v>41</v>
      </c>
      <c r="E189">
        <v>58</v>
      </c>
      <c r="F189">
        <v>32</v>
      </c>
      <c r="G189">
        <v>1</v>
      </c>
      <c r="H189">
        <v>33</v>
      </c>
      <c r="I189">
        <v>1</v>
      </c>
    </row>
    <row r="190" spans="1:9" x14ac:dyDescent="0.25">
      <c r="A190">
        <v>8</v>
      </c>
      <c r="B190">
        <v>109</v>
      </c>
      <c r="C190">
        <v>76</v>
      </c>
      <c r="D190">
        <v>39</v>
      </c>
      <c r="E190">
        <v>114</v>
      </c>
      <c r="F190">
        <v>28</v>
      </c>
      <c r="G190">
        <v>1</v>
      </c>
      <c r="H190">
        <v>31</v>
      </c>
      <c r="I190">
        <v>1</v>
      </c>
    </row>
    <row r="191" spans="1:9" x14ac:dyDescent="0.25">
      <c r="A191">
        <v>5</v>
      </c>
      <c r="B191">
        <v>139</v>
      </c>
      <c r="C191">
        <v>80</v>
      </c>
      <c r="D191">
        <v>35</v>
      </c>
      <c r="E191">
        <v>160</v>
      </c>
      <c r="F191">
        <v>32</v>
      </c>
      <c r="G191">
        <v>1</v>
      </c>
      <c r="H191">
        <v>25</v>
      </c>
      <c r="I191">
        <v>1</v>
      </c>
    </row>
    <row r="192" spans="1:9" x14ac:dyDescent="0.25">
      <c r="A192">
        <v>3</v>
      </c>
      <c r="B192">
        <v>111</v>
      </c>
      <c r="C192">
        <v>62</v>
      </c>
      <c r="D192">
        <v>21</v>
      </c>
      <c r="E192">
        <v>80</v>
      </c>
      <c r="F192">
        <v>23</v>
      </c>
      <c r="G192">
        <v>1</v>
      </c>
      <c r="H192">
        <v>21</v>
      </c>
      <c r="I192">
        <v>0</v>
      </c>
    </row>
    <row r="193" spans="1:9" x14ac:dyDescent="0.25">
      <c r="A193">
        <v>9</v>
      </c>
      <c r="B193">
        <v>123</v>
      </c>
      <c r="C193">
        <v>70</v>
      </c>
      <c r="D193">
        <v>44</v>
      </c>
      <c r="E193">
        <v>94</v>
      </c>
      <c r="F193">
        <v>33</v>
      </c>
      <c r="G193">
        <v>1</v>
      </c>
      <c r="H193">
        <v>40</v>
      </c>
      <c r="I193">
        <v>0</v>
      </c>
    </row>
    <row r="194" spans="1:9" x14ac:dyDescent="0.25">
      <c r="A194">
        <v>7</v>
      </c>
      <c r="B194">
        <v>159</v>
      </c>
      <c r="C194">
        <v>66</v>
      </c>
      <c r="D194">
        <v>21</v>
      </c>
      <c r="E194">
        <v>80</v>
      </c>
      <c r="F194">
        <v>30</v>
      </c>
      <c r="G194">
        <v>1</v>
      </c>
      <c r="H194">
        <v>36</v>
      </c>
      <c r="I194">
        <v>1</v>
      </c>
    </row>
    <row r="195" spans="1:9" x14ac:dyDescent="0.25">
      <c r="A195">
        <v>11</v>
      </c>
      <c r="B195">
        <v>135</v>
      </c>
      <c r="C195">
        <v>69</v>
      </c>
      <c r="D195">
        <v>21</v>
      </c>
      <c r="E195">
        <v>80</v>
      </c>
      <c r="F195">
        <v>52</v>
      </c>
      <c r="G195">
        <v>1</v>
      </c>
      <c r="H195">
        <v>40</v>
      </c>
      <c r="I195">
        <v>1</v>
      </c>
    </row>
    <row r="196" spans="1:9" x14ac:dyDescent="0.25">
      <c r="A196">
        <v>8</v>
      </c>
      <c r="B196">
        <v>85</v>
      </c>
      <c r="C196">
        <v>55</v>
      </c>
      <c r="D196">
        <v>20</v>
      </c>
      <c r="E196">
        <v>80</v>
      </c>
      <c r="F196">
        <v>24</v>
      </c>
      <c r="G196">
        <v>1</v>
      </c>
      <c r="H196">
        <v>42</v>
      </c>
      <c r="I196">
        <v>0</v>
      </c>
    </row>
    <row r="197" spans="1:9" x14ac:dyDescent="0.25">
      <c r="A197">
        <v>5</v>
      </c>
      <c r="B197">
        <v>158</v>
      </c>
      <c r="C197">
        <v>84</v>
      </c>
      <c r="D197">
        <v>41</v>
      </c>
      <c r="E197">
        <v>210</v>
      </c>
      <c r="F197">
        <v>39</v>
      </c>
      <c r="G197">
        <v>1</v>
      </c>
      <c r="H197">
        <v>29</v>
      </c>
      <c r="I197">
        <v>1</v>
      </c>
    </row>
    <row r="198" spans="1:9" x14ac:dyDescent="0.25">
      <c r="A198">
        <v>1</v>
      </c>
      <c r="B198">
        <v>105</v>
      </c>
      <c r="C198">
        <v>58</v>
      </c>
      <c r="D198">
        <v>21</v>
      </c>
      <c r="E198">
        <v>80</v>
      </c>
      <c r="F198">
        <v>24</v>
      </c>
      <c r="G198">
        <v>1</v>
      </c>
      <c r="H198">
        <v>21</v>
      </c>
      <c r="I198">
        <v>0</v>
      </c>
    </row>
    <row r="199" spans="1:9" x14ac:dyDescent="0.25">
      <c r="A199">
        <v>3</v>
      </c>
      <c r="B199">
        <v>107</v>
      </c>
      <c r="C199">
        <v>62</v>
      </c>
      <c r="D199">
        <v>13</v>
      </c>
      <c r="E199">
        <v>48</v>
      </c>
      <c r="F199">
        <v>23</v>
      </c>
      <c r="G199">
        <v>1</v>
      </c>
      <c r="H199">
        <v>23</v>
      </c>
      <c r="I199">
        <v>1</v>
      </c>
    </row>
    <row r="200" spans="1:9" x14ac:dyDescent="0.25">
      <c r="A200">
        <v>4</v>
      </c>
      <c r="B200">
        <v>109</v>
      </c>
      <c r="C200">
        <v>64</v>
      </c>
      <c r="D200">
        <v>44</v>
      </c>
      <c r="E200">
        <v>99</v>
      </c>
      <c r="F200">
        <v>35</v>
      </c>
      <c r="G200">
        <v>1</v>
      </c>
      <c r="H200">
        <v>26</v>
      </c>
      <c r="I200">
        <v>1</v>
      </c>
    </row>
    <row r="201" spans="1:9" x14ac:dyDescent="0.25">
      <c r="A201">
        <v>4</v>
      </c>
      <c r="B201">
        <v>148</v>
      </c>
      <c r="C201">
        <v>60</v>
      </c>
      <c r="D201">
        <v>27</v>
      </c>
      <c r="E201">
        <v>318</v>
      </c>
      <c r="F201">
        <v>31</v>
      </c>
      <c r="G201">
        <v>1</v>
      </c>
      <c r="H201">
        <v>29</v>
      </c>
      <c r="I201">
        <v>1</v>
      </c>
    </row>
    <row r="202" spans="1:9" x14ac:dyDescent="0.25">
      <c r="A202">
        <v>4</v>
      </c>
      <c r="B202">
        <v>113</v>
      </c>
      <c r="C202">
        <v>80</v>
      </c>
      <c r="D202">
        <v>16</v>
      </c>
      <c r="E202">
        <v>80</v>
      </c>
      <c r="F202">
        <v>31</v>
      </c>
      <c r="G202">
        <v>1</v>
      </c>
      <c r="H202">
        <v>21</v>
      </c>
      <c r="I202">
        <v>0</v>
      </c>
    </row>
    <row r="203" spans="1:9" x14ac:dyDescent="0.25">
      <c r="A203">
        <v>1</v>
      </c>
      <c r="B203">
        <v>138</v>
      </c>
      <c r="C203">
        <v>82</v>
      </c>
      <c r="D203">
        <v>21</v>
      </c>
      <c r="E203">
        <v>80</v>
      </c>
      <c r="F203">
        <v>40</v>
      </c>
      <c r="G203">
        <v>1</v>
      </c>
      <c r="H203">
        <v>28</v>
      </c>
      <c r="I203">
        <v>0</v>
      </c>
    </row>
    <row r="204" spans="1:9" x14ac:dyDescent="0.25">
      <c r="A204">
        <v>4</v>
      </c>
      <c r="B204">
        <v>108</v>
      </c>
      <c r="C204">
        <v>68</v>
      </c>
      <c r="D204">
        <v>20</v>
      </c>
      <c r="E204">
        <v>80</v>
      </c>
      <c r="F204">
        <v>27</v>
      </c>
      <c r="G204">
        <v>1</v>
      </c>
      <c r="H204">
        <v>32</v>
      </c>
      <c r="I204">
        <v>0</v>
      </c>
    </row>
    <row r="205" spans="1:9" x14ac:dyDescent="0.25">
      <c r="A205">
        <v>2</v>
      </c>
      <c r="B205">
        <v>99</v>
      </c>
      <c r="C205">
        <v>70</v>
      </c>
      <c r="D205">
        <v>16</v>
      </c>
      <c r="E205">
        <v>44</v>
      </c>
      <c r="F205">
        <v>20</v>
      </c>
      <c r="G205">
        <v>1</v>
      </c>
      <c r="H205">
        <v>27</v>
      </c>
      <c r="I205">
        <v>0</v>
      </c>
    </row>
    <row r="206" spans="1:9" x14ac:dyDescent="0.25">
      <c r="A206">
        <v>6</v>
      </c>
      <c r="B206">
        <v>103</v>
      </c>
      <c r="C206">
        <v>72</v>
      </c>
      <c r="D206">
        <v>32</v>
      </c>
      <c r="E206">
        <v>190</v>
      </c>
      <c r="F206">
        <v>38</v>
      </c>
      <c r="G206">
        <v>1</v>
      </c>
      <c r="H206">
        <v>55</v>
      </c>
      <c r="I206">
        <v>0</v>
      </c>
    </row>
    <row r="207" spans="1:9" x14ac:dyDescent="0.25">
      <c r="A207">
        <v>5</v>
      </c>
      <c r="B207">
        <v>111</v>
      </c>
      <c r="C207">
        <v>72</v>
      </c>
      <c r="D207">
        <v>28</v>
      </c>
      <c r="E207">
        <v>80</v>
      </c>
      <c r="F207">
        <v>24</v>
      </c>
      <c r="G207">
        <v>1</v>
      </c>
      <c r="H207">
        <v>27</v>
      </c>
      <c r="I207">
        <v>0</v>
      </c>
    </row>
    <row r="208" spans="1:9" x14ac:dyDescent="0.25">
      <c r="A208">
        <v>8</v>
      </c>
      <c r="B208">
        <v>196</v>
      </c>
      <c r="C208">
        <v>76</v>
      </c>
      <c r="D208">
        <v>29</v>
      </c>
      <c r="E208">
        <v>280</v>
      </c>
      <c r="F208">
        <v>38</v>
      </c>
      <c r="G208">
        <v>1</v>
      </c>
      <c r="H208">
        <v>57</v>
      </c>
      <c r="I208">
        <v>1</v>
      </c>
    </row>
    <row r="209" spans="1:9" x14ac:dyDescent="0.25">
      <c r="A209">
        <v>5</v>
      </c>
      <c r="B209">
        <v>162</v>
      </c>
      <c r="C209">
        <v>104</v>
      </c>
      <c r="D209">
        <v>21</v>
      </c>
      <c r="E209">
        <v>80</v>
      </c>
      <c r="F209">
        <v>38</v>
      </c>
      <c r="G209">
        <v>1</v>
      </c>
      <c r="H209">
        <v>52</v>
      </c>
      <c r="I209">
        <v>1</v>
      </c>
    </row>
    <row r="210" spans="1:9" x14ac:dyDescent="0.25">
      <c r="A210">
        <v>1</v>
      </c>
      <c r="B210">
        <v>96</v>
      </c>
      <c r="C210">
        <v>64</v>
      </c>
      <c r="D210">
        <v>27</v>
      </c>
      <c r="E210">
        <v>87</v>
      </c>
      <c r="F210">
        <v>33</v>
      </c>
      <c r="G210">
        <v>1</v>
      </c>
      <c r="H210">
        <v>21</v>
      </c>
      <c r="I210">
        <v>0</v>
      </c>
    </row>
    <row r="211" spans="1:9" x14ac:dyDescent="0.25">
      <c r="A211">
        <v>7</v>
      </c>
      <c r="B211">
        <v>184</v>
      </c>
      <c r="C211">
        <v>84</v>
      </c>
      <c r="D211">
        <v>33</v>
      </c>
      <c r="E211">
        <v>80</v>
      </c>
      <c r="F211">
        <v>36</v>
      </c>
      <c r="G211">
        <v>1</v>
      </c>
      <c r="H211">
        <v>41</v>
      </c>
      <c r="I211">
        <v>1</v>
      </c>
    </row>
    <row r="212" spans="1:9" x14ac:dyDescent="0.25">
      <c r="A212">
        <v>2</v>
      </c>
      <c r="B212">
        <v>81</v>
      </c>
      <c r="C212">
        <v>60</v>
      </c>
      <c r="D212">
        <v>22</v>
      </c>
      <c r="E212">
        <v>80</v>
      </c>
      <c r="F212">
        <v>28</v>
      </c>
      <c r="G212">
        <v>1</v>
      </c>
      <c r="H212">
        <v>25</v>
      </c>
      <c r="I212">
        <v>0</v>
      </c>
    </row>
    <row r="213" spans="1:9" x14ac:dyDescent="0.25">
      <c r="A213">
        <v>4</v>
      </c>
      <c r="B213">
        <v>147</v>
      </c>
      <c r="C213">
        <v>85</v>
      </c>
      <c r="D213">
        <v>54</v>
      </c>
      <c r="E213">
        <v>80</v>
      </c>
      <c r="F213">
        <v>43</v>
      </c>
      <c r="G213">
        <v>1</v>
      </c>
      <c r="H213">
        <v>24</v>
      </c>
      <c r="I213">
        <v>0</v>
      </c>
    </row>
    <row r="214" spans="1:9" x14ac:dyDescent="0.25">
      <c r="A214">
        <v>7</v>
      </c>
      <c r="B214">
        <v>179</v>
      </c>
      <c r="C214">
        <v>95</v>
      </c>
      <c r="D214">
        <v>31</v>
      </c>
      <c r="E214">
        <v>80</v>
      </c>
      <c r="F214">
        <v>34</v>
      </c>
      <c r="G214">
        <v>1</v>
      </c>
      <c r="H214">
        <v>60</v>
      </c>
      <c r="I214">
        <v>0</v>
      </c>
    </row>
    <row r="215" spans="1:9" x14ac:dyDescent="0.25">
      <c r="A215">
        <v>4</v>
      </c>
      <c r="B215">
        <v>140</v>
      </c>
      <c r="C215">
        <v>65</v>
      </c>
      <c r="D215">
        <v>26</v>
      </c>
      <c r="E215">
        <v>130</v>
      </c>
      <c r="F215">
        <v>43</v>
      </c>
      <c r="G215">
        <v>1</v>
      </c>
      <c r="H215">
        <v>24</v>
      </c>
      <c r="I215">
        <v>1</v>
      </c>
    </row>
    <row r="216" spans="1:9" x14ac:dyDescent="0.25">
      <c r="A216">
        <v>9</v>
      </c>
      <c r="B216">
        <v>112</v>
      </c>
      <c r="C216">
        <v>82</v>
      </c>
      <c r="D216">
        <v>32</v>
      </c>
      <c r="E216">
        <v>175</v>
      </c>
      <c r="F216">
        <v>34</v>
      </c>
      <c r="G216">
        <v>1</v>
      </c>
      <c r="H216">
        <v>36</v>
      </c>
      <c r="I216">
        <v>1</v>
      </c>
    </row>
    <row r="217" spans="1:9" x14ac:dyDescent="0.25">
      <c r="A217">
        <v>12</v>
      </c>
      <c r="B217">
        <v>151</v>
      </c>
      <c r="C217">
        <v>70</v>
      </c>
      <c r="D217">
        <v>40</v>
      </c>
      <c r="E217">
        <v>271</v>
      </c>
      <c r="F217">
        <v>42</v>
      </c>
      <c r="G217">
        <v>1</v>
      </c>
      <c r="H217">
        <v>38</v>
      </c>
      <c r="I217">
        <v>1</v>
      </c>
    </row>
    <row r="218" spans="1:9" x14ac:dyDescent="0.25">
      <c r="A218">
        <v>5</v>
      </c>
      <c r="B218">
        <v>109</v>
      </c>
      <c r="C218">
        <v>62</v>
      </c>
      <c r="D218">
        <v>41</v>
      </c>
      <c r="E218">
        <v>129</v>
      </c>
      <c r="F218">
        <v>36</v>
      </c>
      <c r="G218">
        <v>1</v>
      </c>
      <c r="H218">
        <v>25</v>
      </c>
      <c r="I218">
        <v>1</v>
      </c>
    </row>
    <row r="219" spans="1:9" x14ac:dyDescent="0.25">
      <c r="A219">
        <v>6</v>
      </c>
      <c r="B219">
        <v>125</v>
      </c>
      <c r="C219">
        <v>68</v>
      </c>
      <c r="D219">
        <v>30</v>
      </c>
      <c r="E219">
        <v>120</v>
      </c>
      <c r="F219">
        <v>30</v>
      </c>
      <c r="G219">
        <v>1</v>
      </c>
      <c r="H219">
        <v>32</v>
      </c>
      <c r="I219">
        <v>0</v>
      </c>
    </row>
    <row r="220" spans="1:9" x14ac:dyDescent="0.25">
      <c r="A220">
        <v>5</v>
      </c>
      <c r="B220">
        <v>85</v>
      </c>
      <c r="C220">
        <v>74</v>
      </c>
      <c r="D220">
        <v>22</v>
      </c>
      <c r="E220">
        <v>80</v>
      </c>
      <c r="F220">
        <v>29</v>
      </c>
      <c r="G220">
        <v>1</v>
      </c>
      <c r="H220">
        <v>32</v>
      </c>
      <c r="I220">
        <v>1</v>
      </c>
    </row>
    <row r="221" spans="1:9" x14ac:dyDescent="0.25">
      <c r="A221">
        <v>5</v>
      </c>
      <c r="B221">
        <v>112</v>
      </c>
      <c r="C221">
        <v>66</v>
      </c>
      <c r="D221">
        <v>21</v>
      </c>
      <c r="E221">
        <v>80</v>
      </c>
      <c r="F221">
        <v>38</v>
      </c>
      <c r="G221">
        <v>1</v>
      </c>
      <c r="H221">
        <v>41</v>
      </c>
      <c r="I221">
        <v>1</v>
      </c>
    </row>
    <row r="222" spans="1:9" x14ac:dyDescent="0.25">
      <c r="A222">
        <v>4</v>
      </c>
      <c r="B222">
        <v>177</v>
      </c>
      <c r="C222">
        <v>60</v>
      </c>
      <c r="D222">
        <v>29</v>
      </c>
      <c r="E222">
        <v>478</v>
      </c>
      <c r="F222">
        <v>35</v>
      </c>
      <c r="G222">
        <v>1</v>
      </c>
      <c r="H222">
        <v>21</v>
      </c>
      <c r="I222">
        <v>1</v>
      </c>
    </row>
    <row r="223" spans="1:9" x14ac:dyDescent="0.25">
      <c r="A223">
        <v>2</v>
      </c>
      <c r="B223">
        <v>158</v>
      </c>
      <c r="C223">
        <v>90</v>
      </c>
      <c r="D223">
        <v>21</v>
      </c>
      <c r="E223">
        <v>80</v>
      </c>
      <c r="F223">
        <v>32</v>
      </c>
      <c r="G223">
        <v>1</v>
      </c>
      <c r="H223">
        <v>66</v>
      </c>
      <c r="I223">
        <v>1</v>
      </c>
    </row>
    <row r="224" spans="1:9" x14ac:dyDescent="0.25">
      <c r="A224">
        <v>7</v>
      </c>
      <c r="B224">
        <v>119</v>
      </c>
      <c r="C224">
        <v>69</v>
      </c>
      <c r="D224">
        <v>21</v>
      </c>
      <c r="E224">
        <v>80</v>
      </c>
      <c r="F224">
        <v>25</v>
      </c>
      <c r="G224">
        <v>1</v>
      </c>
      <c r="H224">
        <v>37</v>
      </c>
      <c r="I224">
        <v>0</v>
      </c>
    </row>
    <row r="225" spans="1:9" x14ac:dyDescent="0.25">
      <c r="A225">
        <v>7</v>
      </c>
      <c r="B225">
        <v>142</v>
      </c>
      <c r="C225">
        <v>60</v>
      </c>
      <c r="D225">
        <v>33</v>
      </c>
      <c r="E225">
        <v>190</v>
      </c>
      <c r="F225">
        <v>29</v>
      </c>
      <c r="G225">
        <v>1</v>
      </c>
      <c r="H225">
        <v>61</v>
      </c>
      <c r="I225">
        <v>0</v>
      </c>
    </row>
    <row r="226" spans="1:9" x14ac:dyDescent="0.25">
      <c r="A226">
        <v>1</v>
      </c>
      <c r="B226">
        <v>100</v>
      </c>
      <c r="C226">
        <v>66</v>
      </c>
      <c r="D226">
        <v>15</v>
      </c>
      <c r="E226">
        <v>56</v>
      </c>
      <c r="F226">
        <v>24</v>
      </c>
      <c r="G226">
        <v>1</v>
      </c>
      <c r="H226">
        <v>26</v>
      </c>
      <c r="I226">
        <v>0</v>
      </c>
    </row>
    <row r="227" spans="1:9" x14ac:dyDescent="0.25">
      <c r="A227">
        <v>1</v>
      </c>
      <c r="B227">
        <v>87</v>
      </c>
      <c r="C227">
        <v>78</v>
      </c>
      <c r="D227">
        <v>27</v>
      </c>
      <c r="E227">
        <v>32</v>
      </c>
      <c r="F227">
        <v>35</v>
      </c>
      <c r="G227">
        <v>1</v>
      </c>
      <c r="H227">
        <v>22</v>
      </c>
      <c r="I227">
        <v>0</v>
      </c>
    </row>
    <row r="228" spans="1:9" x14ac:dyDescent="0.25">
      <c r="A228">
        <v>4</v>
      </c>
      <c r="B228">
        <v>101</v>
      </c>
      <c r="C228">
        <v>76</v>
      </c>
      <c r="D228">
        <v>21</v>
      </c>
      <c r="E228">
        <v>80</v>
      </c>
      <c r="F228">
        <v>36</v>
      </c>
      <c r="G228">
        <v>1</v>
      </c>
      <c r="H228">
        <v>26</v>
      </c>
      <c r="I228">
        <v>0</v>
      </c>
    </row>
    <row r="229" spans="1:9" x14ac:dyDescent="0.25">
      <c r="A229">
        <v>3</v>
      </c>
      <c r="B229">
        <v>162</v>
      </c>
      <c r="C229">
        <v>52</v>
      </c>
      <c r="D229">
        <v>38</v>
      </c>
      <c r="E229">
        <v>80</v>
      </c>
      <c r="F229">
        <v>37</v>
      </c>
      <c r="G229">
        <v>1</v>
      </c>
      <c r="H229">
        <v>24</v>
      </c>
      <c r="I229">
        <v>1</v>
      </c>
    </row>
    <row r="230" spans="1:9" x14ac:dyDescent="0.25">
      <c r="A230">
        <v>4</v>
      </c>
      <c r="B230">
        <v>197</v>
      </c>
      <c r="C230">
        <v>70</v>
      </c>
      <c r="D230">
        <v>39</v>
      </c>
      <c r="E230">
        <v>744</v>
      </c>
      <c r="F230">
        <v>37</v>
      </c>
      <c r="G230">
        <v>1</v>
      </c>
      <c r="H230">
        <v>31</v>
      </c>
      <c r="I230">
        <v>0</v>
      </c>
    </row>
    <row r="231" spans="1:9" x14ac:dyDescent="0.25">
      <c r="A231">
        <v>4</v>
      </c>
      <c r="B231">
        <v>117</v>
      </c>
      <c r="C231">
        <v>80</v>
      </c>
      <c r="D231">
        <v>31</v>
      </c>
      <c r="E231">
        <v>53</v>
      </c>
      <c r="F231">
        <v>45</v>
      </c>
      <c r="G231">
        <v>1</v>
      </c>
      <c r="H231">
        <v>24</v>
      </c>
      <c r="I231">
        <v>0</v>
      </c>
    </row>
    <row r="232" spans="1:9" x14ac:dyDescent="0.25">
      <c r="A232">
        <v>4</v>
      </c>
      <c r="B232">
        <v>142</v>
      </c>
      <c r="C232">
        <v>86</v>
      </c>
      <c r="D232">
        <v>21</v>
      </c>
      <c r="E232">
        <v>80</v>
      </c>
      <c r="F232">
        <v>44</v>
      </c>
      <c r="G232">
        <v>1</v>
      </c>
      <c r="H232">
        <v>22</v>
      </c>
      <c r="I232">
        <v>1</v>
      </c>
    </row>
    <row r="233" spans="1:9" x14ac:dyDescent="0.25">
      <c r="A233">
        <v>6</v>
      </c>
      <c r="B233">
        <v>134</v>
      </c>
      <c r="C233">
        <v>80</v>
      </c>
      <c r="D233">
        <v>37</v>
      </c>
      <c r="E233">
        <v>370</v>
      </c>
      <c r="F233">
        <v>46</v>
      </c>
      <c r="G233">
        <v>1</v>
      </c>
      <c r="H233">
        <v>46</v>
      </c>
      <c r="I233">
        <v>1</v>
      </c>
    </row>
    <row r="234" spans="1:9" x14ac:dyDescent="0.25">
      <c r="A234">
        <v>1</v>
      </c>
      <c r="B234">
        <v>79</v>
      </c>
      <c r="C234">
        <v>80</v>
      </c>
      <c r="D234">
        <v>25</v>
      </c>
      <c r="E234">
        <v>37</v>
      </c>
      <c r="F234">
        <v>25</v>
      </c>
      <c r="G234">
        <v>1</v>
      </c>
      <c r="H234">
        <v>22</v>
      </c>
      <c r="I234">
        <v>0</v>
      </c>
    </row>
    <row r="235" spans="1:9" x14ac:dyDescent="0.25">
      <c r="A235">
        <v>4</v>
      </c>
      <c r="B235">
        <v>122</v>
      </c>
      <c r="C235">
        <v>68</v>
      </c>
      <c r="D235">
        <v>21</v>
      </c>
      <c r="E235">
        <v>80</v>
      </c>
      <c r="F235">
        <v>35</v>
      </c>
      <c r="G235">
        <v>1</v>
      </c>
      <c r="H235">
        <v>29</v>
      </c>
      <c r="I235">
        <v>0</v>
      </c>
    </row>
    <row r="236" spans="1:9" x14ac:dyDescent="0.25">
      <c r="A236">
        <v>3</v>
      </c>
      <c r="B236">
        <v>74</v>
      </c>
      <c r="C236">
        <v>68</v>
      </c>
      <c r="D236">
        <v>28</v>
      </c>
      <c r="E236">
        <v>45</v>
      </c>
      <c r="F236">
        <v>30</v>
      </c>
      <c r="G236">
        <v>1</v>
      </c>
      <c r="H236">
        <v>23</v>
      </c>
      <c r="I236">
        <v>0</v>
      </c>
    </row>
    <row r="237" spans="1:9" x14ac:dyDescent="0.25">
      <c r="A237">
        <v>4</v>
      </c>
      <c r="B237">
        <v>171</v>
      </c>
      <c r="C237">
        <v>72</v>
      </c>
      <c r="D237">
        <v>21</v>
      </c>
      <c r="E237">
        <v>80</v>
      </c>
      <c r="F237">
        <v>44</v>
      </c>
      <c r="G237">
        <v>1</v>
      </c>
      <c r="H237">
        <v>26</v>
      </c>
      <c r="I237">
        <v>1</v>
      </c>
    </row>
    <row r="238" spans="1:9" x14ac:dyDescent="0.25">
      <c r="A238">
        <v>7</v>
      </c>
      <c r="B238">
        <v>181</v>
      </c>
      <c r="C238">
        <v>84</v>
      </c>
      <c r="D238">
        <v>21</v>
      </c>
      <c r="E238">
        <v>192</v>
      </c>
      <c r="F238">
        <v>36</v>
      </c>
      <c r="G238">
        <v>1</v>
      </c>
      <c r="H238">
        <v>51</v>
      </c>
      <c r="I238">
        <v>1</v>
      </c>
    </row>
    <row r="239" spans="1:9" x14ac:dyDescent="0.25">
      <c r="A239">
        <v>4</v>
      </c>
      <c r="B239">
        <v>179</v>
      </c>
      <c r="C239">
        <v>90</v>
      </c>
      <c r="D239">
        <v>27</v>
      </c>
      <c r="E239">
        <v>80</v>
      </c>
      <c r="F239">
        <v>44</v>
      </c>
      <c r="G239">
        <v>1</v>
      </c>
      <c r="H239">
        <v>23</v>
      </c>
      <c r="I239">
        <v>1</v>
      </c>
    </row>
    <row r="240" spans="1:9" x14ac:dyDescent="0.25">
      <c r="A240">
        <v>9</v>
      </c>
      <c r="B240">
        <v>164</v>
      </c>
      <c r="C240">
        <v>84</v>
      </c>
      <c r="D240">
        <v>21</v>
      </c>
      <c r="E240">
        <v>80</v>
      </c>
      <c r="F240">
        <v>31</v>
      </c>
      <c r="G240">
        <v>1</v>
      </c>
      <c r="H240">
        <v>32</v>
      </c>
      <c r="I240">
        <v>1</v>
      </c>
    </row>
    <row r="241" spans="1:9" x14ac:dyDescent="0.25">
      <c r="A241">
        <v>4</v>
      </c>
      <c r="B241">
        <v>104</v>
      </c>
      <c r="C241">
        <v>76</v>
      </c>
      <c r="D241">
        <v>21</v>
      </c>
      <c r="E241">
        <v>80</v>
      </c>
      <c r="F241">
        <v>18</v>
      </c>
      <c r="G241">
        <v>1</v>
      </c>
      <c r="H241">
        <v>27</v>
      </c>
      <c r="I241">
        <v>0</v>
      </c>
    </row>
    <row r="242" spans="1:9" x14ac:dyDescent="0.25">
      <c r="A242">
        <v>1</v>
      </c>
      <c r="B242">
        <v>91</v>
      </c>
      <c r="C242">
        <v>64</v>
      </c>
      <c r="D242">
        <v>24</v>
      </c>
      <c r="E242">
        <v>80</v>
      </c>
      <c r="F242">
        <v>29</v>
      </c>
      <c r="G242">
        <v>1</v>
      </c>
      <c r="H242">
        <v>21</v>
      </c>
      <c r="I242">
        <v>0</v>
      </c>
    </row>
    <row r="243" spans="1:9" x14ac:dyDescent="0.25">
      <c r="A243">
        <v>4</v>
      </c>
      <c r="B243">
        <v>91</v>
      </c>
      <c r="C243">
        <v>70</v>
      </c>
      <c r="D243">
        <v>32</v>
      </c>
      <c r="E243">
        <v>88</v>
      </c>
      <c r="F243">
        <v>33</v>
      </c>
      <c r="G243">
        <v>1</v>
      </c>
      <c r="H243">
        <v>22</v>
      </c>
      <c r="I243">
        <v>0</v>
      </c>
    </row>
    <row r="244" spans="1:9" x14ac:dyDescent="0.25">
      <c r="A244">
        <v>3</v>
      </c>
      <c r="B244">
        <v>139</v>
      </c>
      <c r="C244">
        <v>54</v>
      </c>
      <c r="D244">
        <v>21</v>
      </c>
      <c r="E244">
        <v>80</v>
      </c>
      <c r="F244">
        <v>26</v>
      </c>
      <c r="G244">
        <v>1</v>
      </c>
      <c r="H244">
        <v>22</v>
      </c>
      <c r="I244">
        <v>1</v>
      </c>
    </row>
    <row r="245" spans="1:9" x14ac:dyDescent="0.25">
      <c r="A245">
        <v>6</v>
      </c>
      <c r="B245">
        <v>119</v>
      </c>
      <c r="C245">
        <v>50</v>
      </c>
      <c r="D245">
        <v>22</v>
      </c>
      <c r="E245">
        <v>176</v>
      </c>
      <c r="F245">
        <v>27</v>
      </c>
      <c r="G245">
        <v>1</v>
      </c>
      <c r="H245">
        <v>33</v>
      </c>
      <c r="I245">
        <v>1</v>
      </c>
    </row>
    <row r="246" spans="1:9" x14ac:dyDescent="0.25">
      <c r="A246">
        <v>2</v>
      </c>
      <c r="B246">
        <v>146</v>
      </c>
      <c r="C246">
        <v>76</v>
      </c>
      <c r="D246">
        <v>35</v>
      </c>
      <c r="E246">
        <v>194</v>
      </c>
      <c r="F246">
        <v>38</v>
      </c>
      <c r="G246">
        <v>1</v>
      </c>
      <c r="H246">
        <v>29</v>
      </c>
      <c r="I246">
        <v>0</v>
      </c>
    </row>
    <row r="247" spans="1:9" x14ac:dyDescent="0.25">
      <c r="A247">
        <v>9</v>
      </c>
      <c r="B247">
        <v>184</v>
      </c>
      <c r="C247">
        <v>85</v>
      </c>
      <c r="D247">
        <v>15</v>
      </c>
      <c r="E247">
        <v>80</v>
      </c>
      <c r="F247">
        <v>30</v>
      </c>
      <c r="G247">
        <v>1</v>
      </c>
      <c r="H247">
        <v>49</v>
      </c>
      <c r="I247">
        <v>1</v>
      </c>
    </row>
    <row r="248" spans="1:9" x14ac:dyDescent="0.25">
      <c r="A248">
        <v>10</v>
      </c>
      <c r="B248">
        <v>122</v>
      </c>
      <c r="C248">
        <v>68</v>
      </c>
      <c r="D248">
        <v>21</v>
      </c>
      <c r="E248">
        <v>80</v>
      </c>
      <c r="F248">
        <v>31</v>
      </c>
      <c r="G248">
        <v>1</v>
      </c>
      <c r="H248">
        <v>41</v>
      </c>
      <c r="I248">
        <v>0</v>
      </c>
    </row>
    <row r="249" spans="1:9" x14ac:dyDescent="0.25">
      <c r="A249">
        <v>4</v>
      </c>
      <c r="B249">
        <v>165</v>
      </c>
      <c r="C249">
        <v>90</v>
      </c>
      <c r="D249">
        <v>33</v>
      </c>
      <c r="E249">
        <v>680</v>
      </c>
      <c r="F249">
        <v>52</v>
      </c>
      <c r="G249">
        <v>1</v>
      </c>
      <c r="H249">
        <v>23</v>
      </c>
      <c r="I249">
        <v>0</v>
      </c>
    </row>
    <row r="250" spans="1:9" x14ac:dyDescent="0.25">
      <c r="A250">
        <v>9</v>
      </c>
      <c r="B250">
        <v>124</v>
      </c>
      <c r="C250">
        <v>70</v>
      </c>
      <c r="D250">
        <v>33</v>
      </c>
      <c r="E250">
        <v>402</v>
      </c>
      <c r="F250">
        <v>35</v>
      </c>
      <c r="G250">
        <v>1</v>
      </c>
      <c r="H250">
        <v>34</v>
      </c>
      <c r="I250">
        <v>0</v>
      </c>
    </row>
    <row r="251" spans="1:9" x14ac:dyDescent="0.25">
      <c r="A251">
        <v>1</v>
      </c>
      <c r="B251">
        <v>111</v>
      </c>
      <c r="C251">
        <v>86</v>
      </c>
      <c r="D251">
        <v>19</v>
      </c>
      <c r="E251">
        <v>80</v>
      </c>
      <c r="F251">
        <v>30</v>
      </c>
      <c r="G251">
        <v>1</v>
      </c>
      <c r="H251">
        <v>23</v>
      </c>
      <c r="I251">
        <v>0</v>
      </c>
    </row>
    <row r="252" spans="1:9" x14ac:dyDescent="0.25">
      <c r="A252">
        <v>9</v>
      </c>
      <c r="B252">
        <v>106</v>
      </c>
      <c r="C252">
        <v>52</v>
      </c>
      <c r="D252">
        <v>21</v>
      </c>
      <c r="E252">
        <v>80</v>
      </c>
      <c r="F252">
        <v>31</v>
      </c>
      <c r="G252">
        <v>1</v>
      </c>
      <c r="H252">
        <v>42</v>
      </c>
      <c r="I252">
        <v>0</v>
      </c>
    </row>
    <row r="253" spans="1:9" x14ac:dyDescent="0.25">
      <c r="A253">
        <v>2</v>
      </c>
      <c r="B253">
        <v>129</v>
      </c>
      <c r="C253">
        <v>84</v>
      </c>
      <c r="D253">
        <v>21</v>
      </c>
      <c r="E253">
        <v>80</v>
      </c>
      <c r="F253">
        <v>28</v>
      </c>
      <c r="G253">
        <v>1</v>
      </c>
      <c r="H253">
        <v>27</v>
      </c>
      <c r="I253">
        <v>0</v>
      </c>
    </row>
    <row r="254" spans="1:9" x14ac:dyDescent="0.25">
      <c r="A254">
        <v>2</v>
      </c>
      <c r="B254">
        <v>90</v>
      </c>
      <c r="C254">
        <v>80</v>
      </c>
      <c r="D254">
        <v>14</v>
      </c>
      <c r="E254">
        <v>55</v>
      </c>
      <c r="F254">
        <v>24</v>
      </c>
      <c r="G254">
        <v>1</v>
      </c>
      <c r="H254">
        <v>24</v>
      </c>
      <c r="I254">
        <v>0</v>
      </c>
    </row>
    <row r="255" spans="1:9" x14ac:dyDescent="0.25">
      <c r="A255">
        <v>4</v>
      </c>
      <c r="B255">
        <v>86</v>
      </c>
      <c r="C255">
        <v>68</v>
      </c>
      <c r="D255">
        <v>32</v>
      </c>
      <c r="E255">
        <v>80</v>
      </c>
      <c r="F255">
        <v>36</v>
      </c>
      <c r="G255">
        <v>1</v>
      </c>
      <c r="H255">
        <v>25</v>
      </c>
      <c r="I255">
        <v>0</v>
      </c>
    </row>
    <row r="256" spans="1:9" x14ac:dyDescent="0.25">
      <c r="A256">
        <v>12</v>
      </c>
      <c r="B256">
        <v>92</v>
      </c>
      <c r="C256">
        <v>62</v>
      </c>
      <c r="D256">
        <v>7</v>
      </c>
      <c r="E256">
        <v>258</v>
      </c>
      <c r="F256">
        <v>28</v>
      </c>
      <c r="G256">
        <v>1</v>
      </c>
      <c r="H256">
        <v>44</v>
      </c>
      <c r="I256">
        <v>1</v>
      </c>
    </row>
    <row r="257" spans="1:9" x14ac:dyDescent="0.25">
      <c r="A257">
        <v>1</v>
      </c>
      <c r="B257">
        <v>113</v>
      </c>
      <c r="C257">
        <v>64</v>
      </c>
      <c r="D257">
        <v>35</v>
      </c>
      <c r="E257">
        <v>80</v>
      </c>
      <c r="F257">
        <v>34</v>
      </c>
      <c r="G257">
        <v>1</v>
      </c>
      <c r="H257">
        <v>21</v>
      </c>
      <c r="I257">
        <v>1</v>
      </c>
    </row>
    <row r="258" spans="1:9" x14ac:dyDescent="0.25">
      <c r="A258">
        <v>3</v>
      </c>
      <c r="B258">
        <v>111</v>
      </c>
      <c r="C258">
        <v>56</v>
      </c>
      <c r="D258">
        <v>39</v>
      </c>
      <c r="E258">
        <v>80</v>
      </c>
      <c r="F258">
        <v>30</v>
      </c>
      <c r="G258">
        <v>1</v>
      </c>
      <c r="H258">
        <v>30</v>
      </c>
      <c r="I258">
        <v>0</v>
      </c>
    </row>
    <row r="259" spans="1:9" x14ac:dyDescent="0.25">
      <c r="A259">
        <v>2</v>
      </c>
      <c r="B259">
        <v>114</v>
      </c>
      <c r="C259">
        <v>68</v>
      </c>
      <c r="D259">
        <v>22</v>
      </c>
      <c r="E259">
        <v>80</v>
      </c>
      <c r="F259">
        <v>29</v>
      </c>
      <c r="G259">
        <v>1</v>
      </c>
      <c r="H259">
        <v>25</v>
      </c>
      <c r="I259">
        <v>0</v>
      </c>
    </row>
    <row r="260" spans="1:9" x14ac:dyDescent="0.25">
      <c r="A260">
        <v>1</v>
      </c>
      <c r="B260">
        <v>193</v>
      </c>
      <c r="C260">
        <v>50</v>
      </c>
      <c r="D260">
        <v>16</v>
      </c>
      <c r="E260">
        <v>375</v>
      </c>
      <c r="F260">
        <v>26</v>
      </c>
      <c r="G260">
        <v>1</v>
      </c>
      <c r="H260">
        <v>24</v>
      </c>
      <c r="I260">
        <v>0</v>
      </c>
    </row>
    <row r="261" spans="1:9" x14ac:dyDescent="0.25">
      <c r="A261">
        <v>11</v>
      </c>
      <c r="B261">
        <v>155</v>
      </c>
      <c r="C261">
        <v>76</v>
      </c>
      <c r="D261">
        <v>28</v>
      </c>
      <c r="E261">
        <v>150</v>
      </c>
      <c r="F261">
        <v>33</v>
      </c>
      <c r="G261">
        <v>1</v>
      </c>
      <c r="H261">
        <v>51</v>
      </c>
      <c r="I261">
        <v>1</v>
      </c>
    </row>
    <row r="262" spans="1:9" x14ac:dyDescent="0.25">
      <c r="A262">
        <v>3</v>
      </c>
      <c r="B262">
        <v>191</v>
      </c>
      <c r="C262">
        <v>68</v>
      </c>
      <c r="D262">
        <v>15</v>
      </c>
      <c r="E262">
        <v>130</v>
      </c>
      <c r="F262">
        <v>31</v>
      </c>
      <c r="G262">
        <v>1</v>
      </c>
      <c r="H262">
        <v>34</v>
      </c>
      <c r="I262">
        <v>0</v>
      </c>
    </row>
    <row r="263" spans="1:9" x14ac:dyDescent="0.25">
      <c r="A263">
        <v>3</v>
      </c>
      <c r="B263">
        <v>141</v>
      </c>
      <c r="C263">
        <v>69</v>
      </c>
      <c r="D263">
        <v>21</v>
      </c>
      <c r="E263">
        <v>80</v>
      </c>
      <c r="F263">
        <v>30</v>
      </c>
      <c r="G263">
        <v>1</v>
      </c>
      <c r="H263">
        <v>27</v>
      </c>
      <c r="I263">
        <v>1</v>
      </c>
    </row>
    <row r="264" spans="1:9" x14ac:dyDescent="0.25">
      <c r="A264">
        <v>4</v>
      </c>
      <c r="B264">
        <v>95</v>
      </c>
      <c r="C264">
        <v>70</v>
      </c>
      <c r="D264">
        <v>32</v>
      </c>
      <c r="E264">
        <v>80</v>
      </c>
      <c r="F264">
        <v>32</v>
      </c>
      <c r="G264">
        <v>1</v>
      </c>
      <c r="H264">
        <v>24</v>
      </c>
      <c r="I264">
        <v>0</v>
      </c>
    </row>
    <row r="265" spans="1:9" x14ac:dyDescent="0.25">
      <c r="A265">
        <v>3</v>
      </c>
      <c r="B265">
        <v>142</v>
      </c>
      <c r="C265">
        <v>80</v>
      </c>
      <c r="D265">
        <v>15</v>
      </c>
      <c r="E265">
        <v>80</v>
      </c>
      <c r="F265">
        <v>32</v>
      </c>
      <c r="G265">
        <v>1</v>
      </c>
      <c r="H265">
        <v>63</v>
      </c>
      <c r="I265">
        <v>0</v>
      </c>
    </row>
    <row r="266" spans="1:9" x14ac:dyDescent="0.25">
      <c r="A266">
        <v>4</v>
      </c>
      <c r="B266">
        <v>123</v>
      </c>
      <c r="C266">
        <v>62</v>
      </c>
      <c r="D266">
        <v>21</v>
      </c>
      <c r="E266">
        <v>80</v>
      </c>
      <c r="F266">
        <v>32</v>
      </c>
      <c r="G266">
        <v>1</v>
      </c>
      <c r="H266">
        <v>35</v>
      </c>
      <c r="I266">
        <v>1</v>
      </c>
    </row>
    <row r="267" spans="1:9" x14ac:dyDescent="0.25">
      <c r="A267">
        <v>5</v>
      </c>
      <c r="B267">
        <v>96</v>
      </c>
      <c r="C267">
        <v>74</v>
      </c>
      <c r="D267">
        <v>18</v>
      </c>
      <c r="E267">
        <v>67</v>
      </c>
      <c r="F267">
        <v>34</v>
      </c>
      <c r="G267">
        <v>1</v>
      </c>
      <c r="H267">
        <v>43</v>
      </c>
      <c r="I267">
        <v>0</v>
      </c>
    </row>
    <row r="268" spans="1:9" x14ac:dyDescent="0.25">
      <c r="A268">
        <v>4</v>
      </c>
      <c r="B268">
        <v>138</v>
      </c>
      <c r="C268">
        <v>69</v>
      </c>
      <c r="D268">
        <v>21</v>
      </c>
      <c r="E268">
        <v>80</v>
      </c>
      <c r="F268">
        <v>36</v>
      </c>
      <c r="G268">
        <v>1</v>
      </c>
      <c r="H268">
        <v>25</v>
      </c>
      <c r="I268">
        <v>1</v>
      </c>
    </row>
    <row r="269" spans="1:9" x14ac:dyDescent="0.25">
      <c r="A269">
        <v>2</v>
      </c>
      <c r="B269">
        <v>128</v>
      </c>
      <c r="C269">
        <v>64</v>
      </c>
      <c r="D269">
        <v>42</v>
      </c>
      <c r="E269">
        <v>80</v>
      </c>
      <c r="F269">
        <v>40</v>
      </c>
      <c r="G269">
        <v>1</v>
      </c>
      <c r="H269">
        <v>24</v>
      </c>
      <c r="I269">
        <v>0</v>
      </c>
    </row>
    <row r="270" spans="1:9" x14ac:dyDescent="0.25">
      <c r="A270">
        <v>4</v>
      </c>
      <c r="B270">
        <v>102</v>
      </c>
      <c r="C270">
        <v>52</v>
      </c>
      <c r="D270">
        <v>21</v>
      </c>
      <c r="E270">
        <v>80</v>
      </c>
      <c r="F270">
        <v>25</v>
      </c>
      <c r="G270">
        <v>1</v>
      </c>
      <c r="H270">
        <v>21</v>
      </c>
      <c r="I270">
        <v>0</v>
      </c>
    </row>
    <row r="271" spans="1:9" x14ac:dyDescent="0.25">
      <c r="A271">
        <v>2</v>
      </c>
      <c r="B271">
        <v>146</v>
      </c>
      <c r="C271">
        <v>69</v>
      </c>
      <c r="D271">
        <v>21</v>
      </c>
      <c r="E271">
        <v>80</v>
      </c>
      <c r="F271">
        <v>28</v>
      </c>
      <c r="G271">
        <v>1</v>
      </c>
      <c r="H271">
        <v>28</v>
      </c>
      <c r="I271">
        <v>1</v>
      </c>
    </row>
    <row r="272" spans="1:9" x14ac:dyDescent="0.25">
      <c r="A272">
        <v>10</v>
      </c>
      <c r="B272">
        <v>101</v>
      </c>
      <c r="C272">
        <v>86</v>
      </c>
      <c r="D272">
        <v>37</v>
      </c>
      <c r="E272">
        <v>80</v>
      </c>
      <c r="F272">
        <v>46</v>
      </c>
      <c r="G272">
        <v>1</v>
      </c>
      <c r="H272">
        <v>38</v>
      </c>
      <c r="I272">
        <v>1</v>
      </c>
    </row>
    <row r="273" spans="1:9" x14ac:dyDescent="0.25">
      <c r="A273">
        <v>2</v>
      </c>
      <c r="B273">
        <v>108</v>
      </c>
      <c r="C273">
        <v>62</v>
      </c>
      <c r="D273">
        <v>32</v>
      </c>
      <c r="E273">
        <v>56</v>
      </c>
      <c r="F273">
        <v>25</v>
      </c>
      <c r="G273">
        <v>1</v>
      </c>
      <c r="H273">
        <v>21</v>
      </c>
      <c r="I273">
        <v>0</v>
      </c>
    </row>
    <row r="274" spans="1:9" x14ac:dyDescent="0.25">
      <c r="A274">
        <v>3</v>
      </c>
      <c r="B274">
        <v>122</v>
      </c>
      <c r="C274">
        <v>78</v>
      </c>
      <c r="D274">
        <v>21</v>
      </c>
      <c r="E274">
        <v>80</v>
      </c>
      <c r="F274">
        <v>23</v>
      </c>
      <c r="G274">
        <v>1</v>
      </c>
      <c r="H274">
        <v>40</v>
      </c>
      <c r="I274">
        <v>0</v>
      </c>
    </row>
    <row r="275" spans="1:9" x14ac:dyDescent="0.25">
      <c r="A275">
        <v>1</v>
      </c>
      <c r="B275">
        <v>71</v>
      </c>
      <c r="C275">
        <v>78</v>
      </c>
      <c r="D275">
        <v>50</v>
      </c>
      <c r="E275">
        <v>45</v>
      </c>
      <c r="F275">
        <v>33</v>
      </c>
      <c r="G275">
        <v>1</v>
      </c>
      <c r="H275">
        <v>21</v>
      </c>
      <c r="I275">
        <v>0</v>
      </c>
    </row>
    <row r="276" spans="1:9" x14ac:dyDescent="0.25">
      <c r="A276">
        <v>13</v>
      </c>
      <c r="B276">
        <v>106</v>
      </c>
      <c r="C276">
        <v>70</v>
      </c>
      <c r="D276">
        <v>21</v>
      </c>
      <c r="E276">
        <v>80</v>
      </c>
      <c r="F276">
        <v>34</v>
      </c>
      <c r="G276">
        <v>1</v>
      </c>
      <c r="H276">
        <v>52</v>
      </c>
      <c r="I276">
        <v>0</v>
      </c>
    </row>
    <row r="277" spans="1:9" x14ac:dyDescent="0.25">
      <c r="A277">
        <v>2</v>
      </c>
      <c r="B277">
        <v>100</v>
      </c>
      <c r="C277">
        <v>70</v>
      </c>
      <c r="D277">
        <v>52</v>
      </c>
      <c r="E277">
        <v>57</v>
      </c>
      <c r="F277">
        <v>40</v>
      </c>
      <c r="G277">
        <v>1</v>
      </c>
      <c r="H277">
        <v>25</v>
      </c>
      <c r="I277">
        <v>0</v>
      </c>
    </row>
    <row r="278" spans="1:9" x14ac:dyDescent="0.25">
      <c r="A278">
        <v>7</v>
      </c>
      <c r="B278">
        <v>106</v>
      </c>
      <c r="C278">
        <v>60</v>
      </c>
      <c r="D278">
        <v>24</v>
      </c>
      <c r="E278">
        <v>80</v>
      </c>
      <c r="F278">
        <v>26</v>
      </c>
      <c r="G278">
        <v>1</v>
      </c>
      <c r="H278">
        <v>29</v>
      </c>
      <c r="I278">
        <v>1</v>
      </c>
    </row>
    <row r="279" spans="1:9" x14ac:dyDescent="0.25">
      <c r="A279">
        <v>4</v>
      </c>
      <c r="B279">
        <v>104</v>
      </c>
      <c r="C279">
        <v>64</v>
      </c>
      <c r="D279">
        <v>23</v>
      </c>
      <c r="E279">
        <v>116</v>
      </c>
      <c r="F279">
        <v>28</v>
      </c>
      <c r="G279">
        <v>1</v>
      </c>
      <c r="H279">
        <v>23</v>
      </c>
      <c r="I279">
        <v>0</v>
      </c>
    </row>
    <row r="280" spans="1:9" x14ac:dyDescent="0.25">
      <c r="A280">
        <v>5</v>
      </c>
      <c r="B280">
        <v>114</v>
      </c>
      <c r="C280">
        <v>74</v>
      </c>
      <c r="D280">
        <v>21</v>
      </c>
      <c r="E280">
        <v>80</v>
      </c>
      <c r="F280">
        <v>25</v>
      </c>
      <c r="G280">
        <v>1</v>
      </c>
      <c r="H280">
        <v>57</v>
      </c>
      <c r="I280">
        <v>0</v>
      </c>
    </row>
    <row r="281" spans="1:9" x14ac:dyDescent="0.25">
      <c r="A281">
        <v>2</v>
      </c>
      <c r="B281">
        <v>108</v>
      </c>
      <c r="C281">
        <v>62</v>
      </c>
      <c r="D281">
        <v>10</v>
      </c>
      <c r="E281">
        <v>278</v>
      </c>
      <c r="F281">
        <v>25</v>
      </c>
      <c r="G281">
        <v>1</v>
      </c>
      <c r="H281">
        <v>22</v>
      </c>
      <c r="I281">
        <v>0</v>
      </c>
    </row>
    <row r="282" spans="1:9" x14ac:dyDescent="0.25">
      <c r="A282">
        <v>4</v>
      </c>
      <c r="B282">
        <v>146</v>
      </c>
      <c r="C282">
        <v>70</v>
      </c>
      <c r="D282">
        <v>21</v>
      </c>
      <c r="E282">
        <v>80</v>
      </c>
      <c r="F282">
        <v>38</v>
      </c>
      <c r="G282">
        <v>1</v>
      </c>
      <c r="H282">
        <v>28</v>
      </c>
      <c r="I282">
        <v>1</v>
      </c>
    </row>
    <row r="283" spans="1:9" x14ac:dyDescent="0.25">
      <c r="A283">
        <v>10</v>
      </c>
      <c r="B283">
        <v>129</v>
      </c>
      <c r="C283">
        <v>76</v>
      </c>
      <c r="D283">
        <v>28</v>
      </c>
      <c r="E283">
        <v>122</v>
      </c>
      <c r="F283">
        <v>36</v>
      </c>
      <c r="G283">
        <v>1</v>
      </c>
      <c r="H283">
        <v>39</v>
      </c>
      <c r="I283">
        <v>0</v>
      </c>
    </row>
    <row r="284" spans="1:9" x14ac:dyDescent="0.25">
      <c r="A284">
        <v>7</v>
      </c>
      <c r="B284">
        <v>133</v>
      </c>
      <c r="C284">
        <v>88</v>
      </c>
      <c r="D284">
        <v>15</v>
      </c>
      <c r="E284">
        <v>155</v>
      </c>
      <c r="F284">
        <v>32</v>
      </c>
      <c r="G284">
        <v>1</v>
      </c>
      <c r="H284">
        <v>37</v>
      </c>
      <c r="I284">
        <v>0</v>
      </c>
    </row>
    <row r="285" spans="1:9" x14ac:dyDescent="0.25">
      <c r="A285">
        <v>7</v>
      </c>
      <c r="B285">
        <v>161</v>
      </c>
      <c r="C285">
        <v>86</v>
      </c>
      <c r="D285">
        <v>21</v>
      </c>
      <c r="E285">
        <v>80</v>
      </c>
      <c r="F285">
        <v>30</v>
      </c>
      <c r="G285">
        <v>1</v>
      </c>
      <c r="H285">
        <v>47</v>
      </c>
      <c r="I285">
        <v>1</v>
      </c>
    </row>
    <row r="286" spans="1:9" x14ac:dyDescent="0.25">
      <c r="A286">
        <v>2</v>
      </c>
      <c r="B286">
        <v>108</v>
      </c>
      <c r="C286">
        <v>80</v>
      </c>
      <c r="D286">
        <v>21</v>
      </c>
      <c r="E286">
        <v>80</v>
      </c>
      <c r="F286">
        <v>27</v>
      </c>
      <c r="G286">
        <v>1</v>
      </c>
      <c r="H286">
        <v>52</v>
      </c>
      <c r="I286">
        <v>1</v>
      </c>
    </row>
    <row r="287" spans="1:9" x14ac:dyDescent="0.25">
      <c r="A287">
        <v>7</v>
      </c>
      <c r="B287">
        <v>136</v>
      </c>
      <c r="C287">
        <v>74</v>
      </c>
      <c r="D287">
        <v>26</v>
      </c>
      <c r="E287">
        <v>135</v>
      </c>
      <c r="F287">
        <v>26</v>
      </c>
      <c r="G287">
        <v>1</v>
      </c>
      <c r="H287">
        <v>51</v>
      </c>
      <c r="I287">
        <v>0</v>
      </c>
    </row>
    <row r="288" spans="1:9" x14ac:dyDescent="0.25">
      <c r="A288">
        <v>5</v>
      </c>
      <c r="B288">
        <v>155</v>
      </c>
      <c r="C288">
        <v>84</v>
      </c>
      <c r="D288">
        <v>44</v>
      </c>
      <c r="E288">
        <v>545</v>
      </c>
      <c r="F288">
        <v>39</v>
      </c>
      <c r="G288">
        <v>1</v>
      </c>
      <c r="H288">
        <v>34</v>
      </c>
      <c r="I288">
        <v>0</v>
      </c>
    </row>
    <row r="289" spans="1:9" x14ac:dyDescent="0.25">
      <c r="A289">
        <v>1</v>
      </c>
      <c r="B289">
        <v>119</v>
      </c>
      <c r="C289">
        <v>86</v>
      </c>
      <c r="D289">
        <v>39</v>
      </c>
      <c r="E289">
        <v>220</v>
      </c>
      <c r="F289">
        <v>46</v>
      </c>
      <c r="G289">
        <v>1</v>
      </c>
      <c r="H289">
        <v>29</v>
      </c>
      <c r="I289">
        <v>1</v>
      </c>
    </row>
    <row r="290" spans="1:9" x14ac:dyDescent="0.25">
      <c r="A290">
        <v>4</v>
      </c>
      <c r="B290">
        <v>96</v>
      </c>
      <c r="C290">
        <v>56</v>
      </c>
      <c r="D290">
        <v>17</v>
      </c>
      <c r="E290">
        <v>49</v>
      </c>
      <c r="F290">
        <v>21</v>
      </c>
      <c r="G290">
        <v>1</v>
      </c>
      <c r="H290">
        <v>26</v>
      </c>
      <c r="I290">
        <v>0</v>
      </c>
    </row>
    <row r="291" spans="1:9" x14ac:dyDescent="0.25">
      <c r="A291">
        <v>5</v>
      </c>
      <c r="B291">
        <v>108</v>
      </c>
      <c r="C291">
        <v>72</v>
      </c>
      <c r="D291">
        <v>43</v>
      </c>
      <c r="E291">
        <v>75</v>
      </c>
      <c r="F291">
        <v>36</v>
      </c>
      <c r="G291">
        <v>1</v>
      </c>
      <c r="H291">
        <v>33</v>
      </c>
      <c r="I291">
        <v>0</v>
      </c>
    </row>
    <row r="292" spans="1:9" x14ac:dyDescent="0.25">
      <c r="A292">
        <v>4</v>
      </c>
      <c r="B292">
        <v>78</v>
      </c>
      <c r="C292">
        <v>88</v>
      </c>
      <c r="D292">
        <v>29</v>
      </c>
      <c r="E292">
        <v>40</v>
      </c>
      <c r="F292">
        <v>37</v>
      </c>
      <c r="G292">
        <v>1</v>
      </c>
      <c r="H292">
        <v>21</v>
      </c>
      <c r="I292">
        <v>0</v>
      </c>
    </row>
    <row r="293" spans="1:9" x14ac:dyDescent="0.25">
      <c r="A293">
        <v>4</v>
      </c>
      <c r="B293">
        <v>107</v>
      </c>
      <c r="C293">
        <v>62</v>
      </c>
      <c r="D293">
        <v>30</v>
      </c>
      <c r="E293">
        <v>74</v>
      </c>
      <c r="F293">
        <v>37</v>
      </c>
      <c r="G293">
        <v>1</v>
      </c>
      <c r="H293">
        <v>25</v>
      </c>
      <c r="I293">
        <v>1</v>
      </c>
    </row>
    <row r="294" spans="1:9" x14ac:dyDescent="0.25">
      <c r="A294">
        <v>2</v>
      </c>
      <c r="B294">
        <v>128</v>
      </c>
      <c r="C294">
        <v>78</v>
      </c>
      <c r="D294">
        <v>37</v>
      </c>
      <c r="E294">
        <v>182</v>
      </c>
      <c r="F294">
        <v>43</v>
      </c>
      <c r="G294">
        <v>1</v>
      </c>
      <c r="H294">
        <v>31</v>
      </c>
      <c r="I294">
        <v>1</v>
      </c>
    </row>
    <row r="295" spans="1:9" x14ac:dyDescent="0.25">
      <c r="A295">
        <v>1</v>
      </c>
      <c r="B295">
        <v>128</v>
      </c>
      <c r="C295">
        <v>48</v>
      </c>
      <c r="D295">
        <v>45</v>
      </c>
      <c r="E295">
        <v>194</v>
      </c>
      <c r="F295">
        <v>40</v>
      </c>
      <c r="G295">
        <v>1</v>
      </c>
      <c r="H295">
        <v>24</v>
      </c>
      <c r="I295">
        <v>1</v>
      </c>
    </row>
    <row r="296" spans="1:9" x14ac:dyDescent="0.25">
      <c r="A296">
        <v>4</v>
      </c>
      <c r="B296">
        <v>161</v>
      </c>
      <c r="C296">
        <v>50</v>
      </c>
      <c r="D296">
        <v>21</v>
      </c>
      <c r="E296">
        <v>80</v>
      </c>
      <c r="F296">
        <v>22</v>
      </c>
      <c r="G296">
        <v>1</v>
      </c>
      <c r="H296">
        <v>65</v>
      </c>
      <c r="I296">
        <v>0</v>
      </c>
    </row>
    <row r="297" spans="1:9" x14ac:dyDescent="0.25">
      <c r="A297">
        <v>6</v>
      </c>
      <c r="B297">
        <v>151</v>
      </c>
      <c r="C297">
        <v>62</v>
      </c>
      <c r="D297">
        <v>31</v>
      </c>
      <c r="E297">
        <v>120</v>
      </c>
      <c r="F297">
        <v>36</v>
      </c>
      <c r="G297">
        <v>1</v>
      </c>
      <c r="H297">
        <v>28</v>
      </c>
      <c r="I297">
        <v>0</v>
      </c>
    </row>
    <row r="298" spans="1:9" x14ac:dyDescent="0.25">
      <c r="A298">
        <v>2</v>
      </c>
      <c r="B298">
        <v>146</v>
      </c>
      <c r="C298">
        <v>70</v>
      </c>
      <c r="D298">
        <v>38</v>
      </c>
      <c r="E298">
        <v>360</v>
      </c>
      <c r="F298">
        <v>28</v>
      </c>
      <c r="G298">
        <v>1</v>
      </c>
      <c r="H298">
        <v>29</v>
      </c>
      <c r="I298">
        <v>1</v>
      </c>
    </row>
    <row r="299" spans="1:9" x14ac:dyDescent="0.25">
      <c r="A299">
        <v>4</v>
      </c>
      <c r="B299">
        <v>126</v>
      </c>
      <c r="C299">
        <v>84</v>
      </c>
      <c r="D299">
        <v>29</v>
      </c>
      <c r="E299">
        <v>215</v>
      </c>
      <c r="F299">
        <v>31</v>
      </c>
      <c r="G299">
        <v>1</v>
      </c>
      <c r="H299">
        <v>24</v>
      </c>
      <c r="I299">
        <v>0</v>
      </c>
    </row>
    <row r="300" spans="1:9" x14ac:dyDescent="0.25">
      <c r="A300">
        <v>14</v>
      </c>
      <c r="B300">
        <v>100</v>
      </c>
      <c r="C300">
        <v>78</v>
      </c>
      <c r="D300">
        <v>25</v>
      </c>
      <c r="E300">
        <v>184</v>
      </c>
      <c r="F300">
        <v>37</v>
      </c>
      <c r="G300">
        <v>1</v>
      </c>
      <c r="H300">
        <v>46</v>
      </c>
      <c r="I300">
        <v>1</v>
      </c>
    </row>
    <row r="301" spans="1:9" x14ac:dyDescent="0.25">
      <c r="A301">
        <v>8</v>
      </c>
      <c r="B301">
        <v>112</v>
      </c>
      <c r="C301">
        <v>72</v>
      </c>
      <c r="D301">
        <v>21</v>
      </c>
      <c r="E301">
        <v>80</v>
      </c>
      <c r="F301">
        <v>24</v>
      </c>
      <c r="G301">
        <v>1</v>
      </c>
      <c r="H301">
        <v>58</v>
      </c>
      <c r="I301">
        <v>0</v>
      </c>
    </row>
    <row r="302" spans="1:9" x14ac:dyDescent="0.25">
      <c r="A302">
        <v>4</v>
      </c>
      <c r="B302">
        <v>167</v>
      </c>
      <c r="C302">
        <v>69</v>
      </c>
      <c r="D302">
        <v>21</v>
      </c>
      <c r="E302">
        <v>80</v>
      </c>
      <c r="F302">
        <v>32</v>
      </c>
      <c r="G302">
        <v>1</v>
      </c>
      <c r="H302">
        <v>30</v>
      </c>
      <c r="I302">
        <v>1</v>
      </c>
    </row>
    <row r="303" spans="1:9" x14ac:dyDescent="0.25">
      <c r="A303">
        <v>2</v>
      </c>
      <c r="B303">
        <v>144</v>
      </c>
      <c r="C303">
        <v>58</v>
      </c>
      <c r="D303">
        <v>33</v>
      </c>
      <c r="E303">
        <v>135</v>
      </c>
      <c r="F303">
        <v>32</v>
      </c>
      <c r="G303">
        <v>1</v>
      </c>
      <c r="H303">
        <v>25</v>
      </c>
      <c r="I303">
        <v>1</v>
      </c>
    </row>
    <row r="304" spans="1:9" x14ac:dyDescent="0.25">
      <c r="A304">
        <v>5</v>
      </c>
      <c r="B304">
        <v>77</v>
      </c>
      <c r="C304">
        <v>82</v>
      </c>
      <c r="D304">
        <v>41</v>
      </c>
      <c r="E304">
        <v>42</v>
      </c>
      <c r="F304">
        <v>36</v>
      </c>
      <c r="G304">
        <v>1</v>
      </c>
      <c r="H304">
        <v>35</v>
      </c>
      <c r="I304">
        <v>0</v>
      </c>
    </row>
    <row r="305" spans="1:9" x14ac:dyDescent="0.25">
      <c r="A305">
        <v>5</v>
      </c>
      <c r="B305">
        <v>115</v>
      </c>
      <c r="C305">
        <v>98</v>
      </c>
      <c r="D305">
        <v>21</v>
      </c>
      <c r="E305">
        <v>80</v>
      </c>
      <c r="F305">
        <v>53</v>
      </c>
      <c r="G305">
        <v>1</v>
      </c>
      <c r="H305">
        <v>28</v>
      </c>
      <c r="I305">
        <v>1</v>
      </c>
    </row>
    <row r="306" spans="1:9" x14ac:dyDescent="0.25">
      <c r="A306">
        <v>3</v>
      </c>
      <c r="B306">
        <v>150</v>
      </c>
      <c r="C306">
        <v>76</v>
      </c>
      <c r="D306">
        <v>21</v>
      </c>
      <c r="E306">
        <v>80</v>
      </c>
      <c r="F306">
        <v>21</v>
      </c>
      <c r="G306">
        <v>1</v>
      </c>
      <c r="H306">
        <v>37</v>
      </c>
      <c r="I306">
        <v>0</v>
      </c>
    </row>
    <row r="307" spans="1:9" x14ac:dyDescent="0.25">
      <c r="A307">
        <v>2</v>
      </c>
      <c r="B307">
        <v>120</v>
      </c>
      <c r="C307">
        <v>76</v>
      </c>
      <c r="D307">
        <v>37</v>
      </c>
      <c r="E307">
        <v>105</v>
      </c>
      <c r="F307">
        <v>40</v>
      </c>
      <c r="G307">
        <v>1</v>
      </c>
      <c r="H307">
        <v>29</v>
      </c>
      <c r="I307">
        <v>0</v>
      </c>
    </row>
    <row r="308" spans="1:9" x14ac:dyDescent="0.25">
      <c r="A308">
        <v>10</v>
      </c>
      <c r="B308">
        <v>161</v>
      </c>
      <c r="C308">
        <v>68</v>
      </c>
      <c r="D308">
        <v>23</v>
      </c>
      <c r="E308">
        <v>132</v>
      </c>
      <c r="F308">
        <v>26</v>
      </c>
      <c r="G308">
        <v>1</v>
      </c>
      <c r="H308">
        <v>47</v>
      </c>
      <c r="I308">
        <v>1</v>
      </c>
    </row>
    <row r="309" spans="1:9" x14ac:dyDescent="0.25">
      <c r="A309">
        <v>4</v>
      </c>
      <c r="B309">
        <v>137</v>
      </c>
      <c r="C309">
        <v>68</v>
      </c>
      <c r="D309">
        <v>14</v>
      </c>
      <c r="E309">
        <v>148</v>
      </c>
      <c r="F309">
        <v>25</v>
      </c>
      <c r="G309">
        <v>1</v>
      </c>
      <c r="H309">
        <v>21</v>
      </c>
      <c r="I309">
        <v>0</v>
      </c>
    </row>
    <row r="310" spans="1:9" x14ac:dyDescent="0.25">
      <c r="A310">
        <v>4</v>
      </c>
      <c r="B310">
        <v>128</v>
      </c>
      <c r="C310">
        <v>68</v>
      </c>
      <c r="D310">
        <v>19</v>
      </c>
      <c r="E310">
        <v>180</v>
      </c>
      <c r="F310">
        <v>30</v>
      </c>
      <c r="G310">
        <v>1</v>
      </c>
      <c r="H310">
        <v>25</v>
      </c>
      <c r="I310">
        <v>1</v>
      </c>
    </row>
    <row r="311" spans="1:9" x14ac:dyDescent="0.25">
      <c r="A311">
        <v>2</v>
      </c>
      <c r="B311">
        <v>124</v>
      </c>
      <c r="C311">
        <v>68</v>
      </c>
      <c r="D311">
        <v>28</v>
      </c>
      <c r="E311">
        <v>205</v>
      </c>
      <c r="F311">
        <v>33</v>
      </c>
      <c r="G311">
        <v>1</v>
      </c>
      <c r="H311">
        <v>30</v>
      </c>
      <c r="I311">
        <v>1</v>
      </c>
    </row>
    <row r="312" spans="1:9" x14ac:dyDescent="0.25">
      <c r="A312">
        <v>6</v>
      </c>
      <c r="B312">
        <v>80</v>
      </c>
      <c r="C312">
        <v>66</v>
      </c>
      <c r="D312">
        <v>30</v>
      </c>
      <c r="E312">
        <v>80</v>
      </c>
      <c r="F312">
        <v>26</v>
      </c>
      <c r="G312">
        <v>1</v>
      </c>
      <c r="H312">
        <v>41</v>
      </c>
      <c r="I312">
        <v>0</v>
      </c>
    </row>
    <row r="313" spans="1:9" x14ac:dyDescent="0.25">
      <c r="A313">
        <v>4</v>
      </c>
      <c r="B313">
        <v>106</v>
      </c>
      <c r="C313">
        <v>70</v>
      </c>
      <c r="D313">
        <v>37</v>
      </c>
      <c r="E313">
        <v>148</v>
      </c>
      <c r="F313">
        <v>39</v>
      </c>
      <c r="G313">
        <v>1</v>
      </c>
      <c r="H313">
        <v>22</v>
      </c>
      <c r="I313">
        <v>0</v>
      </c>
    </row>
    <row r="314" spans="1:9" x14ac:dyDescent="0.25">
      <c r="A314">
        <v>2</v>
      </c>
      <c r="B314">
        <v>155</v>
      </c>
      <c r="C314">
        <v>74</v>
      </c>
      <c r="D314">
        <v>17</v>
      </c>
      <c r="E314">
        <v>96</v>
      </c>
      <c r="F314">
        <v>27</v>
      </c>
      <c r="G314">
        <v>1</v>
      </c>
      <c r="H314">
        <v>27</v>
      </c>
      <c r="I314">
        <v>1</v>
      </c>
    </row>
    <row r="315" spans="1:9" x14ac:dyDescent="0.25">
      <c r="A315">
        <v>3</v>
      </c>
      <c r="B315">
        <v>113</v>
      </c>
      <c r="C315">
        <v>50</v>
      </c>
      <c r="D315">
        <v>10</v>
      </c>
      <c r="E315">
        <v>85</v>
      </c>
      <c r="F315">
        <v>30</v>
      </c>
      <c r="G315">
        <v>1</v>
      </c>
      <c r="H315">
        <v>25</v>
      </c>
      <c r="I315">
        <v>0</v>
      </c>
    </row>
    <row r="316" spans="1:9" x14ac:dyDescent="0.25">
      <c r="A316">
        <v>7</v>
      </c>
      <c r="B316">
        <v>109</v>
      </c>
      <c r="C316">
        <v>80</v>
      </c>
      <c r="D316">
        <v>31</v>
      </c>
      <c r="E316">
        <v>80</v>
      </c>
      <c r="F316">
        <v>36</v>
      </c>
      <c r="G316">
        <v>1</v>
      </c>
      <c r="H316">
        <v>43</v>
      </c>
      <c r="I316">
        <v>1</v>
      </c>
    </row>
    <row r="317" spans="1:9" x14ac:dyDescent="0.25">
      <c r="A317">
        <v>2</v>
      </c>
      <c r="B317">
        <v>112</v>
      </c>
      <c r="C317">
        <v>68</v>
      </c>
      <c r="D317">
        <v>22</v>
      </c>
      <c r="E317">
        <v>94</v>
      </c>
      <c r="F317">
        <v>34</v>
      </c>
      <c r="G317">
        <v>1</v>
      </c>
      <c r="H317">
        <v>26</v>
      </c>
      <c r="I317">
        <v>0</v>
      </c>
    </row>
    <row r="318" spans="1:9" x14ac:dyDescent="0.25">
      <c r="A318">
        <v>3</v>
      </c>
      <c r="B318">
        <v>99</v>
      </c>
      <c r="C318">
        <v>80</v>
      </c>
      <c r="D318">
        <v>11</v>
      </c>
      <c r="E318">
        <v>64</v>
      </c>
      <c r="F318">
        <v>19</v>
      </c>
      <c r="G318">
        <v>1</v>
      </c>
      <c r="H318">
        <v>30</v>
      </c>
      <c r="I318">
        <v>0</v>
      </c>
    </row>
    <row r="319" spans="1:9" x14ac:dyDescent="0.25">
      <c r="A319">
        <v>3</v>
      </c>
      <c r="B319">
        <v>182</v>
      </c>
      <c r="C319">
        <v>74</v>
      </c>
      <c r="D319">
        <v>21</v>
      </c>
      <c r="E319">
        <v>80</v>
      </c>
      <c r="F319">
        <v>30</v>
      </c>
      <c r="G319">
        <v>1</v>
      </c>
      <c r="H319">
        <v>29</v>
      </c>
      <c r="I319">
        <v>1</v>
      </c>
    </row>
    <row r="320" spans="1:9" x14ac:dyDescent="0.25">
      <c r="A320">
        <v>3</v>
      </c>
      <c r="B320">
        <v>115</v>
      </c>
      <c r="C320">
        <v>66</v>
      </c>
      <c r="D320">
        <v>39</v>
      </c>
      <c r="E320">
        <v>140</v>
      </c>
      <c r="F320">
        <v>38</v>
      </c>
      <c r="G320">
        <v>1</v>
      </c>
      <c r="H320">
        <v>28</v>
      </c>
      <c r="I320">
        <v>0</v>
      </c>
    </row>
    <row r="321" spans="1:9" x14ac:dyDescent="0.25">
      <c r="A321">
        <v>6</v>
      </c>
      <c r="B321">
        <v>194</v>
      </c>
      <c r="C321">
        <v>78</v>
      </c>
      <c r="D321">
        <v>21</v>
      </c>
      <c r="E321">
        <v>80</v>
      </c>
      <c r="F321">
        <v>24</v>
      </c>
      <c r="G321">
        <v>1</v>
      </c>
      <c r="H321">
        <v>59</v>
      </c>
      <c r="I321">
        <v>1</v>
      </c>
    </row>
    <row r="322" spans="1:9" x14ac:dyDescent="0.25">
      <c r="A322">
        <v>4</v>
      </c>
      <c r="B322">
        <v>129</v>
      </c>
      <c r="C322">
        <v>60</v>
      </c>
      <c r="D322">
        <v>12</v>
      </c>
      <c r="E322">
        <v>231</v>
      </c>
      <c r="F322">
        <v>28</v>
      </c>
      <c r="G322">
        <v>1</v>
      </c>
      <c r="H322">
        <v>31</v>
      </c>
      <c r="I322">
        <v>0</v>
      </c>
    </row>
    <row r="323" spans="1:9" x14ac:dyDescent="0.25">
      <c r="A323">
        <v>3</v>
      </c>
      <c r="B323">
        <v>112</v>
      </c>
      <c r="C323">
        <v>74</v>
      </c>
      <c r="D323">
        <v>30</v>
      </c>
      <c r="E323">
        <v>80</v>
      </c>
      <c r="F323">
        <v>32</v>
      </c>
      <c r="G323">
        <v>1</v>
      </c>
      <c r="H323">
        <v>25</v>
      </c>
      <c r="I323">
        <v>1</v>
      </c>
    </row>
    <row r="324" spans="1:9" x14ac:dyDescent="0.25">
      <c r="A324">
        <v>4</v>
      </c>
      <c r="B324">
        <v>124</v>
      </c>
      <c r="C324">
        <v>70</v>
      </c>
      <c r="D324">
        <v>20</v>
      </c>
      <c r="E324">
        <v>80</v>
      </c>
      <c r="F324">
        <v>27</v>
      </c>
      <c r="G324">
        <v>1</v>
      </c>
      <c r="H324">
        <v>36</v>
      </c>
      <c r="I324">
        <v>1</v>
      </c>
    </row>
    <row r="325" spans="1:9" x14ac:dyDescent="0.25">
      <c r="A325">
        <v>13</v>
      </c>
      <c r="B325">
        <v>152</v>
      </c>
      <c r="C325">
        <v>90</v>
      </c>
      <c r="D325">
        <v>33</v>
      </c>
      <c r="E325">
        <v>29</v>
      </c>
      <c r="F325">
        <v>27</v>
      </c>
      <c r="G325">
        <v>1</v>
      </c>
      <c r="H325">
        <v>43</v>
      </c>
      <c r="I325">
        <v>1</v>
      </c>
    </row>
    <row r="326" spans="1:9" x14ac:dyDescent="0.25">
      <c r="A326">
        <v>2</v>
      </c>
      <c r="B326">
        <v>112</v>
      </c>
      <c r="C326">
        <v>75</v>
      </c>
      <c r="D326">
        <v>32</v>
      </c>
      <c r="E326">
        <v>80</v>
      </c>
      <c r="F326">
        <v>36</v>
      </c>
      <c r="G326">
        <v>1</v>
      </c>
      <c r="H326">
        <v>21</v>
      </c>
      <c r="I326">
        <v>0</v>
      </c>
    </row>
    <row r="327" spans="1:9" x14ac:dyDescent="0.25">
      <c r="A327">
        <v>1</v>
      </c>
      <c r="B327">
        <v>157</v>
      </c>
      <c r="C327">
        <v>72</v>
      </c>
      <c r="D327">
        <v>21</v>
      </c>
      <c r="E327">
        <v>168</v>
      </c>
      <c r="F327">
        <v>26</v>
      </c>
      <c r="G327">
        <v>1</v>
      </c>
      <c r="H327">
        <v>24</v>
      </c>
      <c r="I327">
        <v>0</v>
      </c>
    </row>
    <row r="328" spans="1:9" x14ac:dyDescent="0.25">
      <c r="A328">
        <v>1</v>
      </c>
      <c r="B328">
        <v>122</v>
      </c>
      <c r="C328">
        <v>64</v>
      </c>
      <c r="D328">
        <v>32</v>
      </c>
      <c r="E328">
        <v>156</v>
      </c>
      <c r="F328">
        <v>35</v>
      </c>
      <c r="G328">
        <v>1</v>
      </c>
      <c r="H328">
        <v>30</v>
      </c>
      <c r="I328">
        <v>1</v>
      </c>
    </row>
    <row r="329" spans="1:9" x14ac:dyDescent="0.25">
      <c r="A329">
        <v>10</v>
      </c>
      <c r="B329">
        <v>179</v>
      </c>
      <c r="C329">
        <v>70</v>
      </c>
      <c r="D329">
        <v>21</v>
      </c>
      <c r="E329">
        <v>80</v>
      </c>
      <c r="F329">
        <v>35</v>
      </c>
      <c r="G329">
        <v>1</v>
      </c>
      <c r="H329">
        <v>37</v>
      </c>
      <c r="I329">
        <v>0</v>
      </c>
    </row>
    <row r="330" spans="1:9" x14ac:dyDescent="0.25">
      <c r="A330">
        <v>2</v>
      </c>
      <c r="B330">
        <v>102</v>
      </c>
      <c r="C330">
        <v>86</v>
      </c>
      <c r="D330">
        <v>36</v>
      </c>
      <c r="E330">
        <v>120</v>
      </c>
      <c r="F330">
        <v>46</v>
      </c>
      <c r="G330">
        <v>1</v>
      </c>
      <c r="H330">
        <v>23</v>
      </c>
      <c r="I330">
        <v>1</v>
      </c>
    </row>
    <row r="331" spans="1:9" x14ac:dyDescent="0.25">
      <c r="A331">
        <v>6</v>
      </c>
      <c r="B331">
        <v>105</v>
      </c>
      <c r="C331">
        <v>70</v>
      </c>
      <c r="D331">
        <v>32</v>
      </c>
      <c r="E331">
        <v>68</v>
      </c>
      <c r="F331">
        <v>31</v>
      </c>
      <c r="G331">
        <v>1</v>
      </c>
      <c r="H331">
        <v>37</v>
      </c>
      <c r="I331">
        <v>0</v>
      </c>
    </row>
    <row r="332" spans="1:9" x14ac:dyDescent="0.25">
      <c r="A332">
        <v>8</v>
      </c>
      <c r="B332">
        <v>118</v>
      </c>
      <c r="C332">
        <v>72</v>
      </c>
      <c r="D332">
        <v>19</v>
      </c>
      <c r="E332">
        <v>80</v>
      </c>
      <c r="F332">
        <v>23</v>
      </c>
      <c r="G332">
        <v>1</v>
      </c>
      <c r="H332">
        <v>46</v>
      </c>
      <c r="I332">
        <v>0</v>
      </c>
    </row>
    <row r="333" spans="1:9" x14ac:dyDescent="0.25">
      <c r="A333">
        <v>2</v>
      </c>
      <c r="B333">
        <v>87</v>
      </c>
      <c r="C333">
        <v>58</v>
      </c>
      <c r="D333">
        <v>16</v>
      </c>
      <c r="E333">
        <v>52</v>
      </c>
      <c r="F333">
        <v>33</v>
      </c>
      <c r="G333">
        <v>1</v>
      </c>
      <c r="H333">
        <v>25</v>
      </c>
      <c r="I333">
        <v>0</v>
      </c>
    </row>
    <row r="334" spans="1:9" x14ac:dyDescent="0.25">
      <c r="A334">
        <v>1</v>
      </c>
      <c r="B334">
        <v>180</v>
      </c>
      <c r="C334">
        <v>69</v>
      </c>
      <c r="D334">
        <v>21</v>
      </c>
      <c r="E334">
        <v>80</v>
      </c>
      <c r="F334">
        <v>43</v>
      </c>
      <c r="G334">
        <v>1</v>
      </c>
      <c r="H334">
        <v>41</v>
      </c>
      <c r="I334">
        <v>1</v>
      </c>
    </row>
    <row r="335" spans="1:9" x14ac:dyDescent="0.25">
      <c r="A335">
        <v>12</v>
      </c>
      <c r="B335">
        <v>106</v>
      </c>
      <c r="C335">
        <v>80</v>
      </c>
      <c r="D335">
        <v>21</v>
      </c>
      <c r="E335">
        <v>80</v>
      </c>
      <c r="F335">
        <v>24</v>
      </c>
      <c r="G335">
        <v>1</v>
      </c>
      <c r="H335">
        <v>44</v>
      </c>
      <c r="I335">
        <v>0</v>
      </c>
    </row>
    <row r="336" spans="1:9" x14ac:dyDescent="0.25">
      <c r="A336">
        <v>1</v>
      </c>
      <c r="B336">
        <v>95</v>
      </c>
      <c r="C336">
        <v>60</v>
      </c>
      <c r="D336">
        <v>18</v>
      </c>
      <c r="E336">
        <v>58</v>
      </c>
      <c r="F336">
        <v>24</v>
      </c>
      <c r="G336">
        <v>1</v>
      </c>
      <c r="H336">
        <v>22</v>
      </c>
      <c r="I336">
        <v>0</v>
      </c>
    </row>
    <row r="337" spans="1:9" x14ac:dyDescent="0.25">
      <c r="A337">
        <v>4</v>
      </c>
      <c r="B337">
        <v>165</v>
      </c>
      <c r="C337">
        <v>76</v>
      </c>
      <c r="D337">
        <v>43</v>
      </c>
      <c r="E337">
        <v>255</v>
      </c>
      <c r="F337">
        <v>48</v>
      </c>
      <c r="G337">
        <v>1</v>
      </c>
      <c r="H337">
        <v>26</v>
      </c>
      <c r="I337">
        <v>0</v>
      </c>
    </row>
    <row r="338" spans="1:9" x14ac:dyDescent="0.25">
      <c r="A338">
        <v>4</v>
      </c>
      <c r="B338">
        <v>117</v>
      </c>
      <c r="C338">
        <v>69</v>
      </c>
      <c r="D338">
        <v>21</v>
      </c>
      <c r="E338">
        <v>80</v>
      </c>
      <c r="F338">
        <v>34</v>
      </c>
      <c r="G338">
        <v>1</v>
      </c>
      <c r="H338">
        <v>44</v>
      </c>
      <c r="I338">
        <v>0</v>
      </c>
    </row>
    <row r="339" spans="1:9" x14ac:dyDescent="0.25">
      <c r="A339">
        <v>5</v>
      </c>
      <c r="B339">
        <v>115</v>
      </c>
      <c r="C339">
        <v>76</v>
      </c>
      <c r="D339">
        <v>21</v>
      </c>
      <c r="E339">
        <v>80</v>
      </c>
      <c r="F339">
        <v>31</v>
      </c>
      <c r="G339">
        <v>1</v>
      </c>
      <c r="H339">
        <v>44</v>
      </c>
      <c r="I339">
        <v>1</v>
      </c>
    </row>
    <row r="340" spans="1:9" x14ac:dyDescent="0.25">
      <c r="A340">
        <v>9</v>
      </c>
      <c r="B340">
        <v>152</v>
      </c>
      <c r="C340">
        <v>78</v>
      </c>
      <c r="D340">
        <v>34</v>
      </c>
      <c r="E340">
        <v>171</v>
      </c>
      <c r="F340">
        <v>34</v>
      </c>
      <c r="G340">
        <v>1</v>
      </c>
      <c r="H340">
        <v>33</v>
      </c>
      <c r="I340">
        <v>1</v>
      </c>
    </row>
    <row r="341" spans="1:9" x14ac:dyDescent="0.25">
      <c r="A341">
        <v>7</v>
      </c>
      <c r="B341">
        <v>178</v>
      </c>
      <c r="C341">
        <v>84</v>
      </c>
      <c r="D341">
        <v>21</v>
      </c>
      <c r="E341">
        <v>80</v>
      </c>
      <c r="F341">
        <v>40</v>
      </c>
      <c r="G341">
        <v>1</v>
      </c>
      <c r="H341">
        <v>41</v>
      </c>
      <c r="I341">
        <v>1</v>
      </c>
    </row>
    <row r="342" spans="1:9" x14ac:dyDescent="0.25">
      <c r="A342">
        <v>1</v>
      </c>
      <c r="B342">
        <v>130</v>
      </c>
      <c r="C342">
        <v>70</v>
      </c>
      <c r="D342">
        <v>13</v>
      </c>
      <c r="E342">
        <v>105</v>
      </c>
      <c r="F342">
        <v>26</v>
      </c>
      <c r="G342">
        <v>1</v>
      </c>
      <c r="H342">
        <v>22</v>
      </c>
      <c r="I342">
        <v>0</v>
      </c>
    </row>
    <row r="343" spans="1:9" x14ac:dyDescent="0.25">
      <c r="A343">
        <v>1</v>
      </c>
      <c r="B343">
        <v>95</v>
      </c>
      <c r="C343">
        <v>74</v>
      </c>
      <c r="D343">
        <v>21</v>
      </c>
      <c r="E343">
        <v>73</v>
      </c>
      <c r="F343">
        <v>26</v>
      </c>
      <c r="G343">
        <v>1</v>
      </c>
      <c r="H343">
        <v>36</v>
      </c>
      <c r="I343">
        <v>0</v>
      </c>
    </row>
    <row r="344" spans="1:9" x14ac:dyDescent="0.25">
      <c r="A344">
        <v>1</v>
      </c>
      <c r="B344">
        <v>121</v>
      </c>
      <c r="C344">
        <v>68</v>
      </c>
      <c r="D344">
        <v>35</v>
      </c>
      <c r="E344">
        <v>80</v>
      </c>
      <c r="F344">
        <v>32</v>
      </c>
      <c r="G344">
        <v>1</v>
      </c>
      <c r="H344">
        <v>22</v>
      </c>
      <c r="I344">
        <v>0</v>
      </c>
    </row>
    <row r="345" spans="1:9" x14ac:dyDescent="0.25">
      <c r="A345">
        <v>5</v>
      </c>
      <c r="B345">
        <v>122</v>
      </c>
      <c r="C345">
        <v>86</v>
      </c>
      <c r="D345">
        <v>21</v>
      </c>
      <c r="E345">
        <v>80</v>
      </c>
      <c r="F345">
        <v>35</v>
      </c>
      <c r="G345">
        <v>1</v>
      </c>
      <c r="H345">
        <v>33</v>
      </c>
      <c r="I345">
        <v>0</v>
      </c>
    </row>
    <row r="346" spans="1:9" x14ac:dyDescent="0.25">
      <c r="A346">
        <v>8</v>
      </c>
      <c r="B346">
        <v>95</v>
      </c>
      <c r="C346">
        <v>72</v>
      </c>
      <c r="D346">
        <v>21</v>
      </c>
      <c r="E346">
        <v>80</v>
      </c>
      <c r="F346">
        <v>37</v>
      </c>
      <c r="G346">
        <v>1</v>
      </c>
      <c r="H346">
        <v>57</v>
      </c>
      <c r="I346">
        <v>0</v>
      </c>
    </row>
    <row r="347" spans="1:9" x14ac:dyDescent="0.25">
      <c r="A347">
        <v>8</v>
      </c>
      <c r="B347">
        <v>126</v>
      </c>
      <c r="C347">
        <v>88</v>
      </c>
      <c r="D347">
        <v>36</v>
      </c>
      <c r="E347">
        <v>108</v>
      </c>
      <c r="F347">
        <v>38</v>
      </c>
      <c r="G347">
        <v>1</v>
      </c>
      <c r="H347">
        <v>49</v>
      </c>
      <c r="I347">
        <v>0</v>
      </c>
    </row>
    <row r="348" spans="1:9" x14ac:dyDescent="0.25">
      <c r="A348">
        <v>1</v>
      </c>
      <c r="B348">
        <v>139</v>
      </c>
      <c r="C348">
        <v>46</v>
      </c>
      <c r="D348">
        <v>19</v>
      </c>
      <c r="E348">
        <v>83</v>
      </c>
      <c r="F348">
        <v>29</v>
      </c>
      <c r="G348">
        <v>1</v>
      </c>
      <c r="H348">
        <v>22</v>
      </c>
      <c r="I348">
        <v>0</v>
      </c>
    </row>
    <row r="349" spans="1:9" x14ac:dyDescent="0.25">
      <c r="A349">
        <v>3</v>
      </c>
      <c r="B349">
        <v>116</v>
      </c>
      <c r="C349">
        <v>69</v>
      </c>
      <c r="D349">
        <v>21</v>
      </c>
      <c r="E349">
        <v>80</v>
      </c>
      <c r="F349">
        <v>24</v>
      </c>
      <c r="G349">
        <v>1</v>
      </c>
      <c r="H349">
        <v>23</v>
      </c>
      <c r="I349">
        <v>0</v>
      </c>
    </row>
    <row r="350" spans="1:9" x14ac:dyDescent="0.25">
      <c r="A350">
        <v>3</v>
      </c>
      <c r="B350">
        <v>99</v>
      </c>
      <c r="C350">
        <v>62</v>
      </c>
      <c r="D350">
        <v>19</v>
      </c>
      <c r="E350">
        <v>74</v>
      </c>
      <c r="F350">
        <v>22</v>
      </c>
      <c r="G350">
        <v>1</v>
      </c>
      <c r="H350">
        <v>26</v>
      </c>
      <c r="I350">
        <v>0</v>
      </c>
    </row>
    <row r="351" spans="1:9" x14ac:dyDescent="0.25">
      <c r="A351">
        <v>5</v>
      </c>
      <c r="B351">
        <v>121</v>
      </c>
      <c r="C351">
        <v>80</v>
      </c>
      <c r="D351">
        <v>32</v>
      </c>
      <c r="E351">
        <v>80</v>
      </c>
      <c r="F351">
        <v>41</v>
      </c>
      <c r="G351">
        <v>1</v>
      </c>
      <c r="H351">
        <v>37</v>
      </c>
      <c r="I351">
        <v>1</v>
      </c>
    </row>
    <row r="352" spans="1:9" x14ac:dyDescent="0.25">
      <c r="A352">
        <v>4</v>
      </c>
      <c r="B352">
        <v>92</v>
      </c>
      <c r="C352">
        <v>80</v>
      </c>
      <c r="D352">
        <v>21</v>
      </c>
      <c r="E352">
        <v>80</v>
      </c>
      <c r="F352">
        <v>42</v>
      </c>
      <c r="G352">
        <v>1</v>
      </c>
      <c r="H352">
        <v>29</v>
      </c>
      <c r="I352">
        <v>0</v>
      </c>
    </row>
    <row r="353" spans="1:9" x14ac:dyDescent="0.25">
      <c r="A353">
        <v>4</v>
      </c>
      <c r="B353">
        <v>137</v>
      </c>
      <c r="C353">
        <v>84</v>
      </c>
      <c r="D353">
        <v>21</v>
      </c>
      <c r="E353">
        <v>80</v>
      </c>
      <c r="F353">
        <v>31</v>
      </c>
      <c r="G353">
        <v>1</v>
      </c>
      <c r="H353">
        <v>30</v>
      </c>
      <c r="I353">
        <v>0</v>
      </c>
    </row>
    <row r="354" spans="1:9" x14ac:dyDescent="0.25">
      <c r="A354">
        <v>3</v>
      </c>
      <c r="B354">
        <v>61</v>
      </c>
      <c r="C354">
        <v>82</v>
      </c>
      <c r="D354">
        <v>28</v>
      </c>
      <c r="E354">
        <v>80</v>
      </c>
      <c r="F354">
        <v>34</v>
      </c>
      <c r="G354">
        <v>1</v>
      </c>
      <c r="H354">
        <v>46</v>
      </c>
      <c r="I354">
        <v>0</v>
      </c>
    </row>
    <row r="355" spans="1:9" x14ac:dyDescent="0.25">
      <c r="A355">
        <v>1</v>
      </c>
      <c r="B355">
        <v>90</v>
      </c>
      <c r="C355">
        <v>62</v>
      </c>
      <c r="D355">
        <v>12</v>
      </c>
      <c r="E355">
        <v>43</v>
      </c>
      <c r="F355">
        <v>27</v>
      </c>
      <c r="G355">
        <v>1</v>
      </c>
      <c r="H355">
        <v>24</v>
      </c>
      <c r="I355">
        <v>0</v>
      </c>
    </row>
    <row r="356" spans="1:9" x14ac:dyDescent="0.25">
      <c r="A356">
        <v>3</v>
      </c>
      <c r="B356">
        <v>90</v>
      </c>
      <c r="C356">
        <v>78</v>
      </c>
      <c r="D356">
        <v>21</v>
      </c>
      <c r="E356">
        <v>80</v>
      </c>
      <c r="F356">
        <v>43</v>
      </c>
      <c r="G356">
        <v>1</v>
      </c>
      <c r="H356">
        <v>21</v>
      </c>
      <c r="I356">
        <v>0</v>
      </c>
    </row>
    <row r="357" spans="1:9" x14ac:dyDescent="0.25">
      <c r="A357">
        <v>9</v>
      </c>
      <c r="B357">
        <v>165</v>
      </c>
      <c r="C357">
        <v>88</v>
      </c>
      <c r="D357">
        <v>21</v>
      </c>
      <c r="E357">
        <v>80</v>
      </c>
      <c r="F357">
        <v>30</v>
      </c>
      <c r="G357">
        <v>1</v>
      </c>
      <c r="H357">
        <v>49</v>
      </c>
      <c r="I357">
        <v>1</v>
      </c>
    </row>
    <row r="358" spans="1:9" x14ac:dyDescent="0.25">
      <c r="A358">
        <v>1</v>
      </c>
      <c r="B358">
        <v>125</v>
      </c>
      <c r="C358">
        <v>50</v>
      </c>
      <c r="D358">
        <v>40</v>
      </c>
      <c r="E358">
        <v>167</v>
      </c>
      <c r="F358">
        <v>33</v>
      </c>
      <c r="G358">
        <v>1</v>
      </c>
      <c r="H358">
        <v>28</v>
      </c>
      <c r="I358">
        <v>1</v>
      </c>
    </row>
    <row r="359" spans="1:9" x14ac:dyDescent="0.25">
      <c r="A359">
        <v>13</v>
      </c>
      <c r="B359">
        <v>129</v>
      </c>
      <c r="C359">
        <v>69</v>
      </c>
      <c r="D359">
        <v>30</v>
      </c>
      <c r="E359">
        <v>80</v>
      </c>
      <c r="F359">
        <v>40</v>
      </c>
      <c r="G359">
        <v>1</v>
      </c>
      <c r="H359">
        <v>44</v>
      </c>
      <c r="I359">
        <v>1</v>
      </c>
    </row>
    <row r="360" spans="1:9" x14ac:dyDescent="0.25">
      <c r="A360">
        <v>12</v>
      </c>
      <c r="B360">
        <v>88</v>
      </c>
      <c r="C360">
        <v>74</v>
      </c>
      <c r="D360">
        <v>40</v>
      </c>
      <c r="E360">
        <v>54</v>
      </c>
      <c r="F360">
        <v>35</v>
      </c>
      <c r="G360">
        <v>1</v>
      </c>
      <c r="H360">
        <v>48</v>
      </c>
      <c r="I360">
        <v>0</v>
      </c>
    </row>
    <row r="361" spans="1:9" x14ac:dyDescent="0.25">
      <c r="A361">
        <v>1</v>
      </c>
      <c r="B361">
        <v>196</v>
      </c>
      <c r="C361">
        <v>76</v>
      </c>
      <c r="D361">
        <v>36</v>
      </c>
      <c r="E361">
        <v>249</v>
      </c>
      <c r="F361">
        <v>36</v>
      </c>
      <c r="G361">
        <v>1</v>
      </c>
      <c r="H361">
        <v>29</v>
      </c>
      <c r="I361">
        <v>1</v>
      </c>
    </row>
    <row r="362" spans="1:9" x14ac:dyDescent="0.25">
      <c r="A362">
        <v>5</v>
      </c>
      <c r="B362">
        <v>189</v>
      </c>
      <c r="C362">
        <v>64</v>
      </c>
      <c r="D362">
        <v>33</v>
      </c>
      <c r="E362">
        <v>325</v>
      </c>
      <c r="F362">
        <v>31</v>
      </c>
      <c r="G362">
        <v>1</v>
      </c>
      <c r="H362">
        <v>29</v>
      </c>
      <c r="I362">
        <v>1</v>
      </c>
    </row>
    <row r="363" spans="1:9" x14ac:dyDescent="0.25">
      <c r="A363">
        <v>5</v>
      </c>
      <c r="B363">
        <v>158</v>
      </c>
      <c r="C363">
        <v>70</v>
      </c>
      <c r="D363">
        <v>21</v>
      </c>
      <c r="E363">
        <v>80</v>
      </c>
      <c r="F363">
        <v>30</v>
      </c>
      <c r="G363">
        <v>1</v>
      </c>
      <c r="H363">
        <v>63</v>
      </c>
      <c r="I363">
        <v>0</v>
      </c>
    </row>
    <row r="364" spans="1:9" x14ac:dyDescent="0.25">
      <c r="A364">
        <v>5</v>
      </c>
      <c r="B364">
        <v>103</v>
      </c>
      <c r="C364">
        <v>108</v>
      </c>
      <c r="D364">
        <v>37</v>
      </c>
      <c r="E364">
        <v>80</v>
      </c>
      <c r="F364">
        <v>39</v>
      </c>
      <c r="G364">
        <v>1</v>
      </c>
      <c r="H364">
        <v>65</v>
      </c>
      <c r="I364">
        <v>0</v>
      </c>
    </row>
    <row r="365" spans="1:9" x14ac:dyDescent="0.25">
      <c r="A365">
        <v>4</v>
      </c>
      <c r="B365">
        <v>146</v>
      </c>
      <c r="C365">
        <v>78</v>
      </c>
      <c r="D365">
        <v>21</v>
      </c>
      <c r="E365">
        <v>80</v>
      </c>
      <c r="F365">
        <v>38</v>
      </c>
      <c r="G365">
        <v>1</v>
      </c>
      <c r="H365">
        <v>67</v>
      </c>
      <c r="I365">
        <v>1</v>
      </c>
    </row>
    <row r="366" spans="1:9" x14ac:dyDescent="0.25">
      <c r="A366">
        <v>4</v>
      </c>
      <c r="B366">
        <v>147</v>
      </c>
      <c r="C366">
        <v>74</v>
      </c>
      <c r="D366">
        <v>25</v>
      </c>
      <c r="E366">
        <v>293</v>
      </c>
      <c r="F366">
        <v>35</v>
      </c>
      <c r="G366">
        <v>1</v>
      </c>
      <c r="H366">
        <v>30</v>
      </c>
      <c r="I366">
        <v>0</v>
      </c>
    </row>
    <row r="367" spans="1:9" x14ac:dyDescent="0.25">
      <c r="A367">
        <v>5</v>
      </c>
      <c r="B367">
        <v>99</v>
      </c>
      <c r="C367">
        <v>54</v>
      </c>
      <c r="D367">
        <v>28</v>
      </c>
      <c r="E367">
        <v>83</v>
      </c>
      <c r="F367">
        <v>34</v>
      </c>
      <c r="G367">
        <v>1</v>
      </c>
      <c r="H367">
        <v>30</v>
      </c>
      <c r="I367">
        <v>0</v>
      </c>
    </row>
    <row r="368" spans="1:9" x14ac:dyDescent="0.25">
      <c r="A368">
        <v>6</v>
      </c>
      <c r="B368">
        <v>124</v>
      </c>
      <c r="C368">
        <v>72</v>
      </c>
      <c r="D368">
        <v>21</v>
      </c>
      <c r="E368">
        <v>80</v>
      </c>
      <c r="F368">
        <v>28</v>
      </c>
      <c r="G368">
        <v>1</v>
      </c>
      <c r="H368">
        <v>29</v>
      </c>
      <c r="I368">
        <v>1</v>
      </c>
    </row>
    <row r="369" spans="1:9" x14ac:dyDescent="0.25">
      <c r="A369">
        <v>4</v>
      </c>
      <c r="B369">
        <v>101</v>
      </c>
      <c r="C369">
        <v>64</v>
      </c>
      <c r="D369">
        <v>17</v>
      </c>
      <c r="E369">
        <v>80</v>
      </c>
      <c r="F369">
        <v>21</v>
      </c>
      <c r="G369">
        <v>1</v>
      </c>
      <c r="H369">
        <v>21</v>
      </c>
      <c r="I369">
        <v>0</v>
      </c>
    </row>
    <row r="370" spans="1:9" x14ac:dyDescent="0.25">
      <c r="A370">
        <v>3</v>
      </c>
      <c r="B370">
        <v>81</v>
      </c>
      <c r="C370">
        <v>86</v>
      </c>
      <c r="D370">
        <v>16</v>
      </c>
      <c r="E370">
        <v>66</v>
      </c>
      <c r="F370">
        <v>28</v>
      </c>
      <c r="G370">
        <v>1</v>
      </c>
      <c r="H370">
        <v>22</v>
      </c>
      <c r="I370">
        <v>0</v>
      </c>
    </row>
    <row r="371" spans="1:9" x14ac:dyDescent="0.25">
      <c r="A371">
        <v>1</v>
      </c>
      <c r="B371">
        <v>133</v>
      </c>
      <c r="C371">
        <v>102</v>
      </c>
      <c r="D371">
        <v>28</v>
      </c>
      <c r="E371">
        <v>140</v>
      </c>
      <c r="F371">
        <v>33</v>
      </c>
      <c r="G371">
        <v>1</v>
      </c>
      <c r="H371">
        <v>45</v>
      </c>
      <c r="I371">
        <v>1</v>
      </c>
    </row>
    <row r="372" spans="1:9" x14ac:dyDescent="0.25">
      <c r="A372">
        <v>3</v>
      </c>
      <c r="B372">
        <v>173</v>
      </c>
      <c r="C372">
        <v>82</v>
      </c>
      <c r="D372">
        <v>48</v>
      </c>
      <c r="E372">
        <v>465</v>
      </c>
      <c r="F372">
        <v>38</v>
      </c>
      <c r="G372">
        <v>1</v>
      </c>
      <c r="H372">
        <v>25</v>
      </c>
      <c r="I372">
        <v>1</v>
      </c>
    </row>
    <row r="373" spans="1:9" x14ac:dyDescent="0.25">
      <c r="A373">
        <v>4</v>
      </c>
      <c r="B373">
        <v>118</v>
      </c>
      <c r="C373">
        <v>64</v>
      </c>
      <c r="D373">
        <v>23</v>
      </c>
      <c r="E373">
        <v>89</v>
      </c>
      <c r="F373">
        <v>32</v>
      </c>
      <c r="G373">
        <v>1</v>
      </c>
      <c r="H373">
        <v>21</v>
      </c>
      <c r="I373">
        <v>0</v>
      </c>
    </row>
    <row r="374" spans="1:9" x14ac:dyDescent="0.25">
      <c r="A374">
        <v>4</v>
      </c>
      <c r="B374">
        <v>84</v>
      </c>
      <c r="C374">
        <v>64</v>
      </c>
      <c r="D374">
        <v>22</v>
      </c>
      <c r="E374">
        <v>66</v>
      </c>
      <c r="F374">
        <v>36</v>
      </c>
      <c r="G374">
        <v>1</v>
      </c>
      <c r="H374">
        <v>21</v>
      </c>
      <c r="I374">
        <v>0</v>
      </c>
    </row>
    <row r="375" spans="1:9" x14ac:dyDescent="0.25">
      <c r="A375">
        <v>2</v>
      </c>
      <c r="B375">
        <v>105</v>
      </c>
      <c r="C375">
        <v>58</v>
      </c>
      <c r="D375">
        <v>40</v>
      </c>
      <c r="E375">
        <v>94</v>
      </c>
      <c r="F375">
        <v>35</v>
      </c>
      <c r="G375">
        <v>1</v>
      </c>
      <c r="H375">
        <v>25</v>
      </c>
      <c r="I375">
        <v>0</v>
      </c>
    </row>
    <row r="376" spans="1:9" x14ac:dyDescent="0.25">
      <c r="A376">
        <v>2</v>
      </c>
      <c r="B376">
        <v>122</v>
      </c>
      <c r="C376">
        <v>52</v>
      </c>
      <c r="D376">
        <v>43</v>
      </c>
      <c r="E376">
        <v>158</v>
      </c>
      <c r="F376">
        <v>36</v>
      </c>
      <c r="G376">
        <v>1</v>
      </c>
      <c r="H376">
        <v>28</v>
      </c>
      <c r="I376">
        <v>0</v>
      </c>
    </row>
    <row r="377" spans="1:9" x14ac:dyDescent="0.25">
      <c r="A377">
        <v>12</v>
      </c>
      <c r="B377">
        <v>140</v>
      </c>
      <c r="C377">
        <v>82</v>
      </c>
      <c r="D377">
        <v>43</v>
      </c>
      <c r="E377">
        <v>325</v>
      </c>
      <c r="F377">
        <v>39</v>
      </c>
      <c r="G377">
        <v>1</v>
      </c>
      <c r="H377">
        <v>58</v>
      </c>
      <c r="I377">
        <v>1</v>
      </c>
    </row>
    <row r="378" spans="1:9" x14ac:dyDescent="0.25">
      <c r="A378">
        <v>4</v>
      </c>
      <c r="B378">
        <v>98</v>
      </c>
      <c r="C378">
        <v>82</v>
      </c>
      <c r="D378">
        <v>15</v>
      </c>
      <c r="E378">
        <v>84</v>
      </c>
      <c r="F378">
        <v>25</v>
      </c>
      <c r="G378">
        <v>1</v>
      </c>
      <c r="H378">
        <v>22</v>
      </c>
      <c r="I378">
        <v>0</v>
      </c>
    </row>
    <row r="379" spans="1:9" x14ac:dyDescent="0.25">
      <c r="A379">
        <v>1</v>
      </c>
      <c r="B379">
        <v>87</v>
      </c>
      <c r="C379">
        <v>60</v>
      </c>
      <c r="D379">
        <v>37</v>
      </c>
      <c r="E379">
        <v>75</v>
      </c>
      <c r="F379">
        <v>37</v>
      </c>
      <c r="G379">
        <v>1</v>
      </c>
      <c r="H379">
        <v>22</v>
      </c>
      <c r="I379">
        <v>0</v>
      </c>
    </row>
    <row r="380" spans="1:9" x14ac:dyDescent="0.25">
      <c r="A380">
        <v>4</v>
      </c>
      <c r="B380">
        <v>156</v>
      </c>
      <c r="C380">
        <v>75</v>
      </c>
      <c r="D380">
        <v>21</v>
      </c>
      <c r="E380">
        <v>80</v>
      </c>
      <c r="F380">
        <v>48</v>
      </c>
      <c r="G380">
        <v>1</v>
      </c>
      <c r="H380">
        <v>32</v>
      </c>
      <c r="I380">
        <v>1</v>
      </c>
    </row>
    <row r="381" spans="1:9" x14ac:dyDescent="0.25">
      <c r="A381">
        <v>4</v>
      </c>
      <c r="B381">
        <v>93</v>
      </c>
      <c r="C381">
        <v>100</v>
      </c>
      <c r="D381">
        <v>39</v>
      </c>
      <c r="E381">
        <v>72</v>
      </c>
      <c r="F381">
        <v>43</v>
      </c>
      <c r="G381">
        <v>1</v>
      </c>
      <c r="H381">
        <v>35</v>
      </c>
      <c r="I381">
        <v>0</v>
      </c>
    </row>
    <row r="382" spans="1:9" x14ac:dyDescent="0.25">
      <c r="A382">
        <v>1</v>
      </c>
      <c r="B382">
        <v>107</v>
      </c>
      <c r="C382">
        <v>72</v>
      </c>
      <c r="D382">
        <v>30</v>
      </c>
      <c r="E382">
        <v>82</v>
      </c>
      <c r="F382">
        <v>31</v>
      </c>
      <c r="G382">
        <v>1</v>
      </c>
      <c r="H382">
        <v>24</v>
      </c>
      <c r="I382">
        <v>0</v>
      </c>
    </row>
    <row r="383" spans="1:9" x14ac:dyDescent="0.25">
      <c r="A383">
        <v>4</v>
      </c>
      <c r="B383">
        <v>105</v>
      </c>
      <c r="C383">
        <v>68</v>
      </c>
      <c r="D383">
        <v>22</v>
      </c>
      <c r="E383">
        <v>80</v>
      </c>
      <c r="F383">
        <v>20</v>
      </c>
      <c r="G383">
        <v>1</v>
      </c>
      <c r="H383">
        <v>22</v>
      </c>
      <c r="I383">
        <v>0</v>
      </c>
    </row>
    <row r="384" spans="1:9" x14ac:dyDescent="0.25">
      <c r="A384">
        <v>1</v>
      </c>
      <c r="B384">
        <v>109</v>
      </c>
      <c r="C384">
        <v>60</v>
      </c>
      <c r="D384">
        <v>8</v>
      </c>
      <c r="E384">
        <v>182</v>
      </c>
      <c r="F384">
        <v>25</v>
      </c>
      <c r="G384">
        <v>1</v>
      </c>
      <c r="H384">
        <v>21</v>
      </c>
      <c r="I384">
        <v>0</v>
      </c>
    </row>
    <row r="385" spans="1:9" x14ac:dyDescent="0.25">
      <c r="A385">
        <v>1</v>
      </c>
      <c r="B385">
        <v>90</v>
      </c>
      <c r="C385">
        <v>62</v>
      </c>
      <c r="D385">
        <v>18</v>
      </c>
      <c r="E385">
        <v>59</v>
      </c>
      <c r="F385">
        <v>25</v>
      </c>
      <c r="G385">
        <v>1</v>
      </c>
      <c r="H385">
        <v>25</v>
      </c>
      <c r="I385">
        <v>0</v>
      </c>
    </row>
    <row r="386" spans="1:9" x14ac:dyDescent="0.25">
      <c r="A386">
        <v>1</v>
      </c>
      <c r="B386">
        <v>125</v>
      </c>
      <c r="C386">
        <v>70</v>
      </c>
      <c r="D386">
        <v>24</v>
      </c>
      <c r="E386">
        <v>110</v>
      </c>
      <c r="F386">
        <v>24</v>
      </c>
      <c r="G386">
        <v>1</v>
      </c>
      <c r="H386">
        <v>25</v>
      </c>
      <c r="I386">
        <v>0</v>
      </c>
    </row>
    <row r="387" spans="1:9" x14ac:dyDescent="0.25">
      <c r="A387">
        <v>1</v>
      </c>
      <c r="B387">
        <v>119</v>
      </c>
      <c r="C387">
        <v>54</v>
      </c>
      <c r="D387">
        <v>13</v>
      </c>
      <c r="E387">
        <v>50</v>
      </c>
      <c r="F387">
        <v>22</v>
      </c>
      <c r="G387">
        <v>1</v>
      </c>
      <c r="H387">
        <v>24</v>
      </c>
      <c r="I387">
        <v>0</v>
      </c>
    </row>
    <row r="388" spans="1:9" x14ac:dyDescent="0.25">
      <c r="A388">
        <v>5</v>
      </c>
      <c r="B388">
        <v>116</v>
      </c>
      <c r="C388">
        <v>74</v>
      </c>
      <c r="D388">
        <v>29</v>
      </c>
      <c r="E388">
        <v>80</v>
      </c>
      <c r="F388">
        <v>32</v>
      </c>
      <c r="G388">
        <v>1</v>
      </c>
      <c r="H388">
        <v>35</v>
      </c>
      <c r="I388">
        <v>1</v>
      </c>
    </row>
    <row r="389" spans="1:9" x14ac:dyDescent="0.25">
      <c r="A389">
        <v>8</v>
      </c>
      <c r="B389">
        <v>105</v>
      </c>
      <c r="C389">
        <v>100</v>
      </c>
      <c r="D389">
        <v>36</v>
      </c>
      <c r="E389">
        <v>80</v>
      </c>
      <c r="F389">
        <v>43</v>
      </c>
      <c r="G389">
        <v>1</v>
      </c>
      <c r="H389">
        <v>45</v>
      </c>
      <c r="I389">
        <v>1</v>
      </c>
    </row>
    <row r="390" spans="1:9" x14ac:dyDescent="0.25">
      <c r="A390">
        <v>5</v>
      </c>
      <c r="B390">
        <v>144</v>
      </c>
      <c r="C390">
        <v>82</v>
      </c>
      <c r="D390">
        <v>26</v>
      </c>
      <c r="E390">
        <v>285</v>
      </c>
      <c r="F390">
        <v>32</v>
      </c>
      <c r="G390">
        <v>1</v>
      </c>
      <c r="H390">
        <v>58</v>
      </c>
      <c r="I390">
        <v>1</v>
      </c>
    </row>
    <row r="391" spans="1:9" x14ac:dyDescent="0.25">
      <c r="A391">
        <v>3</v>
      </c>
      <c r="B391">
        <v>100</v>
      </c>
      <c r="C391">
        <v>68</v>
      </c>
      <c r="D391">
        <v>23</v>
      </c>
      <c r="E391">
        <v>81</v>
      </c>
      <c r="F391">
        <v>32</v>
      </c>
      <c r="G391">
        <v>1</v>
      </c>
      <c r="H391">
        <v>28</v>
      </c>
      <c r="I391">
        <v>0</v>
      </c>
    </row>
    <row r="392" spans="1:9" x14ac:dyDescent="0.25">
      <c r="A392">
        <v>1</v>
      </c>
      <c r="B392">
        <v>100</v>
      </c>
      <c r="C392">
        <v>66</v>
      </c>
      <c r="D392">
        <v>29</v>
      </c>
      <c r="E392">
        <v>196</v>
      </c>
      <c r="F392">
        <v>32</v>
      </c>
      <c r="G392">
        <v>1</v>
      </c>
      <c r="H392">
        <v>42</v>
      </c>
      <c r="I392">
        <v>0</v>
      </c>
    </row>
    <row r="393" spans="1:9" x14ac:dyDescent="0.25">
      <c r="A393">
        <v>5</v>
      </c>
      <c r="B393">
        <v>166</v>
      </c>
      <c r="C393">
        <v>76</v>
      </c>
      <c r="D393">
        <v>21</v>
      </c>
      <c r="E393">
        <v>80</v>
      </c>
      <c r="F393">
        <v>46</v>
      </c>
      <c r="G393">
        <v>1</v>
      </c>
      <c r="H393">
        <v>27</v>
      </c>
      <c r="I393">
        <v>1</v>
      </c>
    </row>
    <row r="394" spans="1:9" x14ac:dyDescent="0.25">
      <c r="A394">
        <v>1</v>
      </c>
      <c r="B394">
        <v>131</v>
      </c>
      <c r="C394">
        <v>64</v>
      </c>
      <c r="D394">
        <v>14</v>
      </c>
      <c r="E394">
        <v>415</v>
      </c>
      <c r="F394">
        <v>24</v>
      </c>
      <c r="G394">
        <v>1</v>
      </c>
      <c r="H394">
        <v>21</v>
      </c>
      <c r="I394">
        <v>0</v>
      </c>
    </row>
    <row r="395" spans="1:9" x14ac:dyDescent="0.25">
      <c r="A395">
        <v>4</v>
      </c>
      <c r="B395">
        <v>116</v>
      </c>
      <c r="C395">
        <v>72</v>
      </c>
      <c r="D395">
        <v>12</v>
      </c>
      <c r="E395">
        <v>87</v>
      </c>
      <c r="F395">
        <v>22</v>
      </c>
      <c r="G395">
        <v>1</v>
      </c>
      <c r="H395">
        <v>37</v>
      </c>
      <c r="I395">
        <v>0</v>
      </c>
    </row>
    <row r="396" spans="1:9" x14ac:dyDescent="0.25">
      <c r="A396">
        <v>4</v>
      </c>
      <c r="B396">
        <v>158</v>
      </c>
      <c r="C396">
        <v>78</v>
      </c>
      <c r="D396">
        <v>21</v>
      </c>
      <c r="E396">
        <v>80</v>
      </c>
      <c r="F396">
        <v>33</v>
      </c>
      <c r="G396">
        <v>1</v>
      </c>
      <c r="H396">
        <v>31</v>
      </c>
      <c r="I396">
        <v>1</v>
      </c>
    </row>
    <row r="397" spans="1:9" x14ac:dyDescent="0.25">
      <c r="A397">
        <v>2</v>
      </c>
      <c r="B397">
        <v>127</v>
      </c>
      <c r="C397">
        <v>58</v>
      </c>
      <c r="D397">
        <v>24</v>
      </c>
      <c r="E397">
        <v>275</v>
      </c>
      <c r="F397">
        <v>28</v>
      </c>
      <c r="G397">
        <v>1</v>
      </c>
      <c r="H397">
        <v>25</v>
      </c>
      <c r="I397">
        <v>0</v>
      </c>
    </row>
    <row r="398" spans="1:9" x14ac:dyDescent="0.25">
      <c r="A398">
        <v>3</v>
      </c>
      <c r="B398">
        <v>96</v>
      </c>
      <c r="C398">
        <v>56</v>
      </c>
      <c r="D398">
        <v>34</v>
      </c>
      <c r="E398">
        <v>115</v>
      </c>
      <c r="F398">
        <v>25</v>
      </c>
      <c r="G398">
        <v>1</v>
      </c>
      <c r="H398">
        <v>39</v>
      </c>
      <c r="I398">
        <v>0</v>
      </c>
    </row>
    <row r="399" spans="1:9" x14ac:dyDescent="0.25">
      <c r="A399">
        <v>4</v>
      </c>
      <c r="B399">
        <v>131</v>
      </c>
      <c r="C399">
        <v>66</v>
      </c>
      <c r="D399">
        <v>40</v>
      </c>
      <c r="E399">
        <v>80</v>
      </c>
      <c r="F399">
        <v>34</v>
      </c>
      <c r="G399">
        <v>1</v>
      </c>
      <c r="H399">
        <v>22</v>
      </c>
      <c r="I399">
        <v>1</v>
      </c>
    </row>
    <row r="400" spans="1:9" x14ac:dyDescent="0.25">
      <c r="A400">
        <v>3</v>
      </c>
      <c r="B400">
        <v>82</v>
      </c>
      <c r="C400">
        <v>70</v>
      </c>
      <c r="D400">
        <v>21</v>
      </c>
      <c r="E400">
        <v>80</v>
      </c>
      <c r="F400">
        <v>21</v>
      </c>
      <c r="G400">
        <v>1</v>
      </c>
      <c r="H400">
        <v>25</v>
      </c>
      <c r="I400">
        <v>0</v>
      </c>
    </row>
    <row r="401" spans="1:9" x14ac:dyDescent="0.25">
      <c r="A401">
        <v>3</v>
      </c>
      <c r="B401">
        <v>193</v>
      </c>
      <c r="C401">
        <v>70</v>
      </c>
      <c r="D401">
        <v>31</v>
      </c>
      <c r="E401">
        <v>80</v>
      </c>
      <c r="F401">
        <v>35</v>
      </c>
      <c r="G401">
        <v>1</v>
      </c>
      <c r="H401">
        <v>25</v>
      </c>
      <c r="I401">
        <v>1</v>
      </c>
    </row>
    <row r="402" spans="1:9" x14ac:dyDescent="0.25">
      <c r="A402">
        <v>4</v>
      </c>
      <c r="B402">
        <v>95</v>
      </c>
      <c r="C402">
        <v>64</v>
      </c>
      <c r="D402">
        <v>21</v>
      </c>
      <c r="E402">
        <v>80</v>
      </c>
      <c r="F402">
        <v>32</v>
      </c>
      <c r="G402">
        <v>1</v>
      </c>
      <c r="H402">
        <v>31</v>
      </c>
      <c r="I402">
        <v>1</v>
      </c>
    </row>
    <row r="403" spans="1:9" x14ac:dyDescent="0.25">
      <c r="A403">
        <v>6</v>
      </c>
      <c r="B403">
        <v>137</v>
      </c>
      <c r="C403">
        <v>61</v>
      </c>
      <c r="D403">
        <v>21</v>
      </c>
      <c r="E403">
        <v>80</v>
      </c>
      <c r="F403">
        <v>24</v>
      </c>
      <c r="G403">
        <v>1</v>
      </c>
      <c r="H403">
        <v>55</v>
      </c>
      <c r="I403">
        <v>0</v>
      </c>
    </row>
    <row r="404" spans="1:9" x14ac:dyDescent="0.25">
      <c r="A404">
        <v>5</v>
      </c>
      <c r="B404">
        <v>136</v>
      </c>
      <c r="C404">
        <v>84</v>
      </c>
      <c r="D404">
        <v>41</v>
      </c>
      <c r="E404">
        <v>88</v>
      </c>
      <c r="F404">
        <v>35</v>
      </c>
      <c r="G404">
        <v>1</v>
      </c>
      <c r="H404">
        <v>35</v>
      </c>
      <c r="I404">
        <v>1</v>
      </c>
    </row>
    <row r="405" spans="1:9" x14ac:dyDescent="0.25">
      <c r="A405">
        <v>9</v>
      </c>
      <c r="B405">
        <v>72</v>
      </c>
      <c r="C405">
        <v>78</v>
      </c>
      <c r="D405">
        <v>25</v>
      </c>
      <c r="E405">
        <v>80</v>
      </c>
      <c r="F405">
        <v>32</v>
      </c>
      <c r="G405">
        <v>1</v>
      </c>
      <c r="H405">
        <v>38</v>
      </c>
      <c r="I405">
        <v>0</v>
      </c>
    </row>
    <row r="406" spans="1:9" x14ac:dyDescent="0.25">
      <c r="A406">
        <v>5</v>
      </c>
      <c r="B406">
        <v>168</v>
      </c>
      <c r="C406">
        <v>64</v>
      </c>
      <c r="D406">
        <v>21</v>
      </c>
      <c r="E406">
        <v>80</v>
      </c>
      <c r="F406">
        <v>33</v>
      </c>
      <c r="G406">
        <v>1</v>
      </c>
      <c r="H406">
        <v>41</v>
      </c>
      <c r="I406">
        <v>1</v>
      </c>
    </row>
    <row r="407" spans="1:9" x14ac:dyDescent="0.25">
      <c r="A407">
        <v>2</v>
      </c>
      <c r="B407">
        <v>123</v>
      </c>
      <c r="C407">
        <v>48</v>
      </c>
      <c r="D407">
        <v>32</v>
      </c>
      <c r="E407">
        <v>165</v>
      </c>
      <c r="F407">
        <v>42</v>
      </c>
      <c r="G407">
        <v>1</v>
      </c>
      <c r="H407">
        <v>26</v>
      </c>
      <c r="I407">
        <v>0</v>
      </c>
    </row>
    <row r="408" spans="1:9" x14ac:dyDescent="0.25">
      <c r="A408">
        <v>4</v>
      </c>
      <c r="B408">
        <v>115</v>
      </c>
      <c r="C408">
        <v>72</v>
      </c>
      <c r="D408">
        <v>21</v>
      </c>
      <c r="E408">
        <v>80</v>
      </c>
      <c r="F408">
        <v>29</v>
      </c>
      <c r="G408">
        <v>1</v>
      </c>
      <c r="H408">
        <v>46</v>
      </c>
      <c r="I408">
        <v>1</v>
      </c>
    </row>
    <row r="409" spans="1:9" x14ac:dyDescent="0.25">
      <c r="A409">
        <v>4</v>
      </c>
      <c r="B409">
        <v>101</v>
      </c>
      <c r="C409">
        <v>62</v>
      </c>
      <c r="D409">
        <v>21</v>
      </c>
      <c r="E409">
        <v>80</v>
      </c>
      <c r="F409">
        <v>22</v>
      </c>
      <c r="G409">
        <v>1</v>
      </c>
      <c r="H409">
        <v>25</v>
      </c>
      <c r="I409">
        <v>0</v>
      </c>
    </row>
    <row r="410" spans="1:9" x14ac:dyDescent="0.25">
      <c r="A410">
        <v>8</v>
      </c>
      <c r="B410">
        <v>197</v>
      </c>
      <c r="C410">
        <v>74</v>
      </c>
      <c r="D410">
        <v>21</v>
      </c>
      <c r="E410">
        <v>80</v>
      </c>
      <c r="F410">
        <v>26</v>
      </c>
      <c r="G410">
        <v>1</v>
      </c>
      <c r="H410">
        <v>39</v>
      </c>
      <c r="I410">
        <v>1</v>
      </c>
    </row>
    <row r="411" spans="1:9" x14ac:dyDescent="0.25">
      <c r="A411">
        <v>1</v>
      </c>
      <c r="B411">
        <v>172</v>
      </c>
      <c r="C411">
        <v>68</v>
      </c>
      <c r="D411">
        <v>49</v>
      </c>
      <c r="E411">
        <v>579</v>
      </c>
      <c r="F411">
        <v>42</v>
      </c>
      <c r="G411">
        <v>1</v>
      </c>
      <c r="H411">
        <v>28</v>
      </c>
      <c r="I411">
        <v>1</v>
      </c>
    </row>
    <row r="412" spans="1:9" x14ac:dyDescent="0.25">
      <c r="A412">
        <v>6</v>
      </c>
      <c r="B412">
        <v>102</v>
      </c>
      <c r="C412">
        <v>90</v>
      </c>
      <c r="D412">
        <v>39</v>
      </c>
      <c r="E412">
        <v>80</v>
      </c>
      <c r="F412">
        <v>36</v>
      </c>
      <c r="G412">
        <v>1</v>
      </c>
      <c r="H412">
        <v>28</v>
      </c>
      <c r="I412">
        <v>0</v>
      </c>
    </row>
    <row r="413" spans="1:9" x14ac:dyDescent="0.25">
      <c r="A413">
        <v>1</v>
      </c>
      <c r="B413">
        <v>112</v>
      </c>
      <c r="C413">
        <v>72</v>
      </c>
      <c r="D413">
        <v>30</v>
      </c>
      <c r="E413">
        <v>176</v>
      </c>
      <c r="F413">
        <v>34</v>
      </c>
      <c r="G413">
        <v>1</v>
      </c>
      <c r="H413">
        <v>25</v>
      </c>
      <c r="I413">
        <v>0</v>
      </c>
    </row>
    <row r="414" spans="1:9" x14ac:dyDescent="0.25">
      <c r="A414">
        <v>1</v>
      </c>
      <c r="B414">
        <v>143</v>
      </c>
      <c r="C414">
        <v>84</v>
      </c>
      <c r="D414">
        <v>23</v>
      </c>
      <c r="E414">
        <v>310</v>
      </c>
      <c r="F414">
        <v>42</v>
      </c>
      <c r="G414">
        <v>1</v>
      </c>
      <c r="H414">
        <v>22</v>
      </c>
      <c r="I414">
        <v>0</v>
      </c>
    </row>
    <row r="415" spans="1:9" x14ac:dyDescent="0.25">
      <c r="A415">
        <v>1</v>
      </c>
      <c r="B415">
        <v>143</v>
      </c>
      <c r="C415">
        <v>74</v>
      </c>
      <c r="D415">
        <v>22</v>
      </c>
      <c r="E415">
        <v>61</v>
      </c>
      <c r="F415">
        <v>26</v>
      </c>
      <c r="G415">
        <v>1</v>
      </c>
      <c r="H415">
        <v>21</v>
      </c>
      <c r="I415">
        <v>0</v>
      </c>
    </row>
    <row r="416" spans="1:9" x14ac:dyDescent="0.25">
      <c r="A416">
        <v>4</v>
      </c>
      <c r="B416">
        <v>138</v>
      </c>
      <c r="C416">
        <v>60</v>
      </c>
      <c r="D416">
        <v>35</v>
      </c>
      <c r="E416">
        <v>167</v>
      </c>
      <c r="F416">
        <v>35</v>
      </c>
      <c r="G416">
        <v>1</v>
      </c>
      <c r="H416">
        <v>21</v>
      </c>
      <c r="I416">
        <v>1</v>
      </c>
    </row>
    <row r="417" spans="1:9" x14ac:dyDescent="0.25">
      <c r="A417">
        <v>3</v>
      </c>
      <c r="B417">
        <v>173</v>
      </c>
      <c r="C417">
        <v>84</v>
      </c>
      <c r="D417">
        <v>33</v>
      </c>
      <c r="E417">
        <v>474</v>
      </c>
      <c r="F417">
        <v>36</v>
      </c>
      <c r="G417">
        <v>1</v>
      </c>
      <c r="H417">
        <v>22</v>
      </c>
      <c r="I417">
        <v>1</v>
      </c>
    </row>
    <row r="418" spans="1:9" x14ac:dyDescent="0.25">
      <c r="A418">
        <v>1</v>
      </c>
      <c r="B418">
        <v>97</v>
      </c>
      <c r="C418">
        <v>68</v>
      </c>
      <c r="D418">
        <v>21</v>
      </c>
      <c r="E418">
        <v>80</v>
      </c>
      <c r="F418">
        <v>27</v>
      </c>
      <c r="G418">
        <v>1</v>
      </c>
      <c r="H418">
        <v>22</v>
      </c>
      <c r="I418">
        <v>0</v>
      </c>
    </row>
    <row r="419" spans="1:9" x14ac:dyDescent="0.25">
      <c r="A419">
        <v>4</v>
      </c>
      <c r="B419">
        <v>144</v>
      </c>
      <c r="C419">
        <v>82</v>
      </c>
      <c r="D419">
        <v>32</v>
      </c>
      <c r="E419">
        <v>80</v>
      </c>
      <c r="F419">
        <v>38</v>
      </c>
      <c r="G419">
        <v>1</v>
      </c>
      <c r="H419">
        <v>37</v>
      </c>
      <c r="I419">
        <v>1</v>
      </c>
    </row>
    <row r="420" spans="1:9" x14ac:dyDescent="0.25">
      <c r="A420">
        <v>1</v>
      </c>
      <c r="B420">
        <v>83</v>
      </c>
      <c r="C420">
        <v>68</v>
      </c>
      <c r="D420">
        <v>21</v>
      </c>
      <c r="E420">
        <v>80</v>
      </c>
      <c r="F420">
        <v>18</v>
      </c>
      <c r="G420">
        <v>1</v>
      </c>
      <c r="H420">
        <v>27</v>
      </c>
      <c r="I420">
        <v>0</v>
      </c>
    </row>
    <row r="421" spans="1:9" x14ac:dyDescent="0.25">
      <c r="A421">
        <v>3</v>
      </c>
      <c r="B421">
        <v>129</v>
      </c>
      <c r="C421">
        <v>64</v>
      </c>
      <c r="D421">
        <v>29</v>
      </c>
      <c r="E421">
        <v>115</v>
      </c>
      <c r="F421">
        <v>26</v>
      </c>
      <c r="G421">
        <v>1</v>
      </c>
      <c r="H421">
        <v>28</v>
      </c>
      <c r="I421">
        <v>1</v>
      </c>
    </row>
    <row r="422" spans="1:9" x14ac:dyDescent="0.25">
      <c r="A422">
        <v>1</v>
      </c>
      <c r="B422">
        <v>119</v>
      </c>
      <c r="C422">
        <v>88</v>
      </c>
      <c r="D422">
        <v>41</v>
      </c>
      <c r="E422">
        <v>170</v>
      </c>
      <c r="F422">
        <v>45</v>
      </c>
      <c r="G422">
        <v>1</v>
      </c>
      <c r="H422">
        <v>26</v>
      </c>
      <c r="I422">
        <v>0</v>
      </c>
    </row>
    <row r="423" spans="1:9" x14ac:dyDescent="0.25">
      <c r="A423">
        <v>2</v>
      </c>
      <c r="B423">
        <v>94</v>
      </c>
      <c r="C423">
        <v>68</v>
      </c>
      <c r="D423">
        <v>18</v>
      </c>
      <c r="E423">
        <v>76</v>
      </c>
      <c r="F423">
        <v>26</v>
      </c>
      <c r="G423">
        <v>1</v>
      </c>
      <c r="H423">
        <v>21</v>
      </c>
      <c r="I423">
        <v>0</v>
      </c>
    </row>
    <row r="424" spans="1:9" x14ac:dyDescent="0.25">
      <c r="A424">
        <v>4</v>
      </c>
      <c r="B424">
        <v>102</v>
      </c>
      <c r="C424">
        <v>64</v>
      </c>
      <c r="D424">
        <v>46</v>
      </c>
      <c r="E424">
        <v>78</v>
      </c>
      <c r="F424">
        <v>41</v>
      </c>
      <c r="G424">
        <v>1</v>
      </c>
      <c r="H424">
        <v>21</v>
      </c>
      <c r="I424">
        <v>0</v>
      </c>
    </row>
    <row r="425" spans="1:9" x14ac:dyDescent="0.25">
      <c r="A425">
        <v>2</v>
      </c>
      <c r="B425">
        <v>115</v>
      </c>
      <c r="C425">
        <v>64</v>
      </c>
      <c r="D425">
        <v>22</v>
      </c>
      <c r="E425">
        <v>80</v>
      </c>
      <c r="F425">
        <v>31</v>
      </c>
      <c r="G425">
        <v>1</v>
      </c>
      <c r="H425">
        <v>21</v>
      </c>
      <c r="I425">
        <v>0</v>
      </c>
    </row>
    <row r="426" spans="1:9" x14ac:dyDescent="0.25">
      <c r="A426">
        <v>8</v>
      </c>
      <c r="B426">
        <v>151</v>
      </c>
      <c r="C426">
        <v>78</v>
      </c>
      <c r="D426">
        <v>32</v>
      </c>
      <c r="E426">
        <v>210</v>
      </c>
      <c r="F426">
        <v>43</v>
      </c>
      <c r="G426">
        <v>1</v>
      </c>
      <c r="H426">
        <v>36</v>
      </c>
      <c r="I426">
        <v>1</v>
      </c>
    </row>
    <row r="427" spans="1:9" x14ac:dyDescent="0.25">
      <c r="A427">
        <v>4</v>
      </c>
      <c r="B427">
        <v>184</v>
      </c>
      <c r="C427">
        <v>78</v>
      </c>
      <c r="D427">
        <v>39</v>
      </c>
      <c r="E427">
        <v>277</v>
      </c>
      <c r="F427">
        <v>37</v>
      </c>
      <c r="G427">
        <v>1</v>
      </c>
      <c r="H427">
        <v>31</v>
      </c>
      <c r="I427">
        <v>1</v>
      </c>
    </row>
    <row r="428" spans="1:9" x14ac:dyDescent="0.25">
      <c r="A428">
        <v>4</v>
      </c>
      <c r="B428">
        <v>94</v>
      </c>
      <c r="C428">
        <v>69</v>
      </c>
      <c r="D428">
        <v>21</v>
      </c>
      <c r="E428">
        <v>80</v>
      </c>
      <c r="F428">
        <v>32</v>
      </c>
      <c r="G428">
        <v>1</v>
      </c>
      <c r="H428">
        <v>25</v>
      </c>
      <c r="I428">
        <v>0</v>
      </c>
    </row>
    <row r="429" spans="1:9" x14ac:dyDescent="0.25">
      <c r="A429">
        <v>1</v>
      </c>
      <c r="B429">
        <v>181</v>
      </c>
      <c r="C429">
        <v>64</v>
      </c>
      <c r="D429">
        <v>30</v>
      </c>
      <c r="E429">
        <v>180</v>
      </c>
      <c r="F429">
        <v>34</v>
      </c>
      <c r="G429">
        <v>1</v>
      </c>
      <c r="H429">
        <v>38</v>
      </c>
      <c r="I429">
        <v>1</v>
      </c>
    </row>
    <row r="430" spans="1:9" x14ac:dyDescent="0.25">
      <c r="A430">
        <v>4</v>
      </c>
      <c r="B430">
        <v>135</v>
      </c>
      <c r="C430">
        <v>94</v>
      </c>
      <c r="D430">
        <v>46</v>
      </c>
      <c r="E430">
        <v>145</v>
      </c>
      <c r="F430">
        <v>41</v>
      </c>
      <c r="G430">
        <v>1</v>
      </c>
      <c r="H430">
        <v>26</v>
      </c>
      <c r="I430">
        <v>0</v>
      </c>
    </row>
    <row r="431" spans="1:9" x14ac:dyDescent="0.25">
      <c r="A431">
        <v>1</v>
      </c>
      <c r="B431">
        <v>95</v>
      </c>
      <c r="C431">
        <v>82</v>
      </c>
      <c r="D431">
        <v>25</v>
      </c>
      <c r="E431">
        <v>180</v>
      </c>
      <c r="F431">
        <v>35</v>
      </c>
      <c r="G431">
        <v>1</v>
      </c>
      <c r="H431">
        <v>43</v>
      </c>
      <c r="I431">
        <v>1</v>
      </c>
    </row>
    <row r="432" spans="1:9" x14ac:dyDescent="0.25">
      <c r="A432">
        <v>2</v>
      </c>
      <c r="B432">
        <v>99</v>
      </c>
      <c r="C432">
        <v>69</v>
      </c>
      <c r="D432">
        <v>21</v>
      </c>
      <c r="E432">
        <v>80</v>
      </c>
      <c r="F432">
        <v>22</v>
      </c>
      <c r="G432">
        <v>1</v>
      </c>
      <c r="H432">
        <v>23</v>
      </c>
      <c r="I432">
        <v>0</v>
      </c>
    </row>
    <row r="433" spans="1:9" x14ac:dyDescent="0.25">
      <c r="A433">
        <v>3</v>
      </c>
      <c r="B433">
        <v>89</v>
      </c>
      <c r="C433">
        <v>74</v>
      </c>
      <c r="D433">
        <v>16</v>
      </c>
      <c r="E433">
        <v>85</v>
      </c>
      <c r="F433">
        <v>30</v>
      </c>
      <c r="G433">
        <v>1</v>
      </c>
      <c r="H433">
        <v>38</v>
      </c>
      <c r="I433">
        <v>0</v>
      </c>
    </row>
    <row r="434" spans="1:9" x14ac:dyDescent="0.25">
      <c r="A434">
        <v>1</v>
      </c>
      <c r="B434">
        <v>80</v>
      </c>
      <c r="C434">
        <v>74</v>
      </c>
      <c r="D434">
        <v>11</v>
      </c>
      <c r="E434">
        <v>60</v>
      </c>
      <c r="F434">
        <v>30</v>
      </c>
      <c r="G434">
        <v>1</v>
      </c>
      <c r="H434">
        <v>22</v>
      </c>
      <c r="I434">
        <v>0</v>
      </c>
    </row>
    <row r="435" spans="1:9" x14ac:dyDescent="0.25">
      <c r="A435">
        <v>2</v>
      </c>
      <c r="B435">
        <v>139</v>
      </c>
      <c r="C435">
        <v>75</v>
      </c>
      <c r="D435">
        <v>21</v>
      </c>
      <c r="E435">
        <v>80</v>
      </c>
      <c r="F435">
        <v>26</v>
      </c>
      <c r="G435">
        <v>1</v>
      </c>
      <c r="H435">
        <v>29</v>
      </c>
      <c r="I435">
        <v>0</v>
      </c>
    </row>
    <row r="436" spans="1:9" x14ac:dyDescent="0.25">
      <c r="A436">
        <v>1</v>
      </c>
      <c r="B436">
        <v>90</v>
      </c>
      <c r="C436">
        <v>68</v>
      </c>
      <c r="D436">
        <v>8</v>
      </c>
      <c r="E436">
        <v>80</v>
      </c>
      <c r="F436">
        <v>24</v>
      </c>
      <c r="G436">
        <v>1</v>
      </c>
      <c r="H436">
        <v>36</v>
      </c>
      <c r="I436">
        <v>0</v>
      </c>
    </row>
    <row r="437" spans="1:9" x14ac:dyDescent="0.25">
      <c r="A437">
        <v>4</v>
      </c>
      <c r="B437">
        <v>141</v>
      </c>
      <c r="C437">
        <v>69</v>
      </c>
      <c r="D437">
        <v>21</v>
      </c>
      <c r="E437">
        <v>80</v>
      </c>
      <c r="F437">
        <v>42</v>
      </c>
      <c r="G437">
        <v>1</v>
      </c>
      <c r="H437">
        <v>29</v>
      </c>
      <c r="I437">
        <v>1</v>
      </c>
    </row>
    <row r="438" spans="1:9" x14ac:dyDescent="0.25">
      <c r="A438">
        <v>12</v>
      </c>
      <c r="B438">
        <v>140</v>
      </c>
      <c r="C438">
        <v>85</v>
      </c>
      <c r="D438">
        <v>33</v>
      </c>
      <c r="E438">
        <v>80</v>
      </c>
      <c r="F438">
        <v>37</v>
      </c>
      <c r="G438">
        <v>1</v>
      </c>
      <c r="H438">
        <v>41</v>
      </c>
      <c r="I438">
        <v>0</v>
      </c>
    </row>
    <row r="439" spans="1:9" x14ac:dyDescent="0.25">
      <c r="A439">
        <v>5</v>
      </c>
      <c r="B439">
        <v>147</v>
      </c>
      <c r="C439">
        <v>75</v>
      </c>
      <c r="D439">
        <v>21</v>
      </c>
      <c r="E439">
        <v>80</v>
      </c>
      <c r="F439">
        <v>30</v>
      </c>
      <c r="G439">
        <v>1</v>
      </c>
      <c r="H439">
        <v>28</v>
      </c>
      <c r="I439">
        <v>0</v>
      </c>
    </row>
    <row r="440" spans="1:9" x14ac:dyDescent="0.25">
      <c r="A440">
        <v>1</v>
      </c>
      <c r="B440">
        <v>97</v>
      </c>
      <c r="C440">
        <v>70</v>
      </c>
      <c r="D440">
        <v>15</v>
      </c>
      <c r="E440">
        <v>80</v>
      </c>
      <c r="F440">
        <v>18</v>
      </c>
      <c r="G440">
        <v>1</v>
      </c>
      <c r="H440">
        <v>21</v>
      </c>
      <c r="I440">
        <v>0</v>
      </c>
    </row>
    <row r="441" spans="1:9" x14ac:dyDescent="0.25">
      <c r="A441">
        <v>6</v>
      </c>
      <c r="B441">
        <v>107</v>
      </c>
      <c r="C441">
        <v>88</v>
      </c>
      <c r="D441">
        <v>21</v>
      </c>
      <c r="E441">
        <v>80</v>
      </c>
      <c r="F441">
        <v>37</v>
      </c>
      <c r="G441">
        <v>1</v>
      </c>
      <c r="H441">
        <v>31</v>
      </c>
      <c r="I441">
        <v>0</v>
      </c>
    </row>
    <row r="442" spans="1:9" x14ac:dyDescent="0.25">
      <c r="A442">
        <v>4</v>
      </c>
      <c r="B442">
        <v>189</v>
      </c>
      <c r="C442">
        <v>104</v>
      </c>
      <c r="D442">
        <v>25</v>
      </c>
      <c r="E442">
        <v>80</v>
      </c>
      <c r="F442">
        <v>34</v>
      </c>
      <c r="G442">
        <v>1</v>
      </c>
      <c r="H442">
        <v>41</v>
      </c>
      <c r="I442">
        <v>1</v>
      </c>
    </row>
    <row r="443" spans="1:9" x14ac:dyDescent="0.25">
      <c r="A443">
        <v>2</v>
      </c>
      <c r="B443">
        <v>83</v>
      </c>
      <c r="C443">
        <v>66</v>
      </c>
      <c r="D443">
        <v>23</v>
      </c>
      <c r="E443">
        <v>50</v>
      </c>
      <c r="F443">
        <v>32</v>
      </c>
      <c r="G443">
        <v>1</v>
      </c>
      <c r="H443">
        <v>22</v>
      </c>
      <c r="I443">
        <v>0</v>
      </c>
    </row>
    <row r="444" spans="1:9" x14ac:dyDescent="0.25">
      <c r="A444">
        <v>4</v>
      </c>
      <c r="B444">
        <v>117</v>
      </c>
      <c r="C444">
        <v>64</v>
      </c>
      <c r="D444">
        <v>27</v>
      </c>
      <c r="E444">
        <v>120</v>
      </c>
      <c r="F444">
        <v>33</v>
      </c>
      <c r="G444">
        <v>1</v>
      </c>
      <c r="H444">
        <v>24</v>
      </c>
      <c r="I444">
        <v>0</v>
      </c>
    </row>
    <row r="445" spans="1:9" x14ac:dyDescent="0.25">
      <c r="A445">
        <v>8</v>
      </c>
      <c r="B445">
        <v>108</v>
      </c>
      <c r="C445">
        <v>70</v>
      </c>
      <c r="D445">
        <v>21</v>
      </c>
      <c r="E445">
        <v>80</v>
      </c>
      <c r="F445">
        <v>30</v>
      </c>
      <c r="G445">
        <v>1</v>
      </c>
      <c r="H445">
        <v>33</v>
      </c>
      <c r="I445">
        <v>1</v>
      </c>
    </row>
    <row r="446" spans="1:9" x14ac:dyDescent="0.25">
      <c r="A446">
        <v>4</v>
      </c>
      <c r="B446">
        <v>117</v>
      </c>
      <c r="C446">
        <v>62</v>
      </c>
      <c r="D446">
        <v>12</v>
      </c>
      <c r="E446">
        <v>80</v>
      </c>
      <c r="F446">
        <v>30</v>
      </c>
      <c r="G446">
        <v>1</v>
      </c>
      <c r="H446">
        <v>30</v>
      </c>
      <c r="I446">
        <v>1</v>
      </c>
    </row>
    <row r="447" spans="1:9" x14ac:dyDescent="0.25">
      <c r="A447">
        <v>4</v>
      </c>
      <c r="B447">
        <v>180</v>
      </c>
      <c r="C447">
        <v>78</v>
      </c>
      <c r="D447">
        <v>63</v>
      </c>
      <c r="E447">
        <v>14</v>
      </c>
      <c r="F447">
        <v>59</v>
      </c>
      <c r="G447">
        <v>1</v>
      </c>
      <c r="H447">
        <v>25</v>
      </c>
      <c r="I447">
        <v>1</v>
      </c>
    </row>
    <row r="448" spans="1:9" x14ac:dyDescent="0.25">
      <c r="A448">
        <v>1</v>
      </c>
      <c r="B448">
        <v>100</v>
      </c>
      <c r="C448">
        <v>72</v>
      </c>
      <c r="D448">
        <v>12</v>
      </c>
      <c r="E448">
        <v>70</v>
      </c>
      <c r="F448">
        <v>25</v>
      </c>
      <c r="G448">
        <v>1</v>
      </c>
      <c r="H448">
        <v>28</v>
      </c>
      <c r="I448">
        <v>0</v>
      </c>
    </row>
    <row r="449" spans="1:9" x14ac:dyDescent="0.25">
      <c r="A449">
        <v>4</v>
      </c>
      <c r="B449">
        <v>95</v>
      </c>
      <c r="C449">
        <v>80</v>
      </c>
      <c r="D449">
        <v>45</v>
      </c>
      <c r="E449">
        <v>92</v>
      </c>
      <c r="F449">
        <v>36</v>
      </c>
      <c r="G449">
        <v>1</v>
      </c>
      <c r="H449">
        <v>26</v>
      </c>
      <c r="I449">
        <v>0</v>
      </c>
    </row>
    <row r="450" spans="1:9" x14ac:dyDescent="0.25">
      <c r="A450">
        <v>4</v>
      </c>
      <c r="B450">
        <v>104</v>
      </c>
      <c r="C450">
        <v>64</v>
      </c>
      <c r="D450">
        <v>37</v>
      </c>
      <c r="E450">
        <v>64</v>
      </c>
      <c r="F450">
        <v>34</v>
      </c>
      <c r="G450">
        <v>1</v>
      </c>
      <c r="H450">
        <v>22</v>
      </c>
      <c r="I450">
        <v>1</v>
      </c>
    </row>
    <row r="451" spans="1:9" x14ac:dyDescent="0.25">
      <c r="A451">
        <v>4</v>
      </c>
      <c r="B451">
        <v>120</v>
      </c>
      <c r="C451">
        <v>74</v>
      </c>
      <c r="D451">
        <v>18</v>
      </c>
      <c r="E451">
        <v>63</v>
      </c>
      <c r="F451">
        <v>30</v>
      </c>
      <c r="G451">
        <v>1</v>
      </c>
      <c r="H451">
        <v>26</v>
      </c>
      <c r="I451">
        <v>0</v>
      </c>
    </row>
    <row r="452" spans="1:9" x14ac:dyDescent="0.25">
      <c r="A452">
        <v>1</v>
      </c>
      <c r="B452">
        <v>82</v>
      </c>
      <c r="C452">
        <v>64</v>
      </c>
      <c r="D452">
        <v>13</v>
      </c>
      <c r="E452">
        <v>95</v>
      </c>
      <c r="F452">
        <v>21</v>
      </c>
      <c r="G452">
        <v>1</v>
      </c>
      <c r="H452">
        <v>23</v>
      </c>
      <c r="I452">
        <v>0</v>
      </c>
    </row>
    <row r="453" spans="1:9" x14ac:dyDescent="0.25">
      <c r="A453">
        <v>2</v>
      </c>
      <c r="B453">
        <v>134</v>
      </c>
      <c r="C453">
        <v>70</v>
      </c>
      <c r="D453">
        <v>21</v>
      </c>
      <c r="E453">
        <v>80</v>
      </c>
      <c r="F453">
        <v>29</v>
      </c>
      <c r="G453">
        <v>1</v>
      </c>
      <c r="H453">
        <v>23</v>
      </c>
      <c r="I453">
        <v>1</v>
      </c>
    </row>
    <row r="454" spans="1:9" x14ac:dyDescent="0.25">
      <c r="A454">
        <v>4</v>
      </c>
      <c r="B454">
        <v>91</v>
      </c>
      <c r="C454">
        <v>68</v>
      </c>
      <c r="D454">
        <v>32</v>
      </c>
      <c r="E454">
        <v>210</v>
      </c>
      <c r="F454">
        <v>40</v>
      </c>
      <c r="G454">
        <v>1</v>
      </c>
      <c r="H454">
        <v>25</v>
      </c>
      <c r="I454">
        <v>0</v>
      </c>
    </row>
    <row r="455" spans="1:9" x14ac:dyDescent="0.25">
      <c r="A455">
        <v>2</v>
      </c>
      <c r="B455">
        <v>119</v>
      </c>
      <c r="C455">
        <v>69</v>
      </c>
      <c r="D455">
        <v>21</v>
      </c>
      <c r="E455">
        <v>80</v>
      </c>
      <c r="F455">
        <v>20</v>
      </c>
      <c r="G455">
        <v>1</v>
      </c>
      <c r="H455">
        <v>72</v>
      </c>
      <c r="I455">
        <v>0</v>
      </c>
    </row>
    <row r="456" spans="1:9" x14ac:dyDescent="0.25">
      <c r="A456">
        <v>2</v>
      </c>
      <c r="B456">
        <v>100</v>
      </c>
      <c r="C456">
        <v>54</v>
      </c>
      <c r="D456">
        <v>28</v>
      </c>
      <c r="E456">
        <v>105</v>
      </c>
      <c r="F456">
        <v>38</v>
      </c>
      <c r="G456">
        <v>1</v>
      </c>
      <c r="H456">
        <v>24</v>
      </c>
      <c r="I456">
        <v>0</v>
      </c>
    </row>
    <row r="457" spans="1:9" x14ac:dyDescent="0.25">
      <c r="A457">
        <v>14</v>
      </c>
      <c r="B457">
        <v>175</v>
      </c>
      <c r="C457">
        <v>62</v>
      </c>
      <c r="D457">
        <v>30</v>
      </c>
      <c r="E457">
        <v>80</v>
      </c>
      <c r="F457">
        <v>34</v>
      </c>
      <c r="G457">
        <v>1</v>
      </c>
      <c r="H457">
        <v>38</v>
      </c>
      <c r="I457">
        <v>1</v>
      </c>
    </row>
    <row r="458" spans="1:9" x14ac:dyDescent="0.25">
      <c r="A458">
        <v>1</v>
      </c>
      <c r="B458">
        <v>135</v>
      </c>
      <c r="C458">
        <v>54</v>
      </c>
      <c r="D458">
        <v>21</v>
      </c>
      <c r="E458">
        <v>80</v>
      </c>
      <c r="F458">
        <v>27</v>
      </c>
      <c r="G458">
        <v>1</v>
      </c>
      <c r="H458">
        <v>62</v>
      </c>
      <c r="I458">
        <v>0</v>
      </c>
    </row>
    <row r="459" spans="1:9" x14ac:dyDescent="0.25">
      <c r="A459">
        <v>5</v>
      </c>
      <c r="B459">
        <v>86</v>
      </c>
      <c r="C459">
        <v>68</v>
      </c>
      <c r="D459">
        <v>28</v>
      </c>
      <c r="E459">
        <v>71</v>
      </c>
      <c r="F459">
        <v>30</v>
      </c>
      <c r="G459">
        <v>1</v>
      </c>
      <c r="H459">
        <v>24</v>
      </c>
      <c r="I459">
        <v>0</v>
      </c>
    </row>
    <row r="460" spans="1:9" x14ac:dyDescent="0.25">
      <c r="A460">
        <v>10</v>
      </c>
      <c r="B460">
        <v>148</v>
      </c>
      <c r="C460">
        <v>84</v>
      </c>
      <c r="D460">
        <v>48</v>
      </c>
      <c r="E460">
        <v>237</v>
      </c>
      <c r="F460">
        <v>38</v>
      </c>
      <c r="G460">
        <v>1</v>
      </c>
      <c r="H460">
        <v>51</v>
      </c>
      <c r="I460">
        <v>1</v>
      </c>
    </row>
    <row r="461" spans="1:9" x14ac:dyDescent="0.25">
      <c r="A461">
        <v>9</v>
      </c>
      <c r="B461">
        <v>134</v>
      </c>
      <c r="C461">
        <v>74</v>
      </c>
      <c r="D461">
        <v>33</v>
      </c>
      <c r="E461">
        <v>60</v>
      </c>
      <c r="F461">
        <v>26</v>
      </c>
      <c r="G461">
        <v>1</v>
      </c>
      <c r="H461">
        <v>81</v>
      </c>
      <c r="I461">
        <v>0</v>
      </c>
    </row>
    <row r="462" spans="1:9" x14ac:dyDescent="0.25">
      <c r="A462">
        <v>9</v>
      </c>
      <c r="B462">
        <v>120</v>
      </c>
      <c r="C462">
        <v>72</v>
      </c>
      <c r="D462">
        <v>22</v>
      </c>
      <c r="E462">
        <v>56</v>
      </c>
      <c r="F462">
        <v>21</v>
      </c>
      <c r="G462">
        <v>1</v>
      </c>
      <c r="H462">
        <v>48</v>
      </c>
      <c r="I462">
        <v>0</v>
      </c>
    </row>
    <row r="463" spans="1:9" x14ac:dyDescent="0.25">
      <c r="A463">
        <v>1</v>
      </c>
      <c r="B463">
        <v>71</v>
      </c>
      <c r="C463">
        <v>62</v>
      </c>
      <c r="D463">
        <v>21</v>
      </c>
      <c r="E463">
        <v>80</v>
      </c>
      <c r="F463">
        <v>22</v>
      </c>
      <c r="G463">
        <v>1</v>
      </c>
      <c r="H463">
        <v>26</v>
      </c>
      <c r="I463">
        <v>0</v>
      </c>
    </row>
    <row r="464" spans="1:9" x14ac:dyDescent="0.25">
      <c r="A464">
        <v>8</v>
      </c>
      <c r="B464">
        <v>74</v>
      </c>
      <c r="C464">
        <v>70</v>
      </c>
      <c r="D464">
        <v>40</v>
      </c>
      <c r="E464">
        <v>49</v>
      </c>
      <c r="F464">
        <v>35</v>
      </c>
      <c r="G464">
        <v>1</v>
      </c>
      <c r="H464">
        <v>39</v>
      </c>
      <c r="I464">
        <v>0</v>
      </c>
    </row>
    <row r="465" spans="1:9" x14ac:dyDescent="0.25">
      <c r="A465">
        <v>5</v>
      </c>
      <c r="B465">
        <v>88</v>
      </c>
      <c r="C465">
        <v>78</v>
      </c>
      <c r="D465">
        <v>30</v>
      </c>
      <c r="E465">
        <v>80</v>
      </c>
      <c r="F465">
        <v>28</v>
      </c>
      <c r="G465">
        <v>1</v>
      </c>
      <c r="H465">
        <v>37</v>
      </c>
      <c r="I465">
        <v>0</v>
      </c>
    </row>
    <row r="466" spans="1:9" x14ac:dyDescent="0.25">
      <c r="A466">
        <v>10</v>
      </c>
      <c r="B466">
        <v>115</v>
      </c>
      <c r="C466">
        <v>98</v>
      </c>
      <c r="D466">
        <v>21</v>
      </c>
      <c r="E466">
        <v>80</v>
      </c>
      <c r="F466">
        <v>24</v>
      </c>
      <c r="G466">
        <v>1</v>
      </c>
      <c r="H466">
        <v>34</v>
      </c>
      <c r="I466">
        <v>0</v>
      </c>
    </row>
    <row r="467" spans="1:9" x14ac:dyDescent="0.25">
      <c r="A467">
        <v>4</v>
      </c>
      <c r="B467">
        <v>124</v>
      </c>
      <c r="C467">
        <v>56</v>
      </c>
      <c r="D467">
        <v>13</v>
      </c>
      <c r="E467">
        <v>105</v>
      </c>
      <c r="F467">
        <v>22</v>
      </c>
      <c r="G467">
        <v>1</v>
      </c>
      <c r="H467">
        <v>21</v>
      </c>
      <c r="I467">
        <v>0</v>
      </c>
    </row>
    <row r="468" spans="1:9" x14ac:dyDescent="0.25">
      <c r="A468">
        <v>4</v>
      </c>
      <c r="B468">
        <v>74</v>
      </c>
      <c r="C468">
        <v>52</v>
      </c>
      <c r="D468">
        <v>10</v>
      </c>
      <c r="E468">
        <v>36</v>
      </c>
      <c r="F468">
        <v>28</v>
      </c>
      <c r="G468">
        <v>1</v>
      </c>
      <c r="H468">
        <v>22</v>
      </c>
      <c r="I468">
        <v>0</v>
      </c>
    </row>
    <row r="469" spans="1:9" x14ac:dyDescent="0.25">
      <c r="A469">
        <v>4</v>
      </c>
      <c r="B469">
        <v>97</v>
      </c>
      <c r="C469">
        <v>64</v>
      </c>
      <c r="D469">
        <v>36</v>
      </c>
      <c r="E469">
        <v>100</v>
      </c>
      <c r="F469">
        <v>37</v>
      </c>
      <c r="G469">
        <v>1</v>
      </c>
      <c r="H469">
        <v>25</v>
      </c>
      <c r="I469">
        <v>0</v>
      </c>
    </row>
    <row r="470" spans="1:9" x14ac:dyDescent="0.25">
      <c r="A470">
        <v>8</v>
      </c>
      <c r="B470">
        <v>120</v>
      </c>
      <c r="C470">
        <v>69</v>
      </c>
      <c r="D470">
        <v>21</v>
      </c>
      <c r="E470">
        <v>80</v>
      </c>
      <c r="F470">
        <v>30</v>
      </c>
      <c r="G470">
        <v>1</v>
      </c>
      <c r="H470">
        <v>38</v>
      </c>
      <c r="I470">
        <v>1</v>
      </c>
    </row>
    <row r="471" spans="1:9" x14ac:dyDescent="0.25">
      <c r="A471">
        <v>6</v>
      </c>
      <c r="B471">
        <v>154</v>
      </c>
      <c r="C471">
        <v>78</v>
      </c>
      <c r="D471">
        <v>41</v>
      </c>
      <c r="E471">
        <v>140</v>
      </c>
      <c r="F471">
        <v>46</v>
      </c>
      <c r="G471">
        <v>1</v>
      </c>
      <c r="H471">
        <v>27</v>
      </c>
      <c r="I471">
        <v>0</v>
      </c>
    </row>
    <row r="472" spans="1:9" x14ac:dyDescent="0.25">
      <c r="A472">
        <v>1</v>
      </c>
      <c r="B472">
        <v>144</v>
      </c>
      <c r="C472">
        <v>82</v>
      </c>
      <c r="D472">
        <v>40</v>
      </c>
      <c r="E472">
        <v>80</v>
      </c>
      <c r="F472">
        <v>41</v>
      </c>
      <c r="G472">
        <v>1</v>
      </c>
      <c r="H472">
        <v>28</v>
      </c>
      <c r="I472">
        <v>0</v>
      </c>
    </row>
    <row r="473" spans="1:9" x14ac:dyDescent="0.25">
      <c r="A473">
        <v>4</v>
      </c>
      <c r="B473">
        <v>137</v>
      </c>
      <c r="C473">
        <v>70</v>
      </c>
      <c r="D473">
        <v>38</v>
      </c>
      <c r="E473">
        <v>80</v>
      </c>
      <c r="F473">
        <v>33</v>
      </c>
      <c r="G473">
        <v>1</v>
      </c>
      <c r="H473">
        <v>22</v>
      </c>
      <c r="I473">
        <v>0</v>
      </c>
    </row>
    <row r="474" spans="1:9" x14ac:dyDescent="0.25">
      <c r="A474">
        <v>4</v>
      </c>
      <c r="B474">
        <v>119</v>
      </c>
      <c r="C474">
        <v>66</v>
      </c>
      <c r="D474">
        <v>27</v>
      </c>
      <c r="E474">
        <v>80</v>
      </c>
      <c r="F474">
        <v>39</v>
      </c>
      <c r="G474">
        <v>1</v>
      </c>
      <c r="H474">
        <v>22</v>
      </c>
      <c r="I474">
        <v>0</v>
      </c>
    </row>
    <row r="475" spans="1:9" x14ac:dyDescent="0.25">
      <c r="A475">
        <v>7</v>
      </c>
      <c r="B475">
        <v>136</v>
      </c>
      <c r="C475">
        <v>90</v>
      </c>
      <c r="D475">
        <v>21</v>
      </c>
      <c r="E475">
        <v>80</v>
      </c>
      <c r="F475">
        <v>30</v>
      </c>
      <c r="G475">
        <v>1</v>
      </c>
      <c r="H475">
        <v>50</v>
      </c>
      <c r="I475">
        <v>0</v>
      </c>
    </row>
    <row r="476" spans="1:9" x14ac:dyDescent="0.25">
      <c r="A476">
        <v>4</v>
      </c>
      <c r="B476">
        <v>114</v>
      </c>
      <c r="C476">
        <v>64</v>
      </c>
      <c r="D476">
        <v>21</v>
      </c>
      <c r="E476">
        <v>80</v>
      </c>
      <c r="F476">
        <v>29</v>
      </c>
      <c r="G476">
        <v>1</v>
      </c>
      <c r="H476">
        <v>24</v>
      </c>
      <c r="I476">
        <v>0</v>
      </c>
    </row>
    <row r="477" spans="1:9" x14ac:dyDescent="0.25">
      <c r="A477">
        <v>4</v>
      </c>
      <c r="B477">
        <v>137</v>
      </c>
      <c r="C477">
        <v>84</v>
      </c>
      <c r="D477">
        <v>27</v>
      </c>
      <c r="E477">
        <v>80</v>
      </c>
      <c r="F477">
        <v>27</v>
      </c>
      <c r="G477">
        <v>1</v>
      </c>
      <c r="H477">
        <v>59</v>
      </c>
      <c r="I477">
        <v>0</v>
      </c>
    </row>
    <row r="478" spans="1:9" x14ac:dyDescent="0.25">
      <c r="A478">
        <v>2</v>
      </c>
      <c r="B478">
        <v>105</v>
      </c>
      <c r="C478">
        <v>80</v>
      </c>
      <c r="D478">
        <v>45</v>
      </c>
      <c r="E478">
        <v>191</v>
      </c>
      <c r="F478">
        <v>34</v>
      </c>
      <c r="G478">
        <v>1</v>
      </c>
      <c r="H478">
        <v>29</v>
      </c>
      <c r="I478">
        <v>1</v>
      </c>
    </row>
    <row r="479" spans="1:9" x14ac:dyDescent="0.25">
      <c r="A479">
        <v>7</v>
      </c>
      <c r="B479">
        <v>114</v>
      </c>
      <c r="C479">
        <v>76</v>
      </c>
      <c r="D479">
        <v>17</v>
      </c>
      <c r="E479">
        <v>110</v>
      </c>
      <c r="F479">
        <v>24</v>
      </c>
      <c r="G479">
        <v>1</v>
      </c>
      <c r="H479">
        <v>31</v>
      </c>
      <c r="I479">
        <v>0</v>
      </c>
    </row>
    <row r="480" spans="1:9" x14ac:dyDescent="0.25">
      <c r="A480">
        <v>8</v>
      </c>
      <c r="B480">
        <v>126</v>
      </c>
      <c r="C480">
        <v>74</v>
      </c>
      <c r="D480">
        <v>38</v>
      </c>
      <c r="E480">
        <v>75</v>
      </c>
      <c r="F480">
        <v>26</v>
      </c>
      <c r="G480">
        <v>1</v>
      </c>
      <c r="H480">
        <v>39</v>
      </c>
      <c r="I480">
        <v>0</v>
      </c>
    </row>
    <row r="481" spans="1:9" x14ac:dyDescent="0.25">
      <c r="A481">
        <v>4</v>
      </c>
      <c r="B481">
        <v>132</v>
      </c>
      <c r="C481">
        <v>86</v>
      </c>
      <c r="D481">
        <v>31</v>
      </c>
      <c r="E481">
        <v>80</v>
      </c>
      <c r="F481">
        <v>28</v>
      </c>
      <c r="G481">
        <v>1</v>
      </c>
      <c r="H481">
        <v>63</v>
      </c>
      <c r="I481">
        <v>0</v>
      </c>
    </row>
    <row r="482" spans="1:9" x14ac:dyDescent="0.25">
      <c r="A482">
        <v>3</v>
      </c>
      <c r="B482">
        <v>158</v>
      </c>
      <c r="C482">
        <v>70</v>
      </c>
      <c r="D482">
        <v>30</v>
      </c>
      <c r="E482">
        <v>328</v>
      </c>
      <c r="F482">
        <v>36</v>
      </c>
      <c r="G482">
        <v>1</v>
      </c>
      <c r="H482">
        <v>35</v>
      </c>
      <c r="I482">
        <v>1</v>
      </c>
    </row>
    <row r="483" spans="1:9" x14ac:dyDescent="0.25">
      <c r="A483">
        <v>4</v>
      </c>
      <c r="B483">
        <v>123</v>
      </c>
      <c r="C483">
        <v>88</v>
      </c>
      <c r="D483">
        <v>37</v>
      </c>
      <c r="E483">
        <v>80</v>
      </c>
      <c r="F483">
        <v>35</v>
      </c>
      <c r="G483">
        <v>1</v>
      </c>
      <c r="H483">
        <v>29</v>
      </c>
      <c r="I483">
        <v>0</v>
      </c>
    </row>
    <row r="484" spans="1:9" x14ac:dyDescent="0.25">
      <c r="A484">
        <v>4</v>
      </c>
      <c r="B484">
        <v>85</v>
      </c>
      <c r="C484">
        <v>58</v>
      </c>
      <c r="D484">
        <v>22</v>
      </c>
      <c r="E484">
        <v>49</v>
      </c>
      <c r="F484">
        <v>28</v>
      </c>
      <c r="G484">
        <v>1</v>
      </c>
      <c r="H484">
        <v>28</v>
      </c>
      <c r="I484">
        <v>0</v>
      </c>
    </row>
    <row r="485" spans="1:9" x14ac:dyDescent="0.25">
      <c r="A485">
        <v>4</v>
      </c>
      <c r="B485">
        <v>84</v>
      </c>
      <c r="C485">
        <v>82</v>
      </c>
      <c r="D485">
        <v>31</v>
      </c>
      <c r="E485">
        <v>125</v>
      </c>
      <c r="F485">
        <v>38</v>
      </c>
      <c r="G485">
        <v>1</v>
      </c>
      <c r="H485">
        <v>23</v>
      </c>
      <c r="I485">
        <v>0</v>
      </c>
    </row>
    <row r="486" spans="1:9" x14ac:dyDescent="0.25">
      <c r="A486">
        <v>4</v>
      </c>
      <c r="B486">
        <v>145</v>
      </c>
      <c r="C486">
        <v>69</v>
      </c>
      <c r="D486">
        <v>21</v>
      </c>
      <c r="E486">
        <v>80</v>
      </c>
      <c r="F486">
        <v>44</v>
      </c>
      <c r="G486">
        <v>1</v>
      </c>
      <c r="H486">
        <v>31</v>
      </c>
      <c r="I486">
        <v>1</v>
      </c>
    </row>
    <row r="487" spans="1:9" x14ac:dyDescent="0.25">
      <c r="A487">
        <v>4</v>
      </c>
      <c r="B487">
        <v>135</v>
      </c>
      <c r="C487">
        <v>68</v>
      </c>
      <c r="D487">
        <v>42</v>
      </c>
      <c r="E487">
        <v>250</v>
      </c>
      <c r="F487">
        <v>42</v>
      </c>
      <c r="G487">
        <v>1</v>
      </c>
      <c r="H487">
        <v>24</v>
      </c>
      <c r="I487">
        <v>1</v>
      </c>
    </row>
    <row r="488" spans="1:9" x14ac:dyDescent="0.25">
      <c r="A488">
        <v>1</v>
      </c>
      <c r="B488">
        <v>139</v>
      </c>
      <c r="C488">
        <v>62</v>
      </c>
      <c r="D488">
        <v>41</v>
      </c>
      <c r="E488">
        <v>480</v>
      </c>
      <c r="F488">
        <v>41</v>
      </c>
      <c r="G488">
        <v>1</v>
      </c>
      <c r="H488">
        <v>21</v>
      </c>
      <c r="I488">
        <v>0</v>
      </c>
    </row>
    <row r="489" spans="1:9" x14ac:dyDescent="0.25">
      <c r="A489">
        <v>4</v>
      </c>
      <c r="B489">
        <v>173</v>
      </c>
      <c r="C489">
        <v>78</v>
      </c>
      <c r="D489">
        <v>32</v>
      </c>
      <c r="E489">
        <v>265</v>
      </c>
      <c r="F489">
        <v>46</v>
      </c>
      <c r="G489">
        <v>1</v>
      </c>
      <c r="H489">
        <v>58</v>
      </c>
      <c r="I489">
        <v>0</v>
      </c>
    </row>
    <row r="490" spans="1:9" x14ac:dyDescent="0.25">
      <c r="A490">
        <v>4</v>
      </c>
      <c r="B490">
        <v>99</v>
      </c>
      <c r="C490">
        <v>72</v>
      </c>
      <c r="D490">
        <v>17</v>
      </c>
      <c r="E490">
        <v>80</v>
      </c>
      <c r="F490">
        <v>26</v>
      </c>
      <c r="G490">
        <v>1</v>
      </c>
      <c r="H490">
        <v>28</v>
      </c>
      <c r="I490">
        <v>0</v>
      </c>
    </row>
    <row r="491" spans="1:9" x14ac:dyDescent="0.25">
      <c r="A491">
        <v>8</v>
      </c>
      <c r="B491">
        <v>194</v>
      </c>
      <c r="C491">
        <v>80</v>
      </c>
      <c r="D491">
        <v>21</v>
      </c>
      <c r="E491">
        <v>80</v>
      </c>
      <c r="F491">
        <v>26</v>
      </c>
      <c r="G491">
        <v>1</v>
      </c>
      <c r="H491">
        <v>67</v>
      </c>
      <c r="I491">
        <v>0</v>
      </c>
    </row>
    <row r="492" spans="1:9" x14ac:dyDescent="0.25">
      <c r="A492">
        <v>2</v>
      </c>
      <c r="B492">
        <v>83</v>
      </c>
      <c r="C492">
        <v>65</v>
      </c>
      <c r="D492">
        <v>28</v>
      </c>
      <c r="E492">
        <v>66</v>
      </c>
      <c r="F492">
        <v>37</v>
      </c>
      <c r="G492">
        <v>1</v>
      </c>
      <c r="H492">
        <v>24</v>
      </c>
      <c r="I492">
        <v>0</v>
      </c>
    </row>
    <row r="493" spans="1:9" x14ac:dyDescent="0.25">
      <c r="A493">
        <v>2</v>
      </c>
      <c r="B493">
        <v>89</v>
      </c>
      <c r="C493">
        <v>90</v>
      </c>
      <c r="D493">
        <v>30</v>
      </c>
      <c r="E493">
        <v>80</v>
      </c>
      <c r="F493">
        <v>34</v>
      </c>
      <c r="G493">
        <v>1</v>
      </c>
      <c r="H493">
        <v>42</v>
      </c>
      <c r="I493">
        <v>0</v>
      </c>
    </row>
    <row r="494" spans="1:9" x14ac:dyDescent="0.25">
      <c r="A494">
        <v>4</v>
      </c>
      <c r="B494">
        <v>99</v>
      </c>
      <c r="C494">
        <v>68</v>
      </c>
      <c r="D494">
        <v>38</v>
      </c>
      <c r="E494">
        <v>80</v>
      </c>
      <c r="F494">
        <v>33</v>
      </c>
      <c r="G494">
        <v>1</v>
      </c>
      <c r="H494">
        <v>33</v>
      </c>
      <c r="I494">
        <v>0</v>
      </c>
    </row>
    <row r="495" spans="1:9" x14ac:dyDescent="0.25">
      <c r="A495">
        <v>4</v>
      </c>
      <c r="B495">
        <v>125</v>
      </c>
      <c r="C495">
        <v>70</v>
      </c>
      <c r="D495">
        <v>18</v>
      </c>
      <c r="E495">
        <v>122</v>
      </c>
      <c r="F495">
        <v>29</v>
      </c>
      <c r="G495">
        <v>1</v>
      </c>
      <c r="H495">
        <v>45</v>
      </c>
      <c r="I495">
        <v>1</v>
      </c>
    </row>
    <row r="496" spans="1:9" x14ac:dyDescent="0.25">
      <c r="A496">
        <v>3</v>
      </c>
      <c r="B496">
        <v>80</v>
      </c>
      <c r="C496">
        <v>69</v>
      </c>
      <c r="D496">
        <v>21</v>
      </c>
      <c r="E496">
        <v>80</v>
      </c>
      <c r="F496">
        <v>32</v>
      </c>
      <c r="G496">
        <v>1</v>
      </c>
      <c r="H496">
        <v>22</v>
      </c>
      <c r="I496">
        <v>0</v>
      </c>
    </row>
    <row r="497" spans="1:9" x14ac:dyDescent="0.25">
      <c r="A497">
        <v>6</v>
      </c>
      <c r="B497">
        <v>166</v>
      </c>
      <c r="C497">
        <v>74</v>
      </c>
      <c r="D497">
        <v>21</v>
      </c>
      <c r="E497">
        <v>80</v>
      </c>
      <c r="F497">
        <v>27</v>
      </c>
      <c r="G497">
        <v>1</v>
      </c>
      <c r="H497">
        <v>66</v>
      </c>
      <c r="I497">
        <v>0</v>
      </c>
    </row>
    <row r="498" spans="1:9" x14ac:dyDescent="0.25">
      <c r="A498">
        <v>5</v>
      </c>
      <c r="B498">
        <v>110</v>
      </c>
      <c r="C498">
        <v>68</v>
      </c>
      <c r="D498">
        <v>21</v>
      </c>
      <c r="E498">
        <v>80</v>
      </c>
      <c r="F498">
        <v>26</v>
      </c>
      <c r="G498">
        <v>1</v>
      </c>
      <c r="H498">
        <v>30</v>
      </c>
      <c r="I498">
        <v>0</v>
      </c>
    </row>
    <row r="499" spans="1:9" x14ac:dyDescent="0.25">
      <c r="A499">
        <v>2</v>
      </c>
      <c r="B499">
        <v>81</v>
      </c>
      <c r="C499">
        <v>72</v>
      </c>
      <c r="D499">
        <v>15</v>
      </c>
      <c r="E499">
        <v>76</v>
      </c>
      <c r="F499">
        <v>30</v>
      </c>
      <c r="G499">
        <v>1</v>
      </c>
      <c r="H499">
        <v>25</v>
      </c>
      <c r="I499">
        <v>0</v>
      </c>
    </row>
    <row r="500" spans="1:9" x14ac:dyDescent="0.25">
      <c r="A500">
        <v>7</v>
      </c>
      <c r="B500">
        <v>195</v>
      </c>
      <c r="C500">
        <v>70</v>
      </c>
      <c r="D500">
        <v>33</v>
      </c>
      <c r="E500">
        <v>145</v>
      </c>
      <c r="F500">
        <v>25</v>
      </c>
      <c r="G500">
        <v>1</v>
      </c>
      <c r="H500">
        <v>55</v>
      </c>
      <c r="I500">
        <v>1</v>
      </c>
    </row>
    <row r="501" spans="1:9" x14ac:dyDescent="0.25">
      <c r="A501">
        <v>6</v>
      </c>
      <c r="B501">
        <v>154</v>
      </c>
      <c r="C501">
        <v>74</v>
      </c>
      <c r="D501">
        <v>32</v>
      </c>
      <c r="E501">
        <v>193</v>
      </c>
      <c r="F501">
        <v>29</v>
      </c>
      <c r="G501">
        <v>1</v>
      </c>
      <c r="H501">
        <v>39</v>
      </c>
      <c r="I501">
        <v>0</v>
      </c>
    </row>
    <row r="502" spans="1:9" x14ac:dyDescent="0.25">
      <c r="A502">
        <v>2</v>
      </c>
      <c r="B502">
        <v>117</v>
      </c>
      <c r="C502">
        <v>90</v>
      </c>
      <c r="D502">
        <v>19</v>
      </c>
      <c r="E502">
        <v>71</v>
      </c>
      <c r="F502">
        <v>25</v>
      </c>
      <c r="G502">
        <v>1</v>
      </c>
      <c r="H502">
        <v>21</v>
      </c>
      <c r="I502">
        <v>0</v>
      </c>
    </row>
    <row r="503" spans="1:9" x14ac:dyDescent="0.25">
      <c r="A503">
        <v>3</v>
      </c>
      <c r="B503">
        <v>84</v>
      </c>
      <c r="C503">
        <v>72</v>
      </c>
      <c r="D503">
        <v>32</v>
      </c>
      <c r="E503">
        <v>80</v>
      </c>
      <c r="F503">
        <v>37</v>
      </c>
      <c r="G503">
        <v>1</v>
      </c>
      <c r="H503">
        <v>28</v>
      </c>
      <c r="I503">
        <v>0</v>
      </c>
    </row>
    <row r="504" spans="1:9" x14ac:dyDescent="0.25">
      <c r="A504">
        <v>6</v>
      </c>
      <c r="B504">
        <v>121</v>
      </c>
      <c r="C504">
        <v>68</v>
      </c>
      <c r="D504">
        <v>41</v>
      </c>
      <c r="E504">
        <v>80</v>
      </c>
      <c r="F504">
        <v>39</v>
      </c>
      <c r="G504">
        <v>1</v>
      </c>
      <c r="H504">
        <v>41</v>
      </c>
      <c r="I504">
        <v>1</v>
      </c>
    </row>
    <row r="505" spans="1:9" x14ac:dyDescent="0.25">
      <c r="A505">
        <v>7</v>
      </c>
      <c r="B505">
        <v>94</v>
      </c>
      <c r="C505">
        <v>64</v>
      </c>
      <c r="D505">
        <v>25</v>
      </c>
      <c r="E505">
        <v>79</v>
      </c>
      <c r="F505">
        <v>33</v>
      </c>
      <c r="G505">
        <v>1</v>
      </c>
      <c r="H505">
        <v>41</v>
      </c>
      <c r="I505">
        <v>0</v>
      </c>
    </row>
    <row r="506" spans="1:9" x14ac:dyDescent="0.25">
      <c r="A506">
        <v>3</v>
      </c>
      <c r="B506">
        <v>96</v>
      </c>
      <c r="C506">
        <v>78</v>
      </c>
      <c r="D506">
        <v>39</v>
      </c>
      <c r="E506">
        <v>80</v>
      </c>
      <c r="F506">
        <v>37</v>
      </c>
      <c r="G506">
        <v>1</v>
      </c>
      <c r="H506">
        <v>40</v>
      </c>
      <c r="I506">
        <v>0</v>
      </c>
    </row>
    <row r="507" spans="1:9" x14ac:dyDescent="0.25">
      <c r="A507">
        <v>10</v>
      </c>
      <c r="B507">
        <v>75</v>
      </c>
      <c r="C507">
        <v>82</v>
      </c>
      <c r="D507">
        <v>21</v>
      </c>
      <c r="E507">
        <v>80</v>
      </c>
      <c r="F507">
        <v>33</v>
      </c>
      <c r="G507">
        <v>1</v>
      </c>
      <c r="H507">
        <v>38</v>
      </c>
      <c r="I507">
        <v>0</v>
      </c>
    </row>
    <row r="508" spans="1:9" x14ac:dyDescent="0.25">
      <c r="A508">
        <v>4</v>
      </c>
      <c r="B508">
        <v>180</v>
      </c>
      <c r="C508">
        <v>90</v>
      </c>
      <c r="D508">
        <v>26</v>
      </c>
      <c r="E508">
        <v>90</v>
      </c>
      <c r="F508">
        <v>36</v>
      </c>
      <c r="G508">
        <v>1</v>
      </c>
      <c r="H508">
        <v>35</v>
      </c>
      <c r="I508">
        <v>1</v>
      </c>
    </row>
    <row r="509" spans="1:9" x14ac:dyDescent="0.25">
      <c r="A509">
        <v>1</v>
      </c>
      <c r="B509">
        <v>130</v>
      </c>
      <c r="C509">
        <v>60</v>
      </c>
      <c r="D509">
        <v>23</v>
      </c>
      <c r="E509">
        <v>170</v>
      </c>
      <c r="F509">
        <v>29</v>
      </c>
      <c r="G509">
        <v>1</v>
      </c>
      <c r="H509">
        <v>21</v>
      </c>
      <c r="I509">
        <v>0</v>
      </c>
    </row>
    <row r="510" spans="1:9" x14ac:dyDescent="0.25">
      <c r="A510">
        <v>2</v>
      </c>
      <c r="B510">
        <v>84</v>
      </c>
      <c r="C510">
        <v>50</v>
      </c>
      <c r="D510">
        <v>23</v>
      </c>
      <c r="E510">
        <v>76</v>
      </c>
      <c r="F510">
        <v>30</v>
      </c>
      <c r="G510">
        <v>1</v>
      </c>
      <c r="H510">
        <v>21</v>
      </c>
      <c r="I510">
        <v>0</v>
      </c>
    </row>
    <row r="511" spans="1:9" x14ac:dyDescent="0.25">
      <c r="A511">
        <v>8</v>
      </c>
      <c r="B511">
        <v>120</v>
      </c>
      <c r="C511">
        <v>78</v>
      </c>
      <c r="D511">
        <v>21</v>
      </c>
      <c r="E511">
        <v>80</v>
      </c>
      <c r="F511">
        <v>25</v>
      </c>
      <c r="G511">
        <v>1</v>
      </c>
      <c r="H511">
        <v>64</v>
      </c>
      <c r="I511">
        <v>0</v>
      </c>
    </row>
    <row r="512" spans="1:9" x14ac:dyDescent="0.25">
      <c r="A512">
        <v>12</v>
      </c>
      <c r="B512">
        <v>84</v>
      </c>
      <c r="C512">
        <v>72</v>
      </c>
      <c r="D512">
        <v>31</v>
      </c>
      <c r="E512">
        <v>80</v>
      </c>
      <c r="F512">
        <v>30</v>
      </c>
      <c r="G512">
        <v>1</v>
      </c>
      <c r="H512">
        <v>46</v>
      </c>
      <c r="I512">
        <v>1</v>
      </c>
    </row>
    <row r="513" spans="1:9" x14ac:dyDescent="0.25">
      <c r="A513">
        <v>4</v>
      </c>
      <c r="B513">
        <v>139</v>
      </c>
      <c r="C513">
        <v>62</v>
      </c>
      <c r="D513">
        <v>17</v>
      </c>
      <c r="E513">
        <v>210</v>
      </c>
      <c r="F513">
        <v>22</v>
      </c>
      <c r="G513">
        <v>1</v>
      </c>
      <c r="H513">
        <v>21</v>
      </c>
      <c r="I513">
        <v>0</v>
      </c>
    </row>
    <row r="514" spans="1:9" x14ac:dyDescent="0.25">
      <c r="A514">
        <v>9</v>
      </c>
      <c r="B514">
        <v>91</v>
      </c>
      <c r="C514">
        <v>68</v>
      </c>
      <c r="D514">
        <v>21</v>
      </c>
      <c r="E514">
        <v>80</v>
      </c>
      <c r="F514">
        <v>24</v>
      </c>
      <c r="G514">
        <v>1</v>
      </c>
      <c r="H514">
        <v>58</v>
      </c>
      <c r="I514">
        <v>0</v>
      </c>
    </row>
    <row r="515" spans="1:9" x14ac:dyDescent="0.25">
      <c r="A515">
        <v>2</v>
      </c>
      <c r="B515">
        <v>91</v>
      </c>
      <c r="C515">
        <v>62</v>
      </c>
      <c r="D515">
        <v>21</v>
      </c>
      <c r="E515">
        <v>80</v>
      </c>
      <c r="F515">
        <v>27</v>
      </c>
      <c r="G515">
        <v>1</v>
      </c>
      <c r="H515">
        <v>22</v>
      </c>
      <c r="I515">
        <v>0</v>
      </c>
    </row>
    <row r="516" spans="1:9" x14ac:dyDescent="0.25">
      <c r="A516">
        <v>3</v>
      </c>
      <c r="B516">
        <v>99</v>
      </c>
      <c r="C516">
        <v>54</v>
      </c>
      <c r="D516">
        <v>19</v>
      </c>
      <c r="E516">
        <v>86</v>
      </c>
      <c r="F516">
        <v>26</v>
      </c>
      <c r="G516">
        <v>1</v>
      </c>
      <c r="H516">
        <v>24</v>
      </c>
      <c r="I516">
        <v>0</v>
      </c>
    </row>
    <row r="517" spans="1:9" x14ac:dyDescent="0.25">
      <c r="A517">
        <v>3</v>
      </c>
      <c r="B517">
        <v>163</v>
      </c>
      <c r="C517">
        <v>70</v>
      </c>
      <c r="D517">
        <v>18</v>
      </c>
      <c r="E517">
        <v>105</v>
      </c>
      <c r="F517">
        <v>32</v>
      </c>
      <c r="G517">
        <v>1</v>
      </c>
      <c r="H517">
        <v>28</v>
      </c>
      <c r="I517">
        <v>1</v>
      </c>
    </row>
    <row r="518" spans="1:9" x14ac:dyDescent="0.25">
      <c r="A518">
        <v>9</v>
      </c>
      <c r="B518">
        <v>145</v>
      </c>
      <c r="C518">
        <v>88</v>
      </c>
      <c r="D518">
        <v>34</v>
      </c>
      <c r="E518">
        <v>165</v>
      </c>
      <c r="F518">
        <v>30</v>
      </c>
      <c r="G518">
        <v>1</v>
      </c>
      <c r="H518">
        <v>53</v>
      </c>
      <c r="I518">
        <v>1</v>
      </c>
    </row>
    <row r="519" spans="1:9" x14ac:dyDescent="0.25">
      <c r="A519">
        <v>7</v>
      </c>
      <c r="B519">
        <v>125</v>
      </c>
      <c r="C519">
        <v>86</v>
      </c>
      <c r="D519">
        <v>21</v>
      </c>
      <c r="E519">
        <v>80</v>
      </c>
      <c r="F519">
        <v>38</v>
      </c>
      <c r="G519">
        <v>1</v>
      </c>
      <c r="H519">
        <v>51</v>
      </c>
      <c r="I519">
        <v>0</v>
      </c>
    </row>
    <row r="520" spans="1:9" x14ac:dyDescent="0.25">
      <c r="A520">
        <v>13</v>
      </c>
      <c r="B520">
        <v>76</v>
      </c>
      <c r="C520">
        <v>60</v>
      </c>
      <c r="D520">
        <v>21</v>
      </c>
      <c r="E520">
        <v>80</v>
      </c>
      <c r="F520">
        <v>33</v>
      </c>
      <c r="G520">
        <v>1</v>
      </c>
      <c r="H520">
        <v>41</v>
      </c>
      <c r="I520">
        <v>0</v>
      </c>
    </row>
    <row r="521" spans="1:9" x14ac:dyDescent="0.25">
      <c r="A521">
        <v>6</v>
      </c>
      <c r="B521">
        <v>129</v>
      </c>
      <c r="C521">
        <v>90</v>
      </c>
      <c r="D521">
        <v>7</v>
      </c>
      <c r="E521">
        <v>326</v>
      </c>
      <c r="F521">
        <v>20</v>
      </c>
      <c r="G521">
        <v>1</v>
      </c>
      <c r="H521">
        <v>60</v>
      </c>
      <c r="I521">
        <v>0</v>
      </c>
    </row>
    <row r="522" spans="1:9" x14ac:dyDescent="0.25">
      <c r="A522">
        <v>2</v>
      </c>
      <c r="B522">
        <v>68</v>
      </c>
      <c r="C522">
        <v>70</v>
      </c>
      <c r="D522">
        <v>32</v>
      </c>
      <c r="E522">
        <v>66</v>
      </c>
      <c r="F522">
        <v>25</v>
      </c>
      <c r="G522">
        <v>1</v>
      </c>
      <c r="H522">
        <v>25</v>
      </c>
      <c r="I522">
        <v>0</v>
      </c>
    </row>
    <row r="523" spans="1:9" x14ac:dyDescent="0.25">
      <c r="A523">
        <v>3</v>
      </c>
      <c r="B523">
        <v>124</v>
      </c>
      <c r="C523">
        <v>80</v>
      </c>
      <c r="D523">
        <v>33</v>
      </c>
      <c r="E523">
        <v>130</v>
      </c>
      <c r="F523">
        <v>33</v>
      </c>
      <c r="G523">
        <v>1</v>
      </c>
      <c r="H523">
        <v>26</v>
      </c>
      <c r="I523">
        <v>0</v>
      </c>
    </row>
    <row r="524" spans="1:9" x14ac:dyDescent="0.25">
      <c r="A524">
        <v>6</v>
      </c>
      <c r="B524">
        <v>114</v>
      </c>
      <c r="C524">
        <v>69</v>
      </c>
      <c r="D524">
        <v>21</v>
      </c>
      <c r="E524">
        <v>80</v>
      </c>
      <c r="F524">
        <v>32</v>
      </c>
      <c r="G524">
        <v>1</v>
      </c>
      <c r="H524">
        <v>26</v>
      </c>
      <c r="I524">
        <v>0</v>
      </c>
    </row>
    <row r="525" spans="1:9" x14ac:dyDescent="0.25">
      <c r="A525">
        <v>9</v>
      </c>
      <c r="B525">
        <v>130</v>
      </c>
      <c r="C525">
        <v>70</v>
      </c>
      <c r="D525">
        <v>21</v>
      </c>
      <c r="E525">
        <v>80</v>
      </c>
      <c r="F525">
        <v>34</v>
      </c>
      <c r="G525">
        <v>1</v>
      </c>
      <c r="H525">
        <v>45</v>
      </c>
      <c r="I525">
        <v>1</v>
      </c>
    </row>
    <row r="526" spans="1:9" x14ac:dyDescent="0.25">
      <c r="A526">
        <v>3</v>
      </c>
      <c r="B526">
        <v>125</v>
      </c>
      <c r="C526">
        <v>58</v>
      </c>
      <c r="D526">
        <v>21</v>
      </c>
      <c r="E526">
        <v>80</v>
      </c>
      <c r="F526">
        <v>32</v>
      </c>
      <c r="G526">
        <v>1</v>
      </c>
      <c r="H526">
        <v>24</v>
      </c>
      <c r="I526">
        <v>0</v>
      </c>
    </row>
    <row r="527" spans="1:9" x14ac:dyDescent="0.25">
      <c r="A527">
        <v>3</v>
      </c>
      <c r="B527">
        <v>87</v>
      </c>
      <c r="C527">
        <v>60</v>
      </c>
      <c r="D527">
        <v>18</v>
      </c>
      <c r="E527">
        <v>80</v>
      </c>
      <c r="F527">
        <v>22</v>
      </c>
      <c r="G527">
        <v>1</v>
      </c>
      <c r="H527">
        <v>21</v>
      </c>
      <c r="I527">
        <v>0</v>
      </c>
    </row>
    <row r="528" spans="1:9" x14ac:dyDescent="0.25">
      <c r="A528">
        <v>1</v>
      </c>
      <c r="B528">
        <v>97</v>
      </c>
      <c r="C528">
        <v>64</v>
      </c>
      <c r="D528">
        <v>19</v>
      </c>
      <c r="E528">
        <v>82</v>
      </c>
      <c r="F528">
        <v>18</v>
      </c>
      <c r="G528">
        <v>1</v>
      </c>
      <c r="H528">
        <v>21</v>
      </c>
      <c r="I528">
        <v>0</v>
      </c>
    </row>
    <row r="529" spans="1:9" x14ac:dyDescent="0.25">
      <c r="A529">
        <v>3</v>
      </c>
      <c r="B529">
        <v>116</v>
      </c>
      <c r="C529">
        <v>74</v>
      </c>
      <c r="D529">
        <v>15</v>
      </c>
      <c r="E529">
        <v>105</v>
      </c>
      <c r="F529">
        <v>26</v>
      </c>
      <c r="G529">
        <v>1</v>
      </c>
      <c r="H529">
        <v>24</v>
      </c>
      <c r="I529">
        <v>0</v>
      </c>
    </row>
    <row r="530" spans="1:9" x14ac:dyDescent="0.25">
      <c r="A530">
        <v>4</v>
      </c>
      <c r="B530">
        <v>117</v>
      </c>
      <c r="C530">
        <v>66</v>
      </c>
      <c r="D530">
        <v>31</v>
      </c>
      <c r="E530">
        <v>188</v>
      </c>
      <c r="F530">
        <v>31</v>
      </c>
      <c r="G530">
        <v>1</v>
      </c>
      <c r="H530">
        <v>22</v>
      </c>
      <c r="I530">
        <v>0</v>
      </c>
    </row>
    <row r="531" spans="1:9" x14ac:dyDescent="0.25">
      <c r="A531">
        <v>4</v>
      </c>
      <c r="B531">
        <v>111</v>
      </c>
      <c r="C531">
        <v>65</v>
      </c>
      <c r="D531">
        <v>21</v>
      </c>
      <c r="E531">
        <v>80</v>
      </c>
      <c r="F531">
        <v>25</v>
      </c>
      <c r="G531">
        <v>1</v>
      </c>
      <c r="H531">
        <v>31</v>
      </c>
      <c r="I531">
        <v>0</v>
      </c>
    </row>
    <row r="532" spans="1:9" x14ac:dyDescent="0.25">
      <c r="A532">
        <v>2</v>
      </c>
      <c r="B532">
        <v>122</v>
      </c>
      <c r="C532">
        <v>60</v>
      </c>
      <c r="D532">
        <v>18</v>
      </c>
      <c r="E532">
        <v>106</v>
      </c>
      <c r="F532">
        <v>30</v>
      </c>
      <c r="G532">
        <v>1</v>
      </c>
      <c r="H532">
        <v>22</v>
      </c>
      <c r="I532">
        <v>0</v>
      </c>
    </row>
    <row r="533" spans="1:9" x14ac:dyDescent="0.25">
      <c r="A533">
        <v>4</v>
      </c>
      <c r="B533">
        <v>107</v>
      </c>
      <c r="C533">
        <v>76</v>
      </c>
      <c r="D533">
        <v>21</v>
      </c>
      <c r="E533">
        <v>80</v>
      </c>
      <c r="F533">
        <v>45</v>
      </c>
      <c r="G533">
        <v>1</v>
      </c>
      <c r="H533">
        <v>24</v>
      </c>
      <c r="I533">
        <v>0</v>
      </c>
    </row>
    <row r="534" spans="1:9" x14ac:dyDescent="0.25">
      <c r="A534">
        <v>1</v>
      </c>
      <c r="B534">
        <v>86</v>
      </c>
      <c r="C534">
        <v>66</v>
      </c>
      <c r="D534">
        <v>52</v>
      </c>
      <c r="E534">
        <v>65</v>
      </c>
      <c r="F534">
        <v>41</v>
      </c>
      <c r="G534">
        <v>1</v>
      </c>
      <c r="H534">
        <v>29</v>
      </c>
      <c r="I534">
        <v>0</v>
      </c>
    </row>
    <row r="535" spans="1:9" x14ac:dyDescent="0.25">
      <c r="A535">
        <v>6</v>
      </c>
      <c r="B535">
        <v>91</v>
      </c>
      <c r="C535">
        <v>69</v>
      </c>
      <c r="D535">
        <v>21</v>
      </c>
      <c r="E535">
        <v>80</v>
      </c>
      <c r="F535">
        <v>30</v>
      </c>
      <c r="G535">
        <v>1</v>
      </c>
      <c r="H535">
        <v>31</v>
      </c>
      <c r="I535">
        <v>0</v>
      </c>
    </row>
    <row r="536" spans="1:9" x14ac:dyDescent="0.25">
      <c r="A536">
        <v>1</v>
      </c>
      <c r="B536">
        <v>77</v>
      </c>
      <c r="C536">
        <v>56</v>
      </c>
      <c r="D536">
        <v>30</v>
      </c>
      <c r="E536">
        <v>56</v>
      </c>
      <c r="F536">
        <v>33</v>
      </c>
      <c r="G536">
        <v>1</v>
      </c>
      <c r="H536">
        <v>24</v>
      </c>
      <c r="I536">
        <v>0</v>
      </c>
    </row>
    <row r="537" spans="1:9" x14ac:dyDescent="0.25">
      <c r="A537">
        <v>4</v>
      </c>
      <c r="B537">
        <v>132</v>
      </c>
      <c r="C537">
        <v>69</v>
      </c>
      <c r="D537">
        <v>21</v>
      </c>
      <c r="E537">
        <v>80</v>
      </c>
      <c r="F537">
        <v>33</v>
      </c>
      <c r="G537">
        <v>1</v>
      </c>
      <c r="H537">
        <v>23</v>
      </c>
      <c r="I537">
        <v>1</v>
      </c>
    </row>
    <row r="538" spans="1:9" x14ac:dyDescent="0.25">
      <c r="A538">
        <v>4</v>
      </c>
      <c r="B538">
        <v>105</v>
      </c>
      <c r="C538">
        <v>90</v>
      </c>
      <c r="D538">
        <v>21</v>
      </c>
      <c r="E538">
        <v>80</v>
      </c>
      <c r="F538">
        <v>30</v>
      </c>
      <c r="G538">
        <v>1</v>
      </c>
      <c r="H538">
        <v>46</v>
      </c>
      <c r="I538">
        <v>0</v>
      </c>
    </row>
    <row r="539" spans="1:9" x14ac:dyDescent="0.25">
      <c r="A539">
        <v>4</v>
      </c>
      <c r="B539">
        <v>57</v>
      </c>
      <c r="C539">
        <v>60</v>
      </c>
      <c r="D539">
        <v>21</v>
      </c>
      <c r="E539">
        <v>80</v>
      </c>
      <c r="F539">
        <v>22</v>
      </c>
      <c r="G539">
        <v>1</v>
      </c>
      <c r="H539">
        <v>67</v>
      </c>
      <c r="I539">
        <v>0</v>
      </c>
    </row>
    <row r="540" spans="1:9" x14ac:dyDescent="0.25">
      <c r="A540">
        <v>4</v>
      </c>
      <c r="B540">
        <v>127</v>
      </c>
      <c r="C540">
        <v>80</v>
      </c>
      <c r="D540">
        <v>37</v>
      </c>
      <c r="E540">
        <v>210</v>
      </c>
      <c r="F540">
        <v>36</v>
      </c>
      <c r="G540">
        <v>1</v>
      </c>
      <c r="H540">
        <v>23</v>
      </c>
      <c r="I540">
        <v>0</v>
      </c>
    </row>
    <row r="541" spans="1:9" x14ac:dyDescent="0.25">
      <c r="A541">
        <v>3</v>
      </c>
      <c r="B541">
        <v>129</v>
      </c>
      <c r="C541">
        <v>92</v>
      </c>
      <c r="D541">
        <v>49</v>
      </c>
      <c r="E541">
        <v>155</v>
      </c>
      <c r="F541">
        <v>36</v>
      </c>
      <c r="G541">
        <v>1</v>
      </c>
      <c r="H541">
        <v>32</v>
      </c>
      <c r="I541">
        <v>1</v>
      </c>
    </row>
    <row r="542" spans="1:9" x14ac:dyDescent="0.25">
      <c r="A542">
        <v>8</v>
      </c>
      <c r="B542">
        <v>100</v>
      </c>
      <c r="C542">
        <v>74</v>
      </c>
      <c r="D542">
        <v>40</v>
      </c>
      <c r="E542">
        <v>215</v>
      </c>
      <c r="F542">
        <v>39</v>
      </c>
      <c r="G542">
        <v>1</v>
      </c>
      <c r="H542">
        <v>43</v>
      </c>
      <c r="I542">
        <v>1</v>
      </c>
    </row>
    <row r="543" spans="1:9" x14ac:dyDescent="0.25">
      <c r="A543">
        <v>3</v>
      </c>
      <c r="B543">
        <v>128</v>
      </c>
      <c r="C543">
        <v>72</v>
      </c>
      <c r="D543">
        <v>25</v>
      </c>
      <c r="E543">
        <v>190</v>
      </c>
      <c r="F543">
        <v>32</v>
      </c>
      <c r="G543">
        <v>1</v>
      </c>
      <c r="H543">
        <v>27</v>
      </c>
      <c r="I543">
        <v>1</v>
      </c>
    </row>
    <row r="544" spans="1:9" x14ac:dyDescent="0.25">
      <c r="A544">
        <v>10</v>
      </c>
      <c r="B544">
        <v>90</v>
      </c>
      <c r="C544">
        <v>85</v>
      </c>
      <c r="D544">
        <v>32</v>
      </c>
      <c r="E544">
        <v>80</v>
      </c>
      <c r="F544">
        <v>35</v>
      </c>
      <c r="G544">
        <v>1</v>
      </c>
      <c r="H544">
        <v>56</v>
      </c>
      <c r="I544">
        <v>1</v>
      </c>
    </row>
    <row r="545" spans="1:9" x14ac:dyDescent="0.25">
      <c r="A545">
        <v>4</v>
      </c>
      <c r="B545">
        <v>84</v>
      </c>
      <c r="C545">
        <v>90</v>
      </c>
      <c r="D545">
        <v>23</v>
      </c>
      <c r="E545">
        <v>56</v>
      </c>
      <c r="F545">
        <v>40</v>
      </c>
      <c r="G545">
        <v>1</v>
      </c>
      <c r="H545">
        <v>25</v>
      </c>
      <c r="I545">
        <v>0</v>
      </c>
    </row>
    <row r="546" spans="1:9" x14ac:dyDescent="0.25">
      <c r="A546">
        <v>1</v>
      </c>
      <c r="B546">
        <v>88</v>
      </c>
      <c r="C546">
        <v>78</v>
      </c>
      <c r="D546">
        <v>29</v>
      </c>
      <c r="E546">
        <v>76</v>
      </c>
      <c r="F546">
        <v>32</v>
      </c>
      <c r="G546">
        <v>1</v>
      </c>
      <c r="H546">
        <v>29</v>
      </c>
      <c r="I546">
        <v>0</v>
      </c>
    </row>
    <row r="547" spans="1:9" x14ac:dyDescent="0.25">
      <c r="A547">
        <v>8</v>
      </c>
      <c r="B547">
        <v>186</v>
      </c>
      <c r="C547">
        <v>90</v>
      </c>
      <c r="D547">
        <v>35</v>
      </c>
      <c r="E547">
        <v>225</v>
      </c>
      <c r="F547">
        <v>34</v>
      </c>
      <c r="G547">
        <v>1</v>
      </c>
      <c r="H547">
        <v>37</v>
      </c>
      <c r="I547">
        <v>1</v>
      </c>
    </row>
    <row r="548" spans="1:9" x14ac:dyDescent="0.25">
      <c r="A548">
        <v>5</v>
      </c>
      <c r="B548">
        <v>187</v>
      </c>
      <c r="C548">
        <v>76</v>
      </c>
      <c r="D548">
        <v>27</v>
      </c>
      <c r="E548">
        <v>207</v>
      </c>
      <c r="F548">
        <v>44</v>
      </c>
      <c r="G548">
        <v>1</v>
      </c>
      <c r="H548">
        <v>53</v>
      </c>
      <c r="I548">
        <v>1</v>
      </c>
    </row>
    <row r="549" spans="1:9" x14ac:dyDescent="0.25">
      <c r="A549">
        <v>4</v>
      </c>
      <c r="B549">
        <v>131</v>
      </c>
      <c r="C549">
        <v>68</v>
      </c>
      <c r="D549">
        <v>21</v>
      </c>
      <c r="E549">
        <v>166</v>
      </c>
      <c r="F549">
        <v>33</v>
      </c>
      <c r="G549">
        <v>1</v>
      </c>
      <c r="H549">
        <v>28</v>
      </c>
      <c r="I549">
        <v>0</v>
      </c>
    </row>
    <row r="550" spans="1:9" x14ac:dyDescent="0.25">
      <c r="A550">
        <v>1</v>
      </c>
      <c r="B550">
        <v>164</v>
      </c>
      <c r="C550">
        <v>82</v>
      </c>
      <c r="D550">
        <v>43</v>
      </c>
      <c r="E550">
        <v>67</v>
      </c>
      <c r="F550">
        <v>33</v>
      </c>
      <c r="G550">
        <v>1</v>
      </c>
      <c r="H550">
        <v>50</v>
      </c>
      <c r="I550">
        <v>0</v>
      </c>
    </row>
    <row r="551" spans="1:9" x14ac:dyDescent="0.25">
      <c r="A551">
        <v>4</v>
      </c>
      <c r="B551">
        <v>189</v>
      </c>
      <c r="C551">
        <v>110</v>
      </c>
      <c r="D551">
        <v>31</v>
      </c>
      <c r="E551">
        <v>80</v>
      </c>
      <c r="F551">
        <v>28</v>
      </c>
      <c r="G551">
        <v>1</v>
      </c>
      <c r="H551">
        <v>37</v>
      </c>
      <c r="I551">
        <v>0</v>
      </c>
    </row>
    <row r="552" spans="1:9" x14ac:dyDescent="0.25">
      <c r="A552">
        <v>1</v>
      </c>
      <c r="B552">
        <v>116</v>
      </c>
      <c r="C552">
        <v>70</v>
      </c>
      <c r="D552">
        <v>28</v>
      </c>
      <c r="E552">
        <v>80</v>
      </c>
      <c r="F552">
        <v>27</v>
      </c>
      <c r="G552">
        <v>1</v>
      </c>
      <c r="H552">
        <v>21</v>
      </c>
      <c r="I552">
        <v>0</v>
      </c>
    </row>
    <row r="553" spans="1:9" x14ac:dyDescent="0.25">
      <c r="A553">
        <v>3</v>
      </c>
      <c r="B553">
        <v>84</v>
      </c>
      <c r="C553">
        <v>68</v>
      </c>
      <c r="D553">
        <v>30</v>
      </c>
      <c r="E553">
        <v>106</v>
      </c>
      <c r="F553">
        <v>32</v>
      </c>
      <c r="G553">
        <v>1</v>
      </c>
      <c r="H553">
        <v>25</v>
      </c>
      <c r="I553">
        <v>0</v>
      </c>
    </row>
    <row r="554" spans="1:9" x14ac:dyDescent="0.25">
      <c r="A554">
        <v>6</v>
      </c>
      <c r="B554">
        <v>114</v>
      </c>
      <c r="C554">
        <v>88</v>
      </c>
      <c r="D554">
        <v>21</v>
      </c>
      <c r="E554">
        <v>80</v>
      </c>
      <c r="F554">
        <v>28</v>
      </c>
      <c r="G554">
        <v>1</v>
      </c>
      <c r="H554">
        <v>66</v>
      </c>
      <c r="I554">
        <v>0</v>
      </c>
    </row>
    <row r="555" spans="1:9" x14ac:dyDescent="0.25">
      <c r="A555">
        <v>1</v>
      </c>
      <c r="B555">
        <v>88</v>
      </c>
      <c r="C555">
        <v>62</v>
      </c>
      <c r="D555">
        <v>24</v>
      </c>
      <c r="E555">
        <v>44</v>
      </c>
      <c r="F555">
        <v>30</v>
      </c>
      <c r="G555">
        <v>1</v>
      </c>
      <c r="H555">
        <v>23</v>
      </c>
      <c r="I555">
        <v>0</v>
      </c>
    </row>
    <row r="556" spans="1:9" x14ac:dyDescent="0.25">
      <c r="A556">
        <v>1</v>
      </c>
      <c r="B556">
        <v>84</v>
      </c>
      <c r="C556">
        <v>64</v>
      </c>
      <c r="D556">
        <v>23</v>
      </c>
      <c r="E556">
        <v>115</v>
      </c>
      <c r="F556">
        <v>37</v>
      </c>
      <c r="G556">
        <v>1</v>
      </c>
      <c r="H556">
        <v>28</v>
      </c>
      <c r="I556">
        <v>0</v>
      </c>
    </row>
    <row r="557" spans="1:9" x14ac:dyDescent="0.25">
      <c r="A557">
        <v>7</v>
      </c>
      <c r="B557">
        <v>124</v>
      </c>
      <c r="C557">
        <v>70</v>
      </c>
      <c r="D557">
        <v>33</v>
      </c>
      <c r="E557">
        <v>215</v>
      </c>
      <c r="F557">
        <v>26</v>
      </c>
      <c r="G557">
        <v>1</v>
      </c>
      <c r="H557">
        <v>37</v>
      </c>
      <c r="I557">
        <v>0</v>
      </c>
    </row>
    <row r="558" spans="1:9" x14ac:dyDescent="0.25">
      <c r="A558">
        <v>1</v>
      </c>
      <c r="B558">
        <v>97</v>
      </c>
      <c r="C558">
        <v>70</v>
      </c>
      <c r="D558">
        <v>40</v>
      </c>
      <c r="E558">
        <v>80</v>
      </c>
      <c r="F558">
        <v>38</v>
      </c>
      <c r="G558">
        <v>1</v>
      </c>
      <c r="H558">
        <v>30</v>
      </c>
      <c r="I558">
        <v>0</v>
      </c>
    </row>
    <row r="559" spans="1:9" x14ac:dyDescent="0.25">
      <c r="A559">
        <v>8</v>
      </c>
      <c r="B559">
        <v>110</v>
      </c>
      <c r="C559">
        <v>76</v>
      </c>
      <c r="D559">
        <v>21</v>
      </c>
      <c r="E559">
        <v>80</v>
      </c>
      <c r="F559">
        <v>28</v>
      </c>
      <c r="G559">
        <v>1</v>
      </c>
      <c r="H559">
        <v>58</v>
      </c>
      <c r="I559">
        <v>0</v>
      </c>
    </row>
    <row r="560" spans="1:9" x14ac:dyDescent="0.25">
      <c r="A560">
        <v>11</v>
      </c>
      <c r="B560">
        <v>103</v>
      </c>
      <c r="C560">
        <v>68</v>
      </c>
      <c r="D560">
        <v>40</v>
      </c>
      <c r="E560">
        <v>80</v>
      </c>
      <c r="F560">
        <v>46</v>
      </c>
      <c r="G560">
        <v>1</v>
      </c>
      <c r="H560">
        <v>42</v>
      </c>
      <c r="I560">
        <v>0</v>
      </c>
    </row>
    <row r="561" spans="1:9" x14ac:dyDescent="0.25">
      <c r="A561">
        <v>11</v>
      </c>
      <c r="B561">
        <v>85</v>
      </c>
      <c r="C561">
        <v>74</v>
      </c>
      <c r="D561">
        <v>21</v>
      </c>
      <c r="E561">
        <v>80</v>
      </c>
      <c r="F561">
        <v>30</v>
      </c>
      <c r="G561">
        <v>1</v>
      </c>
      <c r="H561">
        <v>35</v>
      </c>
      <c r="I561">
        <v>0</v>
      </c>
    </row>
    <row r="562" spans="1:9" x14ac:dyDescent="0.25">
      <c r="A562">
        <v>6</v>
      </c>
      <c r="B562">
        <v>125</v>
      </c>
      <c r="C562">
        <v>76</v>
      </c>
      <c r="D562">
        <v>21</v>
      </c>
      <c r="E562">
        <v>80</v>
      </c>
      <c r="F562">
        <v>34</v>
      </c>
      <c r="G562">
        <v>1</v>
      </c>
      <c r="H562">
        <v>54</v>
      </c>
      <c r="I562">
        <v>1</v>
      </c>
    </row>
    <row r="563" spans="1:9" x14ac:dyDescent="0.25">
      <c r="A563">
        <v>4</v>
      </c>
      <c r="B563">
        <v>198</v>
      </c>
      <c r="C563">
        <v>66</v>
      </c>
      <c r="D563">
        <v>32</v>
      </c>
      <c r="E563">
        <v>274</v>
      </c>
      <c r="F563">
        <v>41</v>
      </c>
      <c r="G563">
        <v>1</v>
      </c>
      <c r="H563">
        <v>28</v>
      </c>
      <c r="I563">
        <v>1</v>
      </c>
    </row>
    <row r="564" spans="1:9" x14ac:dyDescent="0.25">
      <c r="A564">
        <v>1</v>
      </c>
      <c r="B564">
        <v>87</v>
      </c>
      <c r="C564">
        <v>68</v>
      </c>
      <c r="D564">
        <v>34</v>
      </c>
      <c r="E564">
        <v>77</v>
      </c>
      <c r="F564">
        <v>38</v>
      </c>
      <c r="G564">
        <v>1</v>
      </c>
      <c r="H564">
        <v>24</v>
      </c>
      <c r="I564">
        <v>0</v>
      </c>
    </row>
    <row r="565" spans="1:9" x14ac:dyDescent="0.25">
      <c r="A565">
        <v>6</v>
      </c>
      <c r="B565">
        <v>99</v>
      </c>
      <c r="C565">
        <v>60</v>
      </c>
      <c r="D565">
        <v>19</v>
      </c>
      <c r="E565">
        <v>54</v>
      </c>
      <c r="F565">
        <v>27</v>
      </c>
      <c r="G565">
        <v>1</v>
      </c>
      <c r="H565">
        <v>32</v>
      </c>
      <c r="I565">
        <v>0</v>
      </c>
    </row>
    <row r="566" spans="1:9" x14ac:dyDescent="0.25">
      <c r="A566">
        <v>4</v>
      </c>
      <c r="B566">
        <v>91</v>
      </c>
      <c r="C566">
        <v>80</v>
      </c>
      <c r="D566">
        <v>21</v>
      </c>
      <c r="E566">
        <v>80</v>
      </c>
      <c r="F566">
        <v>32</v>
      </c>
      <c r="G566">
        <v>1</v>
      </c>
      <c r="H566">
        <v>27</v>
      </c>
      <c r="I566">
        <v>0</v>
      </c>
    </row>
    <row r="567" spans="1:9" x14ac:dyDescent="0.25">
      <c r="A567">
        <v>2</v>
      </c>
      <c r="B567">
        <v>95</v>
      </c>
      <c r="C567">
        <v>54</v>
      </c>
      <c r="D567">
        <v>14</v>
      </c>
      <c r="E567">
        <v>88</v>
      </c>
      <c r="F567">
        <v>26</v>
      </c>
      <c r="G567">
        <v>1</v>
      </c>
      <c r="H567">
        <v>22</v>
      </c>
      <c r="I567">
        <v>0</v>
      </c>
    </row>
    <row r="568" spans="1:9" x14ac:dyDescent="0.25">
      <c r="A568">
        <v>1</v>
      </c>
      <c r="B568">
        <v>99</v>
      </c>
      <c r="C568">
        <v>72</v>
      </c>
      <c r="D568">
        <v>30</v>
      </c>
      <c r="E568">
        <v>18</v>
      </c>
      <c r="F568">
        <v>39</v>
      </c>
      <c r="G568">
        <v>1</v>
      </c>
      <c r="H568">
        <v>21</v>
      </c>
      <c r="I568">
        <v>0</v>
      </c>
    </row>
    <row r="569" spans="1:9" x14ac:dyDescent="0.25">
      <c r="A569">
        <v>6</v>
      </c>
      <c r="B569">
        <v>92</v>
      </c>
      <c r="C569">
        <v>62</v>
      </c>
      <c r="D569">
        <v>32</v>
      </c>
      <c r="E569">
        <v>126</v>
      </c>
      <c r="F569">
        <v>32</v>
      </c>
      <c r="G569">
        <v>1</v>
      </c>
      <c r="H569">
        <v>46</v>
      </c>
      <c r="I569">
        <v>0</v>
      </c>
    </row>
    <row r="570" spans="1:9" x14ac:dyDescent="0.25">
      <c r="A570">
        <v>4</v>
      </c>
      <c r="B570">
        <v>154</v>
      </c>
      <c r="C570">
        <v>72</v>
      </c>
      <c r="D570">
        <v>29</v>
      </c>
      <c r="E570">
        <v>126</v>
      </c>
      <c r="F570">
        <v>31</v>
      </c>
      <c r="G570">
        <v>1</v>
      </c>
      <c r="H570">
        <v>37</v>
      </c>
      <c r="I570">
        <v>0</v>
      </c>
    </row>
    <row r="571" spans="1:9" x14ac:dyDescent="0.25">
      <c r="A571">
        <v>4</v>
      </c>
      <c r="B571">
        <v>121</v>
      </c>
      <c r="C571">
        <v>66</v>
      </c>
      <c r="D571">
        <v>30</v>
      </c>
      <c r="E571">
        <v>165</v>
      </c>
      <c r="F571">
        <v>34</v>
      </c>
      <c r="G571">
        <v>1</v>
      </c>
      <c r="H571">
        <v>33</v>
      </c>
      <c r="I571">
        <v>1</v>
      </c>
    </row>
    <row r="572" spans="1:9" x14ac:dyDescent="0.25">
      <c r="A572">
        <v>3</v>
      </c>
      <c r="B572">
        <v>78</v>
      </c>
      <c r="C572">
        <v>70</v>
      </c>
      <c r="D572">
        <v>21</v>
      </c>
      <c r="E572">
        <v>80</v>
      </c>
      <c r="F572">
        <v>32</v>
      </c>
      <c r="G572">
        <v>1</v>
      </c>
      <c r="H572">
        <v>39</v>
      </c>
      <c r="I572">
        <v>0</v>
      </c>
    </row>
    <row r="573" spans="1:9" x14ac:dyDescent="0.25">
      <c r="A573">
        <v>2</v>
      </c>
      <c r="B573">
        <v>130</v>
      </c>
      <c r="C573">
        <v>96</v>
      </c>
      <c r="D573">
        <v>21</v>
      </c>
      <c r="E573">
        <v>80</v>
      </c>
      <c r="F573">
        <v>23</v>
      </c>
      <c r="G573">
        <v>1</v>
      </c>
      <c r="H573">
        <v>21</v>
      </c>
      <c r="I573">
        <v>0</v>
      </c>
    </row>
    <row r="574" spans="1:9" x14ac:dyDescent="0.25">
      <c r="A574">
        <v>3</v>
      </c>
      <c r="B574">
        <v>111</v>
      </c>
      <c r="C574">
        <v>58</v>
      </c>
      <c r="D574">
        <v>31</v>
      </c>
      <c r="E574">
        <v>44</v>
      </c>
      <c r="F574">
        <v>30</v>
      </c>
      <c r="G574">
        <v>1</v>
      </c>
      <c r="H574">
        <v>22</v>
      </c>
      <c r="I574">
        <v>0</v>
      </c>
    </row>
    <row r="575" spans="1:9" x14ac:dyDescent="0.25">
      <c r="A575">
        <v>2</v>
      </c>
      <c r="B575">
        <v>98</v>
      </c>
      <c r="C575">
        <v>60</v>
      </c>
      <c r="D575">
        <v>17</v>
      </c>
      <c r="E575">
        <v>120</v>
      </c>
      <c r="F575">
        <v>35</v>
      </c>
      <c r="G575">
        <v>1</v>
      </c>
      <c r="H575">
        <v>22</v>
      </c>
      <c r="I575">
        <v>0</v>
      </c>
    </row>
    <row r="576" spans="1:9" x14ac:dyDescent="0.25">
      <c r="A576">
        <v>1</v>
      </c>
      <c r="B576">
        <v>143</v>
      </c>
      <c r="C576">
        <v>86</v>
      </c>
      <c r="D576">
        <v>30</v>
      </c>
      <c r="E576">
        <v>330</v>
      </c>
      <c r="F576">
        <v>30</v>
      </c>
      <c r="G576">
        <v>1</v>
      </c>
      <c r="H576">
        <v>23</v>
      </c>
      <c r="I576">
        <v>0</v>
      </c>
    </row>
    <row r="577" spans="1:9" x14ac:dyDescent="0.25">
      <c r="A577">
        <v>1</v>
      </c>
      <c r="B577">
        <v>119</v>
      </c>
      <c r="C577">
        <v>44</v>
      </c>
      <c r="D577">
        <v>47</v>
      </c>
      <c r="E577">
        <v>63</v>
      </c>
      <c r="F577">
        <v>36</v>
      </c>
      <c r="G577">
        <v>1</v>
      </c>
      <c r="H577">
        <v>25</v>
      </c>
      <c r="I577">
        <v>0</v>
      </c>
    </row>
    <row r="578" spans="1:9" x14ac:dyDescent="0.25">
      <c r="A578">
        <v>6</v>
      </c>
      <c r="B578">
        <v>108</v>
      </c>
      <c r="C578">
        <v>44</v>
      </c>
      <c r="D578">
        <v>20</v>
      </c>
      <c r="E578">
        <v>130</v>
      </c>
      <c r="F578">
        <v>24</v>
      </c>
      <c r="G578">
        <v>1</v>
      </c>
      <c r="H578">
        <v>35</v>
      </c>
      <c r="I578">
        <v>0</v>
      </c>
    </row>
    <row r="579" spans="1:9" x14ac:dyDescent="0.25">
      <c r="A579">
        <v>2</v>
      </c>
      <c r="B579">
        <v>118</v>
      </c>
      <c r="C579">
        <v>80</v>
      </c>
      <c r="D579">
        <v>21</v>
      </c>
      <c r="E579">
        <v>80</v>
      </c>
      <c r="F579">
        <v>43</v>
      </c>
      <c r="G579">
        <v>1</v>
      </c>
      <c r="H579">
        <v>21</v>
      </c>
      <c r="I579">
        <v>1</v>
      </c>
    </row>
    <row r="580" spans="1:9" x14ac:dyDescent="0.25">
      <c r="A580">
        <v>10</v>
      </c>
      <c r="B580">
        <v>133</v>
      </c>
      <c r="C580">
        <v>68</v>
      </c>
      <c r="D580">
        <v>21</v>
      </c>
      <c r="E580">
        <v>80</v>
      </c>
      <c r="F580">
        <v>27</v>
      </c>
      <c r="G580">
        <v>1</v>
      </c>
      <c r="H580">
        <v>36</v>
      </c>
      <c r="I580">
        <v>0</v>
      </c>
    </row>
    <row r="581" spans="1:9" x14ac:dyDescent="0.25">
      <c r="A581">
        <v>2</v>
      </c>
      <c r="B581">
        <v>197</v>
      </c>
      <c r="C581">
        <v>70</v>
      </c>
      <c r="D581">
        <v>99</v>
      </c>
      <c r="E581">
        <v>80</v>
      </c>
      <c r="F581">
        <v>35</v>
      </c>
      <c r="G581">
        <v>1</v>
      </c>
      <c r="H581">
        <v>62</v>
      </c>
      <c r="I581">
        <v>1</v>
      </c>
    </row>
    <row r="582" spans="1:9" x14ac:dyDescent="0.25">
      <c r="A582">
        <v>4</v>
      </c>
      <c r="B582">
        <v>151</v>
      </c>
      <c r="C582">
        <v>90</v>
      </c>
      <c r="D582">
        <v>46</v>
      </c>
      <c r="E582">
        <v>80</v>
      </c>
      <c r="F582">
        <v>42</v>
      </c>
      <c r="G582">
        <v>1</v>
      </c>
      <c r="H582">
        <v>21</v>
      </c>
      <c r="I582">
        <v>1</v>
      </c>
    </row>
    <row r="583" spans="1:9" x14ac:dyDescent="0.25">
      <c r="A583">
        <v>6</v>
      </c>
      <c r="B583">
        <v>109</v>
      </c>
      <c r="C583">
        <v>60</v>
      </c>
      <c r="D583">
        <v>27</v>
      </c>
      <c r="E583">
        <v>80</v>
      </c>
      <c r="F583">
        <v>25</v>
      </c>
      <c r="G583">
        <v>1</v>
      </c>
      <c r="H583">
        <v>27</v>
      </c>
      <c r="I583">
        <v>0</v>
      </c>
    </row>
    <row r="584" spans="1:9" x14ac:dyDescent="0.25">
      <c r="A584">
        <v>12</v>
      </c>
      <c r="B584">
        <v>121</v>
      </c>
      <c r="C584">
        <v>78</v>
      </c>
      <c r="D584">
        <v>17</v>
      </c>
      <c r="E584">
        <v>80</v>
      </c>
      <c r="F584">
        <v>26</v>
      </c>
      <c r="G584">
        <v>1</v>
      </c>
      <c r="H584">
        <v>62</v>
      </c>
      <c r="I584">
        <v>0</v>
      </c>
    </row>
    <row r="585" spans="1:9" x14ac:dyDescent="0.25">
      <c r="A585">
        <v>8</v>
      </c>
      <c r="B585">
        <v>100</v>
      </c>
      <c r="C585">
        <v>76</v>
      </c>
      <c r="D585">
        <v>21</v>
      </c>
      <c r="E585">
        <v>80</v>
      </c>
      <c r="F585">
        <v>39</v>
      </c>
      <c r="G585">
        <v>1</v>
      </c>
      <c r="H585">
        <v>42</v>
      </c>
      <c r="I585">
        <v>0</v>
      </c>
    </row>
    <row r="586" spans="1:9" x14ac:dyDescent="0.25">
      <c r="A586">
        <v>8</v>
      </c>
      <c r="B586">
        <v>124</v>
      </c>
      <c r="C586">
        <v>76</v>
      </c>
      <c r="D586">
        <v>24</v>
      </c>
      <c r="E586">
        <v>600</v>
      </c>
      <c r="F586">
        <v>29</v>
      </c>
      <c r="G586">
        <v>1</v>
      </c>
      <c r="H586">
        <v>52</v>
      </c>
      <c r="I586">
        <v>1</v>
      </c>
    </row>
    <row r="587" spans="1:9" x14ac:dyDescent="0.25">
      <c r="A587">
        <v>1</v>
      </c>
      <c r="B587">
        <v>93</v>
      </c>
      <c r="C587">
        <v>56</v>
      </c>
      <c r="D587">
        <v>11</v>
      </c>
      <c r="E587">
        <v>80</v>
      </c>
      <c r="F587">
        <v>22</v>
      </c>
      <c r="G587">
        <v>1</v>
      </c>
      <c r="H587">
        <v>22</v>
      </c>
      <c r="I587">
        <v>0</v>
      </c>
    </row>
    <row r="588" spans="1:9" x14ac:dyDescent="0.25">
      <c r="A588">
        <v>8</v>
      </c>
      <c r="B588">
        <v>143</v>
      </c>
      <c r="C588">
        <v>66</v>
      </c>
      <c r="D588">
        <v>21</v>
      </c>
      <c r="E588">
        <v>80</v>
      </c>
      <c r="F588">
        <v>35</v>
      </c>
      <c r="G588">
        <v>1</v>
      </c>
      <c r="H588">
        <v>41</v>
      </c>
      <c r="I588">
        <v>1</v>
      </c>
    </row>
    <row r="589" spans="1:9" x14ac:dyDescent="0.25">
      <c r="A589">
        <v>6</v>
      </c>
      <c r="B589">
        <v>103</v>
      </c>
      <c r="C589">
        <v>66</v>
      </c>
      <c r="D589">
        <v>21</v>
      </c>
      <c r="E589">
        <v>80</v>
      </c>
      <c r="F589">
        <v>24</v>
      </c>
      <c r="G589">
        <v>1</v>
      </c>
      <c r="H589">
        <v>29</v>
      </c>
      <c r="I589">
        <v>0</v>
      </c>
    </row>
    <row r="590" spans="1:9" x14ac:dyDescent="0.25">
      <c r="A590">
        <v>3</v>
      </c>
      <c r="B590">
        <v>176</v>
      </c>
      <c r="C590">
        <v>86</v>
      </c>
      <c r="D590">
        <v>27</v>
      </c>
      <c r="E590">
        <v>156</v>
      </c>
      <c r="F590">
        <v>33</v>
      </c>
      <c r="G590">
        <v>1</v>
      </c>
      <c r="H590">
        <v>52</v>
      </c>
      <c r="I590">
        <v>1</v>
      </c>
    </row>
    <row r="591" spans="1:9" x14ac:dyDescent="0.25">
      <c r="A591">
        <v>4</v>
      </c>
      <c r="B591">
        <v>73</v>
      </c>
      <c r="C591">
        <v>69</v>
      </c>
      <c r="D591">
        <v>21</v>
      </c>
      <c r="E591">
        <v>80</v>
      </c>
      <c r="F591">
        <v>21</v>
      </c>
      <c r="G591">
        <v>1</v>
      </c>
      <c r="H591">
        <v>25</v>
      </c>
      <c r="I591">
        <v>0</v>
      </c>
    </row>
    <row r="592" spans="1:9" x14ac:dyDescent="0.25">
      <c r="A592">
        <v>11</v>
      </c>
      <c r="B592">
        <v>111</v>
      </c>
      <c r="C592">
        <v>84</v>
      </c>
      <c r="D592">
        <v>40</v>
      </c>
      <c r="E592">
        <v>80</v>
      </c>
      <c r="F592">
        <v>47</v>
      </c>
      <c r="G592">
        <v>1</v>
      </c>
      <c r="H592">
        <v>45</v>
      </c>
      <c r="I592">
        <v>1</v>
      </c>
    </row>
    <row r="593" spans="1:9" x14ac:dyDescent="0.25">
      <c r="A593">
        <v>2</v>
      </c>
      <c r="B593">
        <v>112</v>
      </c>
      <c r="C593">
        <v>78</v>
      </c>
      <c r="D593">
        <v>50</v>
      </c>
      <c r="E593">
        <v>140</v>
      </c>
      <c r="F593">
        <v>39</v>
      </c>
      <c r="G593">
        <v>1</v>
      </c>
      <c r="H593">
        <v>24</v>
      </c>
      <c r="I593">
        <v>0</v>
      </c>
    </row>
    <row r="594" spans="1:9" x14ac:dyDescent="0.25">
      <c r="A594">
        <v>3</v>
      </c>
      <c r="B594">
        <v>132</v>
      </c>
      <c r="C594">
        <v>80</v>
      </c>
      <c r="D594">
        <v>21</v>
      </c>
      <c r="E594">
        <v>80</v>
      </c>
      <c r="F594">
        <v>34</v>
      </c>
      <c r="G594">
        <v>1</v>
      </c>
      <c r="H594">
        <v>44</v>
      </c>
      <c r="I594">
        <v>1</v>
      </c>
    </row>
    <row r="595" spans="1:9" x14ac:dyDescent="0.25">
      <c r="A595">
        <v>2</v>
      </c>
      <c r="B595">
        <v>82</v>
      </c>
      <c r="C595">
        <v>52</v>
      </c>
      <c r="D595">
        <v>22</v>
      </c>
      <c r="E595">
        <v>115</v>
      </c>
      <c r="F595">
        <v>28</v>
      </c>
      <c r="G595">
        <v>1</v>
      </c>
      <c r="H595">
        <v>25</v>
      </c>
      <c r="I595">
        <v>0</v>
      </c>
    </row>
    <row r="596" spans="1:9" x14ac:dyDescent="0.25">
      <c r="A596">
        <v>6</v>
      </c>
      <c r="B596">
        <v>123</v>
      </c>
      <c r="C596">
        <v>72</v>
      </c>
      <c r="D596">
        <v>45</v>
      </c>
      <c r="E596">
        <v>230</v>
      </c>
      <c r="F596">
        <v>34</v>
      </c>
      <c r="G596">
        <v>1</v>
      </c>
      <c r="H596">
        <v>34</v>
      </c>
      <c r="I596">
        <v>0</v>
      </c>
    </row>
    <row r="597" spans="1:9" x14ac:dyDescent="0.25">
      <c r="A597">
        <v>4</v>
      </c>
      <c r="B597">
        <v>188</v>
      </c>
      <c r="C597">
        <v>82</v>
      </c>
      <c r="D597">
        <v>14</v>
      </c>
      <c r="E597">
        <v>185</v>
      </c>
      <c r="F597">
        <v>32</v>
      </c>
      <c r="G597">
        <v>1</v>
      </c>
      <c r="H597">
        <v>22</v>
      </c>
      <c r="I597">
        <v>1</v>
      </c>
    </row>
    <row r="598" spans="1:9" x14ac:dyDescent="0.25">
      <c r="A598">
        <v>4</v>
      </c>
      <c r="B598">
        <v>67</v>
      </c>
      <c r="C598">
        <v>76</v>
      </c>
      <c r="D598">
        <v>21</v>
      </c>
      <c r="E598">
        <v>80</v>
      </c>
      <c r="F598">
        <v>45</v>
      </c>
      <c r="G598">
        <v>1</v>
      </c>
      <c r="H598">
        <v>46</v>
      </c>
      <c r="I598">
        <v>0</v>
      </c>
    </row>
    <row r="599" spans="1:9" x14ac:dyDescent="0.25">
      <c r="A599">
        <v>1</v>
      </c>
      <c r="B599">
        <v>89</v>
      </c>
      <c r="C599">
        <v>24</v>
      </c>
      <c r="D599">
        <v>19</v>
      </c>
      <c r="E599">
        <v>25</v>
      </c>
      <c r="F599">
        <v>28</v>
      </c>
      <c r="G599">
        <v>1</v>
      </c>
      <c r="H599">
        <v>21</v>
      </c>
      <c r="I599">
        <v>0</v>
      </c>
    </row>
    <row r="600" spans="1:9" x14ac:dyDescent="0.25">
      <c r="A600">
        <v>1</v>
      </c>
      <c r="B600">
        <v>173</v>
      </c>
      <c r="C600">
        <v>74</v>
      </c>
      <c r="D600">
        <v>21</v>
      </c>
      <c r="E600">
        <v>80</v>
      </c>
      <c r="F600">
        <v>37</v>
      </c>
      <c r="G600">
        <v>1</v>
      </c>
      <c r="H600">
        <v>38</v>
      </c>
      <c r="I600">
        <v>1</v>
      </c>
    </row>
    <row r="601" spans="1:9" x14ac:dyDescent="0.25">
      <c r="A601">
        <v>1</v>
      </c>
      <c r="B601">
        <v>109</v>
      </c>
      <c r="C601">
        <v>38</v>
      </c>
      <c r="D601">
        <v>18</v>
      </c>
      <c r="E601">
        <v>120</v>
      </c>
      <c r="F601">
        <v>23</v>
      </c>
      <c r="G601">
        <v>1</v>
      </c>
      <c r="H601">
        <v>26</v>
      </c>
      <c r="I601">
        <v>0</v>
      </c>
    </row>
    <row r="602" spans="1:9" x14ac:dyDescent="0.25">
      <c r="A602">
        <v>1</v>
      </c>
      <c r="B602">
        <v>108</v>
      </c>
      <c r="C602">
        <v>88</v>
      </c>
      <c r="D602">
        <v>19</v>
      </c>
      <c r="E602">
        <v>80</v>
      </c>
      <c r="F602">
        <v>27</v>
      </c>
      <c r="G602">
        <v>1</v>
      </c>
      <c r="H602">
        <v>24</v>
      </c>
      <c r="I602">
        <v>0</v>
      </c>
    </row>
    <row r="603" spans="1:9" x14ac:dyDescent="0.25">
      <c r="A603">
        <v>6</v>
      </c>
      <c r="B603">
        <v>96</v>
      </c>
      <c r="C603">
        <v>69</v>
      </c>
      <c r="D603">
        <v>21</v>
      </c>
      <c r="E603">
        <v>80</v>
      </c>
      <c r="F603">
        <v>24</v>
      </c>
      <c r="G603">
        <v>1</v>
      </c>
      <c r="H603">
        <v>28</v>
      </c>
      <c r="I603">
        <v>0</v>
      </c>
    </row>
    <row r="604" spans="1:9" x14ac:dyDescent="0.25">
      <c r="A604">
        <v>1</v>
      </c>
      <c r="B604">
        <v>124</v>
      </c>
      <c r="C604">
        <v>74</v>
      </c>
      <c r="D604">
        <v>36</v>
      </c>
      <c r="E604">
        <v>80</v>
      </c>
      <c r="F604">
        <v>28</v>
      </c>
      <c r="G604">
        <v>1</v>
      </c>
      <c r="H604">
        <v>30</v>
      </c>
      <c r="I604">
        <v>0</v>
      </c>
    </row>
    <row r="605" spans="1:9" x14ac:dyDescent="0.25">
      <c r="A605">
        <v>7</v>
      </c>
      <c r="B605">
        <v>150</v>
      </c>
      <c r="C605">
        <v>78</v>
      </c>
      <c r="D605">
        <v>29</v>
      </c>
      <c r="E605">
        <v>126</v>
      </c>
      <c r="F605">
        <v>35</v>
      </c>
      <c r="G605">
        <v>1</v>
      </c>
      <c r="H605">
        <v>54</v>
      </c>
      <c r="I605">
        <v>1</v>
      </c>
    </row>
    <row r="606" spans="1:9" x14ac:dyDescent="0.25">
      <c r="A606">
        <v>4</v>
      </c>
      <c r="B606">
        <v>183</v>
      </c>
      <c r="C606">
        <v>69</v>
      </c>
      <c r="D606">
        <v>21</v>
      </c>
      <c r="E606">
        <v>80</v>
      </c>
      <c r="F606">
        <v>28</v>
      </c>
      <c r="G606">
        <v>1</v>
      </c>
      <c r="H606">
        <v>36</v>
      </c>
      <c r="I606">
        <v>1</v>
      </c>
    </row>
    <row r="607" spans="1:9" x14ac:dyDescent="0.25">
      <c r="A607">
        <v>1</v>
      </c>
      <c r="B607">
        <v>124</v>
      </c>
      <c r="C607">
        <v>60</v>
      </c>
      <c r="D607">
        <v>32</v>
      </c>
      <c r="E607">
        <v>80</v>
      </c>
      <c r="F607">
        <v>36</v>
      </c>
      <c r="G607">
        <v>1</v>
      </c>
      <c r="H607">
        <v>21</v>
      </c>
      <c r="I607">
        <v>0</v>
      </c>
    </row>
    <row r="608" spans="1:9" x14ac:dyDescent="0.25">
      <c r="A608">
        <v>1</v>
      </c>
      <c r="B608">
        <v>181</v>
      </c>
      <c r="C608">
        <v>78</v>
      </c>
      <c r="D608">
        <v>42</v>
      </c>
      <c r="E608">
        <v>293</v>
      </c>
      <c r="F608">
        <v>40</v>
      </c>
      <c r="G608">
        <v>1</v>
      </c>
      <c r="H608">
        <v>22</v>
      </c>
      <c r="I608">
        <v>1</v>
      </c>
    </row>
    <row r="609" spans="1:9" x14ac:dyDescent="0.25">
      <c r="A609">
        <v>1</v>
      </c>
      <c r="B609">
        <v>92</v>
      </c>
      <c r="C609">
        <v>62</v>
      </c>
      <c r="D609">
        <v>25</v>
      </c>
      <c r="E609">
        <v>41</v>
      </c>
      <c r="F609">
        <v>20</v>
      </c>
      <c r="G609">
        <v>1</v>
      </c>
      <c r="H609">
        <v>25</v>
      </c>
      <c r="I609">
        <v>0</v>
      </c>
    </row>
    <row r="610" spans="1:9" x14ac:dyDescent="0.25">
      <c r="A610">
        <v>4</v>
      </c>
      <c r="B610">
        <v>152</v>
      </c>
      <c r="C610">
        <v>82</v>
      </c>
      <c r="D610">
        <v>39</v>
      </c>
      <c r="E610">
        <v>272</v>
      </c>
      <c r="F610">
        <v>42</v>
      </c>
      <c r="G610">
        <v>1</v>
      </c>
      <c r="H610">
        <v>27</v>
      </c>
      <c r="I610">
        <v>0</v>
      </c>
    </row>
    <row r="611" spans="1:9" x14ac:dyDescent="0.25">
      <c r="A611">
        <v>1</v>
      </c>
      <c r="B611">
        <v>111</v>
      </c>
      <c r="C611">
        <v>62</v>
      </c>
      <c r="D611">
        <v>13</v>
      </c>
      <c r="E611">
        <v>182</v>
      </c>
      <c r="F611">
        <v>24</v>
      </c>
      <c r="G611">
        <v>1</v>
      </c>
      <c r="H611">
        <v>23</v>
      </c>
      <c r="I611">
        <v>0</v>
      </c>
    </row>
    <row r="612" spans="1:9" x14ac:dyDescent="0.25">
      <c r="A612">
        <v>3</v>
      </c>
      <c r="B612">
        <v>106</v>
      </c>
      <c r="C612">
        <v>54</v>
      </c>
      <c r="D612">
        <v>21</v>
      </c>
      <c r="E612">
        <v>158</v>
      </c>
      <c r="F612">
        <v>31</v>
      </c>
      <c r="G612">
        <v>1</v>
      </c>
      <c r="H612">
        <v>24</v>
      </c>
      <c r="I612">
        <v>0</v>
      </c>
    </row>
    <row r="613" spans="1:9" x14ac:dyDescent="0.25">
      <c r="A613">
        <v>3</v>
      </c>
      <c r="B613">
        <v>174</v>
      </c>
      <c r="C613">
        <v>58</v>
      </c>
      <c r="D613">
        <v>22</v>
      </c>
      <c r="E613">
        <v>194</v>
      </c>
      <c r="F613">
        <v>33</v>
      </c>
      <c r="G613">
        <v>1</v>
      </c>
      <c r="H613">
        <v>36</v>
      </c>
      <c r="I613">
        <v>1</v>
      </c>
    </row>
    <row r="614" spans="1:9" x14ac:dyDescent="0.25">
      <c r="A614">
        <v>7</v>
      </c>
      <c r="B614">
        <v>168</v>
      </c>
      <c r="C614">
        <v>88</v>
      </c>
      <c r="D614">
        <v>42</v>
      </c>
      <c r="E614">
        <v>321</v>
      </c>
      <c r="F614">
        <v>38</v>
      </c>
      <c r="G614">
        <v>1</v>
      </c>
      <c r="H614">
        <v>40</v>
      </c>
      <c r="I614">
        <v>1</v>
      </c>
    </row>
    <row r="615" spans="1:9" x14ac:dyDescent="0.25">
      <c r="A615">
        <v>6</v>
      </c>
      <c r="B615">
        <v>105</v>
      </c>
      <c r="C615">
        <v>80</v>
      </c>
      <c r="D615">
        <v>28</v>
      </c>
      <c r="E615">
        <v>80</v>
      </c>
      <c r="F615">
        <v>32</v>
      </c>
      <c r="G615">
        <v>1</v>
      </c>
      <c r="H615">
        <v>26</v>
      </c>
      <c r="I615">
        <v>0</v>
      </c>
    </row>
    <row r="616" spans="1:9" x14ac:dyDescent="0.25">
      <c r="A616">
        <v>11</v>
      </c>
      <c r="B616">
        <v>138</v>
      </c>
      <c r="C616">
        <v>74</v>
      </c>
      <c r="D616">
        <v>26</v>
      </c>
      <c r="E616">
        <v>144</v>
      </c>
      <c r="F616">
        <v>36</v>
      </c>
      <c r="G616">
        <v>1</v>
      </c>
      <c r="H616">
        <v>50</v>
      </c>
      <c r="I616">
        <v>1</v>
      </c>
    </row>
    <row r="617" spans="1:9" x14ac:dyDescent="0.25">
      <c r="A617">
        <v>3</v>
      </c>
      <c r="B617">
        <v>106</v>
      </c>
      <c r="C617">
        <v>72</v>
      </c>
      <c r="D617">
        <v>21</v>
      </c>
      <c r="E617">
        <v>80</v>
      </c>
      <c r="F617">
        <v>26</v>
      </c>
      <c r="G617">
        <v>1</v>
      </c>
      <c r="H617">
        <v>27</v>
      </c>
      <c r="I617">
        <v>0</v>
      </c>
    </row>
    <row r="618" spans="1:9" x14ac:dyDescent="0.25">
      <c r="A618">
        <v>6</v>
      </c>
      <c r="B618">
        <v>117</v>
      </c>
      <c r="C618">
        <v>96</v>
      </c>
      <c r="D618">
        <v>21</v>
      </c>
      <c r="E618">
        <v>80</v>
      </c>
      <c r="F618">
        <v>29</v>
      </c>
      <c r="G618">
        <v>1</v>
      </c>
      <c r="H618">
        <v>30</v>
      </c>
      <c r="I618">
        <v>0</v>
      </c>
    </row>
    <row r="619" spans="1:9" x14ac:dyDescent="0.25">
      <c r="A619">
        <v>2</v>
      </c>
      <c r="B619">
        <v>68</v>
      </c>
      <c r="C619">
        <v>62</v>
      </c>
      <c r="D619">
        <v>13</v>
      </c>
      <c r="E619">
        <v>15</v>
      </c>
      <c r="F619">
        <v>20</v>
      </c>
      <c r="G619">
        <v>1</v>
      </c>
      <c r="H619">
        <v>23</v>
      </c>
      <c r="I619">
        <v>0</v>
      </c>
    </row>
    <row r="620" spans="1:9" x14ac:dyDescent="0.25">
      <c r="A620">
        <v>9</v>
      </c>
      <c r="B620">
        <v>112</v>
      </c>
      <c r="C620">
        <v>82</v>
      </c>
      <c r="D620">
        <v>24</v>
      </c>
      <c r="E620">
        <v>80</v>
      </c>
      <c r="F620">
        <v>28</v>
      </c>
      <c r="G620">
        <v>1</v>
      </c>
      <c r="H620">
        <v>50</v>
      </c>
      <c r="I620">
        <v>1</v>
      </c>
    </row>
    <row r="621" spans="1:9" x14ac:dyDescent="0.25">
      <c r="A621">
        <v>4</v>
      </c>
      <c r="B621">
        <v>119</v>
      </c>
      <c r="C621">
        <v>69</v>
      </c>
      <c r="D621">
        <v>21</v>
      </c>
      <c r="E621">
        <v>80</v>
      </c>
      <c r="F621">
        <v>32</v>
      </c>
      <c r="G621">
        <v>1</v>
      </c>
      <c r="H621">
        <v>24</v>
      </c>
      <c r="I621">
        <v>1</v>
      </c>
    </row>
    <row r="622" spans="1:9" x14ac:dyDescent="0.25">
      <c r="A622">
        <v>2</v>
      </c>
      <c r="B622">
        <v>112</v>
      </c>
      <c r="C622">
        <v>86</v>
      </c>
      <c r="D622">
        <v>42</v>
      </c>
      <c r="E622">
        <v>160</v>
      </c>
      <c r="F622">
        <v>38</v>
      </c>
      <c r="G622">
        <v>1</v>
      </c>
      <c r="H622">
        <v>28</v>
      </c>
      <c r="I622">
        <v>0</v>
      </c>
    </row>
    <row r="623" spans="1:9" x14ac:dyDescent="0.25">
      <c r="A623">
        <v>2</v>
      </c>
      <c r="B623">
        <v>92</v>
      </c>
      <c r="C623">
        <v>76</v>
      </c>
      <c r="D623">
        <v>20</v>
      </c>
      <c r="E623">
        <v>80</v>
      </c>
      <c r="F623">
        <v>24</v>
      </c>
      <c r="G623">
        <v>1</v>
      </c>
      <c r="H623">
        <v>28</v>
      </c>
      <c r="I623">
        <v>0</v>
      </c>
    </row>
    <row r="624" spans="1:9" x14ac:dyDescent="0.25">
      <c r="A624">
        <v>6</v>
      </c>
      <c r="B624">
        <v>183</v>
      </c>
      <c r="C624">
        <v>94</v>
      </c>
      <c r="D624">
        <v>21</v>
      </c>
      <c r="E624">
        <v>80</v>
      </c>
      <c r="F624">
        <v>41</v>
      </c>
      <c r="G624">
        <v>1</v>
      </c>
      <c r="H624">
        <v>45</v>
      </c>
      <c r="I624">
        <v>0</v>
      </c>
    </row>
    <row r="625" spans="1:9" x14ac:dyDescent="0.25">
      <c r="A625">
        <v>4</v>
      </c>
      <c r="B625">
        <v>94</v>
      </c>
      <c r="C625">
        <v>70</v>
      </c>
      <c r="D625">
        <v>27</v>
      </c>
      <c r="E625">
        <v>115</v>
      </c>
      <c r="F625">
        <v>44</v>
      </c>
      <c r="G625">
        <v>1</v>
      </c>
      <c r="H625">
        <v>21</v>
      </c>
      <c r="I625">
        <v>0</v>
      </c>
    </row>
    <row r="626" spans="1:9" x14ac:dyDescent="0.25">
      <c r="A626">
        <v>2</v>
      </c>
      <c r="B626">
        <v>108</v>
      </c>
      <c r="C626">
        <v>64</v>
      </c>
      <c r="D626">
        <v>21</v>
      </c>
      <c r="E626">
        <v>80</v>
      </c>
      <c r="F626">
        <v>31</v>
      </c>
      <c r="G626">
        <v>1</v>
      </c>
      <c r="H626">
        <v>21</v>
      </c>
      <c r="I626">
        <v>0</v>
      </c>
    </row>
    <row r="627" spans="1:9" x14ac:dyDescent="0.25">
      <c r="A627">
        <v>4</v>
      </c>
      <c r="B627">
        <v>90</v>
      </c>
      <c r="C627">
        <v>88</v>
      </c>
      <c r="D627">
        <v>47</v>
      </c>
      <c r="E627">
        <v>54</v>
      </c>
      <c r="F627">
        <v>38</v>
      </c>
      <c r="G627">
        <v>1</v>
      </c>
      <c r="H627">
        <v>29</v>
      </c>
      <c r="I627">
        <v>0</v>
      </c>
    </row>
    <row r="628" spans="1:9" x14ac:dyDescent="0.25">
      <c r="A628">
        <v>4</v>
      </c>
      <c r="B628">
        <v>125</v>
      </c>
      <c r="C628">
        <v>68</v>
      </c>
      <c r="D628">
        <v>21</v>
      </c>
      <c r="E628">
        <v>80</v>
      </c>
      <c r="F628">
        <v>25</v>
      </c>
      <c r="G628">
        <v>1</v>
      </c>
      <c r="H628">
        <v>21</v>
      </c>
      <c r="I628">
        <v>0</v>
      </c>
    </row>
    <row r="629" spans="1:9" x14ac:dyDescent="0.25">
      <c r="A629">
        <v>4</v>
      </c>
      <c r="B629">
        <v>132</v>
      </c>
      <c r="C629">
        <v>78</v>
      </c>
      <c r="D629">
        <v>21</v>
      </c>
      <c r="E629">
        <v>80</v>
      </c>
      <c r="F629">
        <v>32</v>
      </c>
      <c r="G629">
        <v>1</v>
      </c>
      <c r="H629">
        <v>21</v>
      </c>
      <c r="I629">
        <v>0</v>
      </c>
    </row>
    <row r="630" spans="1:9" x14ac:dyDescent="0.25">
      <c r="A630">
        <v>5</v>
      </c>
      <c r="B630">
        <v>128</v>
      </c>
      <c r="C630">
        <v>80</v>
      </c>
      <c r="D630">
        <v>21</v>
      </c>
      <c r="E630">
        <v>80</v>
      </c>
      <c r="F630">
        <v>35</v>
      </c>
      <c r="G630">
        <v>1</v>
      </c>
      <c r="H630">
        <v>45</v>
      </c>
      <c r="I630">
        <v>0</v>
      </c>
    </row>
    <row r="631" spans="1:9" x14ac:dyDescent="0.25">
      <c r="A631">
        <v>4</v>
      </c>
      <c r="B631">
        <v>94</v>
      </c>
      <c r="C631">
        <v>65</v>
      </c>
      <c r="D631">
        <v>22</v>
      </c>
      <c r="E631">
        <v>80</v>
      </c>
      <c r="F631">
        <v>25</v>
      </c>
      <c r="G631">
        <v>1</v>
      </c>
      <c r="H631">
        <v>21</v>
      </c>
      <c r="I631">
        <v>0</v>
      </c>
    </row>
    <row r="632" spans="1:9" x14ac:dyDescent="0.25">
      <c r="A632">
        <v>7</v>
      </c>
      <c r="B632">
        <v>114</v>
      </c>
      <c r="C632">
        <v>64</v>
      </c>
      <c r="D632">
        <v>21</v>
      </c>
      <c r="E632">
        <v>80</v>
      </c>
      <c r="F632">
        <v>27</v>
      </c>
      <c r="G632">
        <v>1</v>
      </c>
      <c r="H632">
        <v>34</v>
      </c>
      <c r="I632">
        <v>1</v>
      </c>
    </row>
    <row r="633" spans="1:9" x14ac:dyDescent="0.25">
      <c r="A633">
        <v>4</v>
      </c>
      <c r="B633">
        <v>102</v>
      </c>
      <c r="C633">
        <v>78</v>
      </c>
      <c r="D633">
        <v>40</v>
      </c>
      <c r="E633">
        <v>90</v>
      </c>
      <c r="F633">
        <v>34</v>
      </c>
      <c r="G633">
        <v>1</v>
      </c>
      <c r="H633">
        <v>24</v>
      </c>
      <c r="I633">
        <v>0</v>
      </c>
    </row>
    <row r="634" spans="1:9" x14ac:dyDescent="0.25">
      <c r="A634">
        <v>2</v>
      </c>
      <c r="B634">
        <v>111</v>
      </c>
      <c r="C634">
        <v>60</v>
      </c>
      <c r="D634">
        <v>21</v>
      </c>
      <c r="E634">
        <v>80</v>
      </c>
      <c r="F634">
        <v>26</v>
      </c>
      <c r="G634">
        <v>1</v>
      </c>
      <c r="H634">
        <v>23</v>
      </c>
      <c r="I634">
        <v>0</v>
      </c>
    </row>
    <row r="635" spans="1:9" x14ac:dyDescent="0.25">
      <c r="A635">
        <v>1</v>
      </c>
      <c r="B635">
        <v>128</v>
      </c>
      <c r="C635">
        <v>82</v>
      </c>
      <c r="D635">
        <v>17</v>
      </c>
      <c r="E635">
        <v>183</v>
      </c>
      <c r="F635">
        <v>28</v>
      </c>
      <c r="G635">
        <v>1</v>
      </c>
      <c r="H635">
        <v>22</v>
      </c>
      <c r="I635">
        <v>0</v>
      </c>
    </row>
    <row r="636" spans="1:9" x14ac:dyDescent="0.25">
      <c r="A636">
        <v>10</v>
      </c>
      <c r="B636">
        <v>92</v>
      </c>
      <c r="C636">
        <v>62</v>
      </c>
      <c r="D636">
        <v>21</v>
      </c>
      <c r="E636">
        <v>80</v>
      </c>
      <c r="F636">
        <v>26</v>
      </c>
      <c r="G636">
        <v>1</v>
      </c>
      <c r="H636">
        <v>31</v>
      </c>
      <c r="I636">
        <v>0</v>
      </c>
    </row>
    <row r="637" spans="1:9" x14ac:dyDescent="0.25">
      <c r="A637">
        <v>13</v>
      </c>
      <c r="B637">
        <v>104</v>
      </c>
      <c r="C637">
        <v>72</v>
      </c>
      <c r="D637">
        <v>21</v>
      </c>
      <c r="E637">
        <v>80</v>
      </c>
      <c r="F637">
        <v>31</v>
      </c>
      <c r="G637">
        <v>1</v>
      </c>
      <c r="H637">
        <v>38</v>
      </c>
      <c r="I637">
        <v>1</v>
      </c>
    </row>
    <row r="638" spans="1:9" x14ac:dyDescent="0.25">
      <c r="A638">
        <v>5</v>
      </c>
      <c r="B638">
        <v>104</v>
      </c>
      <c r="C638">
        <v>74</v>
      </c>
      <c r="D638">
        <v>21</v>
      </c>
      <c r="E638">
        <v>80</v>
      </c>
      <c r="F638">
        <v>29</v>
      </c>
      <c r="G638">
        <v>1</v>
      </c>
      <c r="H638">
        <v>48</v>
      </c>
      <c r="I638">
        <v>0</v>
      </c>
    </row>
    <row r="639" spans="1:9" x14ac:dyDescent="0.25">
      <c r="A639">
        <v>2</v>
      </c>
      <c r="B639">
        <v>94</v>
      </c>
      <c r="C639">
        <v>76</v>
      </c>
      <c r="D639">
        <v>18</v>
      </c>
      <c r="E639">
        <v>66</v>
      </c>
      <c r="F639">
        <v>32</v>
      </c>
      <c r="G639">
        <v>1</v>
      </c>
      <c r="H639">
        <v>23</v>
      </c>
      <c r="I639">
        <v>0</v>
      </c>
    </row>
    <row r="640" spans="1:9" x14ac:dyDescent="0.25">
      <c r="A640">
        <v>7</v>
      </c>
      <c r="B640">
        <v>97</v>
      </c>
      <c r="C640">
        <v>76</v>
      </c>
      <c r="D640">
        <v>32</v>
      </c>
      <c r="E640">
        <v>91</v>
      </c>
      <c r="F640">
        <v>41</v>
      </c>
      <c r="G640">
        <v>1</v>
      </c>
      <c r="H640">
        <v>32</v>
      </c>
      <c r="I640">
        <v>1</v>
      </c>
    </row>
    <row r="641" spans="1:9" x14ac:dyDescent="0.25">
      <c r="A641">
        <v>1</v>
      </c>
      <c r="B641">
        <v>100</v>
      </c>
      <c r="C641">
        <v>74</v>
      </c>
      <c r="D641">
        <v>12</v>
      </c>
      <c r="E641">
        <v>46</v>
      </c>
      <c r="F641">
        <v>20</v>
      </c>
      <c r="G641">
        <v>1</v>
      </c>
      <c r="H641">
        <v>28</v>
      </c>
      <c r="I641">
        <v>0</v>
      </c>
    </row>
    <row r="642" spans="1:9" x14ac:dyDescent="0.25">
      <c r="A642">
        <v>4</v>
      </c>
      <c r="B642">
        <v>102</v>
      </c>
      <c r="C642">
        <v>86</v>
      </c>
      <c r="D642">
        <v>17</v>
      </c>
      <c r="E642">
        <v>105</v>
      </c>
      <c r="F642">
        <v>29</v>
      </c>
      <c r="G642">
        <v>1</v>
      </c>
      <c r="H642">
        <v>27</v>
      </c>
      <c r="I642">
        <v>0</v>
      </c>
    </row>
    <row r="643" spans="1:9" x14ac:dyDescent="0.25">
      <c r="A643">
        <v>4</v>
      </c>
      <c r="B643">
        <v>128</v>
      </c>
      <c r="C643">
        <v>70</v>
      </c>
      <c r="D643">
        <v>21</v>
      </c>
      <c r="E643">
        <v>80</v>
      </c>
      <c r="F643">
        <v>34</v>
      </c>
      <c r="G643">
        <v>1</v>
      </c>
      <c r="H643">
        <v>24</v>
      </c>
      <c r="I643">
        <v>0</v>
      </c>
    </row>
    <row r="644" spans="1:9" x14ac:dyDescent="0.25">
      <c r="A644">
        <v>6</v>
      </c>
      <c r="B644">
        <v>147</v>
      </c>
      <c r="C644">
        <v>80</v>
      </c>
      <c r="D644">
        <v>21</v>
      </c>
      <c r="E644">
        <v>80</v>
      </c>
      <c r="F644">
        <v>30</v>
      </c>
      <c r="G644">
        <v>1</v>
      </c>
      <c r="H644">
        <v>50</v>
      </c>
      <c r="I644">
        <v>1</v>
      </c>
    </row>
    <row r="645" spans="1:9" x14ac:dyDescent="0.25">
      <c r="A645">
        <v>4</v>
      </c>
      <c r="B645">
        <v>90</v>
      </c>
      <c r="C645">
        <v>69</v>
      </c>
      <c r="D645">
        <v>21</v>
      </c>
      <c r="E645">
        <v>80</v>
      </c>
      <c r="F645">
        <v>28</v>
      </c>
      <c r="G645">
        <v>1</v>
      </c>
      <c r="H645">
        <v>31</v>
      </c>
      <c r="I645">
        <v>0</v>
      </c>
    </row>
    <row r="646" spans="1:9" x14ac:dyDescent="0.25">
      <c r="A646">
        <v>3</v>
      </c>
      <c r="B646">
        <v>103</v>
      </c>
      <c r="C646">
        <v>72</v>
      </c>
      <c r="D646">
        <v>30</v>
      </c>
      <c r="E646">
        <v>152</v>
      </c>
      <c r="F646">
        <v>28</v>
      </c>
      <c r="G646">
        <v>1</v>
      </c>
      <c r="H646">
        <v>27</v>
      </c>
      <c r="I646">
        <v>0</v>
      </c>
    </row>
    <row r="647" spans="1:9" x14ac:dyDescent="0.25">
      <c r="A647">
        <v>2</v>
      </c>
      <c r="B647">
        <v>157</v>
      </c>
      <c r="C647">
        <v>74</v>
      </c>
      <c r="D647">
        <v>35</v>
      </c>
      <c r="E647">
        <v>440</v>
      </c>
      <c r="F647">
        <v>39</v>
      </c>
      <c r="G647">
        <v>1</v>
      </c>
      <c r="H647">
        <v>30</v>
      </c>
      <c r="I647">
        <v>0</v>
      </c>
    </row>
    <row r="648" spans="1:9" x14ac:dyDescent="0.25">
      <c r="A648">
        <v>1</v>
      </c>
      <c r="B648">
        <v>167</v>
      </c>
      <c r="C648">
        <v>74</v>
      </c>
      <c r="D648">
        <v>17</v>
      </c>
      <c r="E648">
        <v>144</v>
      </c>
      <c r="F648">
        <v>23</v>
      </c>
      <c r="G648">
        <v>1</v>
      </c>
      <c r="H648">
        <v>33</v>
      </c>
      <c r="I648">
        <v>1</v>
      </c>
    </row>
    <row r="649" spans="1:9" x14ac:dyDescent="0.25">
      <c r="A649">
        <v>4</v>
      </c>
      <c r="B649">
        <v>179</v>
      </c>
      <c r="C649">
        <v>50</v>
      </c>
      <c r="D649">
        <v>36</v>
      </c>
      <c r="E649">
        <v>159</v>
      </c>
      <c r="F649">
        <v>38</v>
      </c>
      <c r="G649">
        <v>1</v>
      </c>
      <c r="H649">
        <v>22</v>
      </c>
      <c r="I649">
        <v>1</v>
      </c>
    </row>
    <row r="650" spans="1:9" x14ac:dyDescent="0.25">
      <c r="A650">
        <v>11</v>
      </c>
      <c r="B650">
        <v>136</v>
      </c>
      <c r="C650">
        <v>84</v>
      </c>
      <c r="D650">
        <v>35</v>
      </c>
      <c r="E650">
        <v>130</v>
      </c>
      <c r="F650">
        <v>28</v>
      </c>
      <c r="G650">
        <v>1</v>
      </c>
      <c r="H650">
        <v>42</v>
      </c>
      <c r="I650">
        <v>1</v>
      </c>
    </row>
    <row r="651" spans="1:9" x14ac:dyDescent="0.25">
      <c r="A651">
        <v>4</v>
      </c>
      <c r="B651">
        <v>107</v>
      </c>
      <c r="C651">
        <v>60</v>
      </c>
      <c r="D651">
        <v>25</v>
      </c>
      <c r="E651">
        <v>80</v>
      </c>
      <c r="F651">
        <v>26</v>
      </c>
      <c r="G651">
        <v>1</v>
      </c>
      <c r="H651">
        <v>23</v>
      </c>
      <c r="I651">
        <v>0</v>
      </c>
    </row>
    <row r="652" spans="1:9" x14ac:dyDescent="0.25">
      <c r="A652">
        <v>1</v>
      </c>
      <c r="B652">
        <v>91</v>
      </c>
      <c r="C652">
        <v>54</v>
      </c>
      <c r="D652">
        <v>25</v>
      </c>
      <c r="E652">
        <v>100</v>
      </c>
      <c r="F652">
        <v>25</v>
      </c>
      <c r="G652">
        <v>1</v>
      </c>
      <c r="H652">
        <v>23</v>
      </c>
      <c r="I652">
        <v>0</v>
      </c>
    </row>
    <row r="653" spans="1:9" x14ac:dyDescent="0.25">
      <c r="A653">
        <v>1</v>
      </c>
      <c r="B653">
        <v>117</v>
      </c>
      <c r="C653">
        <v>60</v>
      </c>
      <c r="D653">
        <v>23</v>
      </c>
      <c r="E653">
        <v>106</v>
      </c>
      <c r="F653">
        <v>34</v>
      </c>
      <c r="G653">
        <v>1</v>
      </c>
      <c r="H653">
        <v>27</v>
      </c>
      <c r="I653">
        <v>0</v>
      </c>
    </row>
    <row r="654" spans="1:9" x14ac:dyDescent="0.25">
      <c r="A654">
        <v>5</v>
      </c>
      <c r="B654">
        <v>123</v>
      </c>
      <c r="C654">
        <v>74</v>
      </c>
      <c r="D654">
        <v>40</v>
      </c>
      <c r="E654">
        <v>77</v>
      </c>
      <c r="F654">
        <v>34</v>
      </c>
      <c r="G654">
        <v>1</v>
      </c>
      <c r="H654">
        <v>28</v>
      </c>
      <c r="I654">
        <v>0</v>
      </c>
    </row>
    <row r="655" spans="1:9" x14ac:dyDescent="0.25">
      <c r="A655">
        <v>2</v>
      </c>
      <c r="B655">
        <v>120</v>
      </c>
      <c r="C655">
        <v>54</v>
      </c>
      <c r="D655">
        <v>21</v>
      </c>
      <c r="E655">
        <v>80</v>
      </c>
      <c r="F655">
        <v>27</v>
      </c>
      <c r="G655">
        <v>1</v>
      </c>
      <c r="H655">
        <v>27</v>
      </c>
      <c r="I655">
        <v>0</v>
      </c>
    </row>
    <row r="656" spans="1:9" x14ac:dyDescent="0.25">
      <c r="A656">
        <v>1</v>
      </c>
      <c r="B656">
        <v>106</v>
      </c>
      <c r="C656">
        <v>70</v>
      </c>
      <c r="D656">
        <v>28</v>
      </c>
      <c r="E656">
        <v>135</v>
      </c>
      <c r="F656">
        <v>34</v>
      </c>
      <c r="G656">
        <v>1</v>
      </c>
      <c r="H656">
        <v>22</v>
      </c>
      <c r="I656">
        <v>0</v>
      </c>
    </row>
    <row r="657" spans="1:9" x14ac:dyDescent="0.25">
      <c r="A657">
        <v>2</v>
      </c>
      <c r="B657">
        <v>155</v>
      </c>
      <c r="C657">
        <v>52</v>
      </c>
      <c r="D657">
        <v>27</v>
      </c>
      <c r="E657">
        <v>540</v>
      </c>
      <c r="F657">
        <v>39</v>
      </c>
      <c r="G657">
        <v>1</v>
      </c>
      <c r="H657">
        <v>25</v>
      </c>
      <c r="I657">
        <v>1</v>
      </c>
    </row>
    <row r="658" spans="1:9" x14ac:dyDescent="0.25">
      <c r="A658">
        <v>2</v>
      </c>
      <c r="B658">
        <v>101</v>
      </c>
      <c r="C658">
        <v>58</v>
      </c>
      <c r="D658">
        <v>35</v>
      </c>
      <c r="E658">
        <v>90</v>
      </c>
      <c r="F658">
        <v>22</v>
      </c>
      <c r="G658">
        <v>1</v>
      </c>
      <c r="H658">
        <v>22</v>
      </c>
      <c r="I658">
        <v>0</v>
      </c>
    </row>
    <row r="659" spans="1:9" x14ac:dyDescent="0.25">
      <c r="A659">
        <v>1</v>
      </c>
      <c r="B659">
        <v>120</v>
      </c>
      <c r="C659">
        <v>80</v>
      </c>
      <c r="D659">
        <v>48</v>
      </c>
      <c r="E659">
        <v>200</v>
      </c>
      <c r="F659">
        <v>39</v>
      </c>
      <c r="G659">
        <v>1</v>
      </c>
      <c r="H659">
        <v>41</v>
      </c>
      <c r="I659">
        <v>0</v>
      </c>
    </row>
    <row r="660" spans="1:9" x14ac:dyDescent="0.25">
      <c r="A660">
        <v>11</v>
      </c>
      <c r="B660">
        <v>127</v>
      </c>
      <c r="C660">
        <v>106</v>
      </c>
      <c r="D660">
        <v>21</v>
      </c>
      <c r="E660">
        <v>80</v>
      </c>
      <c r="F660">
        <v>39</v>
      </c>
      <c r="G660">
        <v>1</v>
      </c>
      <c r="H660">
        <v>51</v>
      </c>
      <c r="I660">
        <v>0</v>
      </c>
    </row>
    <row r="661" spans="1:9" x14ac:dyDescent="0.25">
      <c r="A661">
        <v>3</v>
      </c>
      <c r="B661">
        <v>80</v>
      </c>
      <c r="C661">
        <v>82</v>
      </c>
      <c r="D661">
        <v>31</v>
      </c>
      <c r="E661">
        <v>70</v>
      </c>
      <c r="F661">
        <v>34</v>
      </c>
      <c r="G661">
        <v>1</v>
      </c>
      <c r="H661">
        <v>27</v>
      </c>
      <c r="I661">
        <v>1</v>
      </c>
    </row>
    <row r="662" spans="1:9" x14ac:dyDescent="0.25">
      <c r="A662">
        <v>10</v>
      </c>
      <c r="B662">
        <v>162</v>
      </c>
      <c r="C662">
        <v>84</v>
      </c>
      <c r="D662">
        <v>21</v>
      </c>
      <c r="E662">
        <v>80</v>
      </c>
      <c r="F662">
        <v>28</v>
      </c>
      <c r="G662">
        <v>1</v>
      </c>
      <c r="H662">
        <v>54</v>
      </c>
      <c r="I662">
        <v>0</v>
      </c>
    </row>
    <row r="663" spans="1:9" x14ac:dyDescent="0.25">
      <c r="A663">
        <v>1</v>
      </c>
      <c r="B663">
        <v>199</v>
      </c>
      <c r="C663">
        <v>76</v>
      </c>
      <c r="D663">
        <v>43</v>
      </c>
      <c r="E663">
        <v>80</v>
      </c>
      <c r="F663">
        <v>43</v>
      </c>
      <c r="G663">
        <v>1</v>
      </c>
      <c r="H663">
        <v>22</v>
      </c>
      <c r="I663">
        <v>1</v>
      </c>
    </row>
    <row r="664" spans="1:9" x14ac:dyDescent="0.25">
      <c r="A664">
        <v>8</v>
      </c>
      <c r="B664">
        <v>167</v>
      </c>
      <c r="C664">
        <v>106</v>
      </c>
      <c r="D664">
        <v>46</v>
      </c>
      <c r="E664">
        <v>231</v>
      </c>
      <c r="F664">
        <v>38</v>
      </c>
      <c r="G664">
        <v>1</v>
      </c>
      <c r="H664">
        <v>43</v>
      </c>
      <c r="I664">
        <v>1</v>
      </c>
    </row>
    <row r="665" spans="1:9" x14ac:dyDescent="0.25">
      <c r="A665">
        <v>9</v>
      </c>
      <c r="B665">
        <v>145</v>
      </c>
      <c r="C665">
        <v>80</v>
      </c>
      <c r="D665">
        <v>46</v>
      </c>
      <c r="E665">
        <v>130</v>
      </c>
      <c r="F665">
        <v>38</v>
      </c>
      <c r="G665">
        <v>1</v>
      </c>
      <c r="H665">
        <v>40</v>
      </c>
      <c r="I665">
        <v>1</v>
      </c>
    </row>
    <row r="666" spans="1:9" x14ac:dyDescent="0.25">
      <c r="A666">
        <v>6</v>
      </c>
      <c r="B666">
        <v>115</v>
      </c>
      <c r="C666">
        <v>60</v>
      </c>
      <c r="D666">
        <v>39</v>
      </c>
      <c r="E666">
        <v>80</v>
      </c>
      <c r="F666">
        <v>34</v>
      </c>
      <c r="G666">
        <v>1</v>
      </c>
      <c r="H666">
        <v>40</v>
      </c>
      <c r="I666">
        <v>1</v>
      </c>
    </row>
    <row r="667" spans="1:9" x14ac:dyDescent="0.25">
      <c r="A667">
        <v>1</v>
      </c>
      <c r="B667">
        <v>112</v>
      </c>
      <c r="C667">
        <v>80</v>
      </c>
      <c r="D667">
        <v>45</v>
      </c>
      <c r="E667">
        <v>132</v>
      </c>
      <c r="F667">
        <v>35</v>
      </c>
      <c r="G667">
        <v>1</v>
      </c>
      <c r="H667">
        <v>24</v>
      </c>
      <c r="I667">
        <v>0</v>
      </c>
    </row>
    <row r="668" spans="1:9" x14ac:dyDescent="0.25">
      <c r="A668">
        <v>4</v>
      </c>
      <c r="B668">
        <v>145</v>
      </c>
      <c r="C668">
        <v>82</v>
      </c>
      <c r="D668">
        <v>18</v>
      </c>
      <c r="E668">
        <v>80</v>
      </c>
      <c r="F668">
        <v>32</v>
      </c>
      <c r="G668">
        <v>1</v>
      </c>
      <c r="H668">
        <v>70</v>
      </c>
      <c r="I668">
        <v>1</v>
      </c>
    </row>
    <row r="669" spans="1:9" x14ac:dyDescent="0.25">
      <c r="A669">
        <v>10</v>
      </c>
      <c r="B669">
        <v>111</v>
      </c>
      <c r="C669">
        <v>70</v>
      </c>
      <c r="D669">
        <v>27</v>
      </c>
      <c r="E669">
        <v>80</v>
      </c>
      <c r="F669">
        <v>28</v>
      </c>
      <c r="G669">
        <v>1</v>
      </c>
      <c r="H669">
        <v>40</v>
      </c>
      <c r="I669">
        <v>1</v>
      </c>
    </row>
    <row r="670" spans="1:9" x14ac:dyDescent="0.25">
      <c r="A670">
        <v>6</v>
      </c>
      <c r="B670">
        <v>98</v>
      </c>
      <c r="C670">
        <v>58</v>
      </c>
      <c r="D670">
        <v>33</v>
      </c>
      <c r="E670">
        <v>190</v>
      </c>
      <c r="F670">
        <v>34</v>
      </c>
      <c r="G670">
        <v>1</v>
      </c>
      <c r="H670">
        <v>43</v>
      </c>
      <c r="I670">
        <v>0</v>
      </c>
    </row>
    <row r="671" spans="1:9" x14ac:dyDescent="0.25">
      <c r="A671">
        <v>9</v>
      </c>
      <c r="B671">
        <v>154</v>
      </c>
      <c r="C671">
        <v>78</v>
      </c>
      <c r="D671">
        <v>30</v>
      </c>
      <c r="E671">
        <v>100</v>
      </c>
      <c r="F671">
        <v>31</v>
      </c>
      <c r="G671">
        <v>1</v>
      </c>
      <c r="H671">
        <v>45</v>
      </c>
      <c r="I671">
        <v>0</v>
      </c>
    </row>
    <row r="672" spans="1:9" x14ac:dyDescent="0.25">
      <c r="A672">
        <v>6</v>
      </c>
      <c r="B672">
        <v>165</v>
      </c>
      <c r="C672">
        <v>68</v>
      </c>
      <c r="D672">
        <v>26</v>
      </c>
      <c r="E672">
        <v>168</v>
      </c>
      <c r="F672">
        <v>34</v>
      </c>
      <c r="G672">
        <v>1</v>
      </c>
      <c r="H672">
        <v>49</v>
      </c>
      <c r="I672">
        <v>0</v>
      </c>
    </row>
    <row r="673" spans="1:9" x14ac:dyDescent="0.25">
      <c r="A673">
        <v>1</v>
      </c>
      <c r="B673">
        <v>99</v>
      </c>
      <c r="C673">
        <v>58</v>
      </c>
      <c r="D673">
        <v>10</v>
      </c>
      <c r="E673">
        <v>80</v>
      </c>
      <c r="F673">
        <v>25</v>
      </c>
      <c r="G673">
        <v>1</v>
      </c>
      <c r="H673">
        <v>21</v>
      </c>
      <c r="I673">
        <v>0</v>
      </c>
    </row>
    <row r="674" spans="1:9" x14ac:dyDescent="0.25">
      <c r="A674">
        <v>10</v>
      </c>
      <c r="B674">
        <v>68</v>
      </c>
      <c r="C674">
        <v>106</v>
      </c>
      <c r="D674">
        <v>23</v>
      </c>
      <c r="E674">
        <v>49</v>
      </c>
      <c r="F674">
        <v>36</v>
      </c>
      <c r="G674">
        <v>1</v>
      </c>
      <c r="H674">
        <v>47</v>
      </c>
      <c r="I674">
        <v>0</v>
      </c>
    </row>
    <row r="675" spans="1:9" x14ac:dyDescent="0.25">
      <c r="A675">
        <v>3</v>
      </c>
      <c r="B675">
        <v>123</v>
      </c>
      <c r="C675">
        <v>100</v>
      </c>
      <c r="D675">
        <v>35</v>
      </c>
      <c r="E675">
        <v>240</v>
      </c>
      <c r="F675">
        <v>57</v>
      </c>
      <c r="G675">
        <v>1</v>
      </c>
      <c r="H675">
        <v>22</v>
      </c>
      <c r="I675">
        <v>0</v>
      </c>
    </row>
    <row r="676" spans="1:9" x14ac:dyDescent="0.25">
      <c r="A676">
        <v>8</v>
      </c>
      <c r="B676">
        <v>91</v>
      </c>
      <c r="C676">
        <v>82</v>
      </c>
      <c r="D676">
        <v>21</v>
      </c>
      <c r="E676">
        <v>80</v>
      </c>
      <c r="F676">
        <v>36</v>
      </c>
      <c r="G676">
        <v>1</v>
      </c>
      <c r="H676">
        <v>68</v>
      </c>
      <c r="I676">
        <v>0</v>
      </c>
    </row>
    <row r="677" spans="1:9" x14ac:dyDescent="0.25">
      <c r="A677">
        <v>6</v>
      </c>
      <c r="B677">
        <v>195</v>
      </c>
      <c r="C677">
        <v>70</v>
      </c>
      <c r="D677">
        <v>21</v>
      </c>
      <c r="E677">
        <v>80</v>
      </c>
      <c r="F677">
        <v>31</v>
      </c>
      <c r="G677">
        <v>1</v>
      </c>
      <c r="H677">
        <v>31</v>
      </c>
      <c r="I677">
        <v>1</v>
      </c>
    </row>
    <row r="678" spans="1:9" x14ac:dyDescent="0.25">
      <c r="A678">
        <v>9</v>
      </c>
      <c r="B678">
        <v>156</v>
      </c>
      <c r="C678">
        <v>86</v>
      </c>
      <c r="D678">
        <v>21</v>
      </c>
      <c r="E678">
        <v>80</v>
      </c>
      <c r="F678">
        <v>25</v>
      </c>
      <c r="G678">
        <v>1</v>
      </c>
      <c r="H678">
        <v>53</v>
      </c>
      <c r="I678">
        <v>1</v>
      </c>
    </row>
    <row r="679" spans="1:9" x14ac:dyDescent="0.25">
      <c r="A679">
        <v>4</v>
      </c>
      <c r="B679">
        <v>93</v>
      </c>
      <c r="C679">
        <v>60</v>
      </c>
      <c r="D679">
        <v>21</v>
      </c>
      <c r="E679">
        <v>80</v>
      </c>
      <c r="F679">
        <v>35</v>
      </c>
      <c r="G679">
        <v>1</v>
      </c>
      <c r="H679">
        <v>25</v>
      </c>
      <c r="I679">
        <v>0</v>
      </c>
    </row>
    <row r="680" spans="1:9" x14ac:dyDescent="0.25">
      <c r="A680">
        <v>3</v>
      </c>
      <c r="B680">
        <v>121</v>
      </c>
      <c r="C680">
        <v>52</v>
      </c>
      <c r="D680">
        <v>21</v>
      </c>
      <c r="E680">
        <v>80</v>
      </c>
      <c r="F680">
        <v>36</v>
      </c>
      <c r="G680">
        <v>1</v>
      </c>
      <c r="H680">
        <v>25</v>
      </c>
      <c r="I680">
        <v>1</v>
      </c>
    </row>
    <row r="681" spans="1:9" x14ac:dyDescent="0.25">
      <c r="A681">
        <v>2</v>
      </c>
      <c r="B681">
        <v>101</v>
      </c>
      <c r="C681">
        <v>58</v>
      </c>
      <c r="D681">
        <v>17</v>
      </c>
      <c r="E681">
        <v>265</v>
      </c>
      <c r="F681">
        <v>24</v>
      </c>
      <c r="G681">
        <v>1</v>
      </c>
      <c r="H681">
        <v>23</v>
      </c>
      <c r="I681">
        <v>0</v>
      </c>
    </row>
    <row r="682" spans="1:9" x14ac:dyDescent="0.25">
      <c r="A682">
        <v>2</v>
      </c>
      <c r="B682">
        <v>56</v>
      </c>
      <c r="C682">
        <v>56</v>
      </c>
      <c r="D682">
        <v>28</v>
      </c>
      <c r="E682">
        <v>45</v>
      </c>
      <c r="F682">
        <v>24</v>
      </c>
      <c r="G682">
        <v>1</v>
      </c>
      <c r="H682">
        <v>22</v>
      </c>
      <c r="I682">
        <v>0</v>
      </c>
    </row>
    <row r="683" spans="1:9" x14ac:dyDescent="0.25">
      <c r="A683">
        <v>4</v>
      </c>
      <c r="B683">
        <v>162</v>
      </c>
      <c r="C683">
        <v>76</v>
      </c>
      <c r="D683">
        <v>36</v>
      </c>
      <c r="E683">
        <v>80</v>
      </c>
      <c r="F683">
        <v>50</v>
      </c>
      <c r="G683">
        <v>1</v>
      </c>
      <c r="H683">
        <v>26</v>
      </c>
      <c r="I683">
        <v>1</v>
      </c>
    </row>
    <row r="684" spans="1:9" x14ac:dyDescent="0.25">
      <c r="A684">
        <v>4</v>
      </c>
      <c r="B684">
        <v>95</v>
      </c>
      <c r="C684">
        <v>64</v>
      </c>
      <c r="D684">
        <v>39</v>
      </c>
      <c r="E684">
        <v>105</v>
      </c>
      <c r="F684">
        <v>45</v>
      </c>
      <c r="G684">
        <v>1</v>
      </c>
      <c r="H684">
        <v>22</v>
      </c>
      <c r="I684">
        <v>0</v>
      </c>
    </row>
    <row r="685" spans="1:9" x14ac:dyDescent="0.25">
      <c r="A685">
        <v>4</v>
      </c>
      <c r="B685">
        <v>125</v>
      </c>
      <c r="C685">
        <v>80</v>
      </c>
      <c r="D685">
        <v>21</v>
      </c>
      <c r="E685">
        <v>80</v>
      </c>
      <c r="F685">
        <v>32</v>
      </c>
      <c r="G685">
        <v>1</v>
      </c>
      <c r="H685">
        <v>27</v>
      </c>
      <c r="I685">
        <v>1</v>
      </c>
    </row>
    <row r="686" spans="1:9" x14ac:dyDescent="0.25">
      <c r="A686">
        <v>5</v>
      </c>
      <c r="B686">
        <v>136</v>
      </c>
      <c r="C686">
        <v>82</v>
      </c>
      <c r="D686">
        <v>21</v>
      </c>
      <c r="E686">
        <v>80</v>
      </c>
      <c r="F686">
        <v>32</v>
      </c>
      <c r="G686">
        <v>1</v>
      </c>
      <c r="H686">
        <v>69</v>
      </c>
      <c r="I686">
        <v>0</v>
      </c>
    </row>
    <row r="687" spans="1:9" x14ac:dyDescent="0.25">
      <c r="A687">
        <v>2</v>
      </c>
      <c r="B687">
        <v>129</v>
      </c>
      <c r="C687">
        <v>74</v>
      </c>
      <c r="D687">
        <v>26</v>
      </c>
      <c r="E687">
        <v>205</v>
      </c>
      <c r="F687">
        <v>33</v>
      </c>
      <c r="G687">
        <v>1</v>
      </c>
      <c r="H687">
        <v>25</v>
      </c>
      <c r="I687">
        <v>0</v>
      </c>
    </row>
    <row r="688" spans="1:9" x14ac:dyDescent="0.25">
      <c r="A688">
        <v>3</v>
      </c>
      <c r="B688">
        <v>130</v>
      </c>
      <c r="C688">
        <v>64</v>
      </c>
      <c r="D688">
        <v>21</v>
      </c>
      <c r="E688">
        <v>80</v>
      </c>
      <c r="F688">
        <v>23</v>
      </c>
      <c r="G688">
        <v>1</v>
      </c>
      <c r="H688">
        <v>22</v>
      </c>
      <c r="I688">
        <v>0</v>
      </c>
    </row>
    <row r="689" spans="1:9" x14ac:dyDescent="0.25">
      <c r="A689">
        <v>1</v>
      </c>
      <c r="B689">
        <v>107</v>
      </c>
      <c r="C689">
        <v>50</v>
      </c>
      <c r="D689">
        <v>19</v>
      </c>
      <c r="E689">
        <v>80</v>
      </c>
      <c r="F689">
        <v>28</v>
      </c>
      <c r="G689">
        <v>1</v>
      </c>
      <c r="H689">
        <v>29</v>
      </c>
      <c r="I689">
        <v>0</v>
      </c>
    </row>
    <row r="690" spans="1:9" x14ac:dyDescent="0.25">
      <c r="A690">
        <v>1</v>
      </c>
      <c r="B690">
        <v>140</v>
      </c>
      <c r="C690">
        <v>74</v>
      </c>
      <c r="D690">
        <v>26</v>
      </c>
      <c r="E690">
        <v>180</v>
      </c>
      <c r="F690">
        <v>24</v>
      </c>
      <c r="G690">
        <v>1</v>
      </c>
      <c r="H690">
        <v>23</v>
      </c>
      <c r="I690">
        <v>0</v>
      </c>
    </row>
    <row r="691" spans="1:9" x14ac:dyDescent="0.25">
      <c r="A691">
        <v>1</v>
      </c>
      <c r="B691">
        <v>144</v>
      </c>
      <c r="C691">
        <v>82</v>
      </c>
      <c r="D691">
        <v>46</v>
      </c>
      <c r="E691">
        <v>180</v>
      </c>
      <c r="F691">
        <v>46</v>
      </c>
      <c r="G691">
        <v>1</v>
      </c>
      <c r="H691">
        <v>46</v>
      </c>
      <c r="I691">
        <v>1</v>
      </c>
    </row>
    <row r="692" spans="1:9" x14ac:dyDescent="0.25">
      <c r="A692">
        <v>8</v>
      </c>
      <c r="B692">
        <v>107</v>
      </c>
      <c r="C692">
        <v>80</v>
      </c>
      <c r="D692">
        <v>21</v>
      </c>
      <c r="E692">
        <v>80</v>
      </c>
      <c r="F692">
        <v>25</v>
      </c>
      <c r="G692">
        <v>1</v>
      </c>
      <c r="H692">
        <v>34</v>
      </c>
      <c r="I692">
        <v>0</v>
      </c>
    </row>
    <row r="693" spans="1:9" x14ac:dyDescent="0.25">
      <c r="A693">
        <v>13</v>
      </c>
      <c r="B693">
        <v>158</v>
      </c>
      <c r="C693">
        <v>114</v>
      </c>
      <c r="D693">
        <v>21</v>
      </c>
      <c r="E693">
        <v>80</v>
      </c>
      <c r="F693">
        <v>42</v>
      </c>
      <c r="G693">
        <v>1</v>
      </c>
      <c r="H693">
        <v>44</v>
      </c>
      <c r="I693">
        <v>1</v>
      </c>
    </row>
    <row r="694" spans="1:9" x14ac:dyDescent="0.25">
      <c r="A694">
        <v>2</v>
      </c>
      <c r="B694">
        <v>121</v>
      </c>
      <c r="C694">
        <v>70</v>
      </c>
      <c r="D694">
        <v>32</v>
      </c>
      <c r="E694">
        <v>95</v>
      </c>
      <c r="F694">
        <v>39</v>
      </c>
      <c r="G694">
        <v>1</v>
      </c>
      <c r="H694">
        <v>23</v>
      </c>
      <c r="I694">
        <v>0</v>
      </c>
    </row>
    <row r="695" spans="1:9" x14ac:dyDescent="0.25">
      <c r="A695">
        <v>7</v>
      </c>
      <c r="B695">
        <v>129</v>
      </c>
      <c r="C695">
        <v>68</v>
      </c>
      <c r="D695">
        <v>49</v>
      </c>
      <c r="E695">
        <v>125</v>
      </c>
      <c r="F695">
        <v>38</v>
      </c>
      <c r="G695">
        <v>1</v>
      </c>
      <c r="H695">
        <v>43</v>
      </c>
      <c r="I695">
        <v>1</v>
      </c>
    </row>
    <row r="696" spans="1:9" x14ac:dyDescent="0.25">
      <c r="A696">
        <v>2</v>
      </c>
      <c r="B696">
        <v>90</v>
      </c>
      <c r="C696">
        <v>60</v>
      </c>
      <c r="D696">
        <v>21</v>
      </c>
      <c r="E696">
        <v>80</v>
      </c>
      <c r="F696">
        <v>24</v>
      </c>
      <c r="G696">
        <v>1</v>
      </c>
      <c r="H696">
        <v>25</v>
      </c>
      <c r="I696">
        <v>0</v>
      </c>
    </row>
    <row r="697" spans="1:9" x14ac:dyDescent="0.25">
      <c r="A697">
        <v>7</v>
      </c>
      <c r="B697">
        <v>142</v>
      </c>
      <c r="C697">
        <v>90</v>
      </c>
      <c r="D697">
        <v>24</v>
      </c>
      <c r="E697">
        <v>480</v>
      </c>
      <c r="F697">
        <v>30</v>
      </c>
      <c r="G697">
        <v>1</v>
      </c>
      <c r="H697">
        <v>43</v>
      </c>
      <c r="I697">
        <v>1</v>
      </c>
    </row>
    <row r="698" spans="1:9" x14ac:dyDescent="0.25">
      <c r="A698">
        <v>3</v>
      </c>
      <c r="B698">
        <v>169</v>
      </c>
      <c r="C698">
        <v>74</v>
      </c>
      <c r="D698">
        <v>19</v>
      </c>
      <c r="E698">
        <v>125</v>
      </c>
      <c r="F698">
        <v>30</v>
      </c>
      <c r="G698">
        <v>1</v>
      </c>
      <c r="H698">
        <v>31</v>
      </c>
      <c r="I698">
        <v>1</v>
      </c>
    </row>
    <row r="699" spans="1:9" x14ac:dyDescent="0.25">
      <c r="A699">
        <v>4</v>
      </c>
      <c r="B699">
        <v>99</v>
      </c>
      <c r="C699">
        <v>69</v>
      </c>
      <c r="D699">
        <v>21</v>
      </c>
      <c r="E699">
        <v>80</v>
      </c>
      <c r="F699">
        <v>25</v>
      </c>
      <c r="G699">
        <v>1</v>
      </c>
      <c r="H699">
        <v>22</v>
      </c>
      <c r="I699">
        <v>0</v>
      </c>
    </row>
    <row r="700" spans="1:9" x14ac:dyDescent="0.25">
      <c r="A700">
        <v>4</v>
      </c>
      <c r="B700">
        <v>127</v>
      </c>
      <c r="C700">
        <v>88</v>
      </c>
      <c r="D700">
        <v>11</v>
      </c>
      <c r="E700">
        <v>155</v>
      </c>
      <c r="F700">
        <v>34</v>
      </c>
      <c r="G700">
        <v>1</v>
      </c>
      <c r="H700">
        <v>28</v>
      </c>
      <c r="I700">
        <v>0</v>
      </c>
    </row>
    <row r="701" spans="1:9" x14ac:dyDescent="0.25">
      <c r="A701">
        <v>4</v>
      </c>
      <c r="B701">
        <v>118</v>
      </c>
      <c r="C701">
        <v>70</v>
      </c>
      <c r="D701">
        <v>21</v>
      </c>
      <c r="E701">
        <v>80</v>
      </c>
      <c r="F701">
        <v>44</v>
      </c>
      <c r="G701">
        <v>1</v>
      </c>
      <c r="H701">
        <v>26</v>
      </c>
      <c r="I701">
        <v>0</v>
      </c>
    </row>
    <row r="702" spans="1:9" x14ac:dyDescent="0.25">
      <c r="A702">
        <v>2</v>
      </c>
      <c r="B702">
        <v>122</v>
      </c>
      <c r="C702">
        <v>76</v>
      </c>
      <c r="D702">
        <v>27</v>
      </c>
      <c r="E702">
        <v>200</v>
      </c>
      <c r="F702">
        <v>36</v>
      </c>
      <c r="G702">
        <v>1</v>
      </c>
      <c r="H702">
        <v>26</v>
      </c>
      <c r="I702">
        <v>0</v>
      </c>
    </row>
    <row r="703" spans="1:9" x14ac:dyDescent="0.25">
      <c r="A703">
        <v>6</v>
      </c>
      <c r="B703">
        <v>125</v>
      </c>
      <c r="C703">
        <v>78</v>
      </c>
      <c r="D703">
        <v>31</v>
      </c>
      <c r="E703">
        <v>80</v>
      </c>
      <c r="F703">
        <v>28</v>
      </c>
      <c r="G703">
        <v>1</v>
      </c>
      <c r="H703">
        <v>49</v>
      </c>
      <c r="I703">
        <v>1</v>
      </c>
    </row>
    <row r="704" spans="1:9" x14ac:dyDescent="0.25">
      <c r="A704">
        <v>1</v>
      </c>
      <c r="B704">
        <v>168</v>
      </c>
      <c r="C704">
        <v>88</v>
      </c>
      <c r="D704">
        <v>29</v>
      </c>
      <c r="E704">
        <v>80</v>
      </c>
      <c r="F704">
        <v>35</v>
      </c>
      <c r="G704">
        <v>1</v>
      </c>
      <c r="H704">
        <v>52</v>
      </c>
      <c r="I704">
        <v>1</v>
      </c>
    </row>
    <row r="705" spans="1:9" x14ac:dyDescent="0.25">
      <c r="A705">
        <v>2</v>
      </c>
      <c r="B705">
        <v>129</v>
      </c>
      <c r="C705">
        <v>69</v>
      </c>
      <c r="D705">
        <v>21</v>
      </c>
      <c r="E705">
        <v>80</v>
      </c>
      <c r="F705">
        <v>38</v>
      </c>
      <c r="G705">
        <v>1</v>
      </c>
      <c r="H705">
        <v>41</v>
      </c>
      <c r="I705">
        <v>0</v>
      </c>
    </row>
    <row r="706" spans="1:9" x14ac:dyDescent="0.25">
      <c r="A706">
        <v>4</v>
      </c>
      <c r="B706">
        <v>110</v>
      </c>
      <c r="C706">
        <v>76</v>
      </c>
      <c r="D706">
        <v>20</v>
      </c>
      <c r="E706">
        <v>100</v>
      </c>
      <c r="F706">
        <v>28</v>
      </c>
      <c r="G706">
        <v>1</v>
      </c>
      <c r="H706">
        <v>27</v>
      </c>
      <c r="I706">
        <v>0</v>
      </c>
    </row>
    <row r="707" spans="1:9" x14ac:dyDescent="0.25">
      <c r="A707">
        <v>6</v>
      </c>
      <c r="B707">
        <v>80</v>
      </c>
      <c r="C707">
        <v>80</v>
      </c>
      <c r="D707">
        <v>36</v>
      </c>
      <c r="E707">
        <v>80</v>
      </c>
      <c r="F707">
        <v>40</v>
      </c>
      <c r="G707">
        <v>1</v>
      </c>
      <c r="H707">
        <v>28</v>
      </c>
      <c r="I707">
        <v>0</v>
      </c>
    </row>
    <row r="708" spans="1:9" x14ac:dyDescent="0.25">
      <c r="A708">
        <v>10</v>
      </c>
      <c r="B708">
        <v>115</v>
      </c>
      <c r="C708">
        <v>69</v>
      </c>
      <c r="D708">
        <v>21</v>
      </c>
      <c r="E708">
        <v>80</v>
      </c>
      <c r="F708">
        <v>32</v>
      </c>
      <c r="G708">
        <v>1</v>
      </c>
      <c r="H708">
        <v>30</v>
      </c>
      <c r="I708">
        <v>1</v>
      </c>
    </row>
    <row r="709" spans="1:9" x14ac:dyDescent="0.25">
      <c r="A709">
        <v>2</v>
      </c>
      <c r="B709">
        <v>127</v>
      </c>
      <c r="C709">
        <v>46</v>
      </c>
      <c r="D709">
        <v>21</v>
      </c>
      <c r="E709">
        <v>335</v>
      </c>
      <c r="F709">
        <v>34</v>
      </c>
      <c r="G709">
        <v>1</v>
      </c>
      <c r="H709">
        <v>22</v>
      </c>
      <c r="I709">
        <v>0</v>
      </c>
    </row>
    <row r="710" spans="1:9" x14ac:dyDescent="0.25">
      <c r="A710">
        <v>9</v>
      </c>
      <c r="B710">
        <v>164</v>
      </c>
      <c r="C710">
        <v>78</v>
      </c>
      <c r="D710">
        <v>21</v>
      </c>
      <c r="E710">
        <v>80</v>
      </c>
      <c r="F710">
        <v>33</v>
      </c>
      <c r="G710">
        <v>1</v>
      </c>
      <c r="H710">
        <v>45</v>
      </c>
      <c r="I710">
        <v>1</v>
      </c>
    </row>
    <row r="711" spans="1:9" x14ac:dyDescent="0.25">
      <c r="A711">
        <v>2</v>
      </c>
      <c r="B711">
        <v>93</v>
      </c>
      <c r="C711">
        <v>64</v>
      </c>
      <c r="D711">
        <v>32</v>
      </c>
      <c r="E711">
        <v>160</v>
      </c>
      <c r="F711">
        <v>38</v>
      </c>
      <c r="G711">
        <v>1</v>
      </c>
      <c r="H711">
        <v>23</v>
      </c>
      <c r="I711">
        <v>1</v>
      </c>
    </row>
    <row r="712" spans="1:9" x14ac:dyDescent="0.25">
      <c r="A712">
        <v>3</v>
      </c>
      <c r="B712">
        <v>158</v>
      </c>
      <c r="C712">
        <v>64</v>
      </c>
      <c r="D712">
        <v>13</v>
      </c>
      <c r="E712">
        <v>387</v>
      </c>
      <c r="F712">
        <v>31</v>
      </c>
      <c r="G712">
        <v>1</v>
      </c>
      <c r="H712">
        <v>24</v>
      </c>
      <c r="I712">
        <v>0</v>
      </c>
    </row>
    <row r="713" spans="1:9" x14ac:dyDescent="0.25">
      <c r="A713">
        <v>5</v>
      </c>
      <c r="B713">
        <v>126</v>
      </c>
      <c r="C713">
        <v>78</v>
      </c>
      <c r="D713">
        <v>27</v>
      </c>
      <c r="E713">
        <v>22</v>
      </c>
      <c r="F713">
        <v>30</v>
      </c>
      <c r="G713">
        <v>1</v>
      </c>
      <c r="H713">
        <v>40</v>
      </c>
      <c r="I713">
        <v>0</v>
      </c>
    </row>
    <row r="714" spans="1:9" x14ac:dyDescent="0.25">
      <c r="A714">
        <v>10</v>
      </c>
      <c r="B714">
        <v>129</v>
      </c>
      <c r="C714">
        <v>62</v>
      </c>
      <c r="D714">
        <v>36</v>
      </c>
      <c r="E714">
        <v>80</v>
      </c>
      <c r="F714">
        <v>41</v>
      </c>
      <c r="G714">
        <v>1</v>
      </c>
      <c r="H714">
        <v>38</v>
      </c>
      <c r="I714">
        <v>1</v>
      </c>
    </row>
    <row r="715" spans="1:9" x14ac:dyDescent="0.25">
      <c r="A715">
        <v>4</v>
      </c>
      <c r="B715">
        <v>134</v>
      </c>
      <c r="C715">
        <v>58</v>
      </c>
      <c r="D715">
        <v>20</v>
      </c>
      <c r="E715">
        <v>291</v>
      </c>
      <c r="F715">
        <v>26</v>
      </c>
      <c r="G715">
        <v>1</v>
      </c>
      <c r="H715">
        <v>21</v>
      </c>
      <c r="I715">
        <v>0</v>
      </c>
    </row>
    <row r="716" spans="1:9" x14ac:dyDescent="0.25">
      <c r="A716">
        <v>3</v>
      </c>
      <c r="B716">
        <v>102</v>
      </c>
      <c r="C716">
        <v>74</v>
      </c>
      <c r="D716">
        <v>21</v>
      </c>
      <c r="E716">
        <v>80</v>
      </c>
      <c r="F716">
        <v>30</v>
      </c>
      <c r="G716">
        <v>1</v>
      </c>
      <c r="H716">
        <v>32</v>
      </c>
      <c r="I716">
        <v>0</v>
      </c>
    </row>
    <row r="717" spans="1:9" x14ac:dyDescent="0.25">
      <c r="A717">
        <v>7</v>
      </c>
      <c r="B717">
        <v>187</v>
      </c>
      <c r="C717">
        <v>50</v>
      </c>
      <c r="D717">
        <v>33</v>
      </c>
      <c r="E717">
        <v>392</v>
      </c>
      <c r="F717">
        <v>34</v>
      </c>
      <c r="G717">
        <v>1</v>
      </c>
      <c r="H717">
        <v>34</v>
      </c>
      <c r="I717">
        <v>1</v>
      </c>
    </row>
    <row r="718" spans="1:9" x14ac:dyDescent="0.25">
      <c r="A718">
        <v>3</v>
      </c>
      <c r="B718">
        <v>173</v>
      </c>
      <c r="C718">
        <v>78</v>
      </c>
      <c r="D718">
        <v>39</v>
      </c>
      <c r="E718">
        <v>185</v>
      </c>
      <c r="F718">
        <v>34</v>
      </c>
      <c r="G718">
        <v>1</v>
      </c>
      <c r="H718">
        <v>31</v>
      </c>
      <c r="I718">
        <v>1</v>
      </c>
    </row>
    <row r="719" spans="1:9" x14ac:dyDescent="0.25">
      <c r="A719">
        <v>10</v>
      </c>
      <c r="B719">
        <v>94</v>
      </c>
      <c r="C719">
        <v>72</v>
      </c>
      <c r="D719">
        <v>18</v>
      </c>
      <c r="E719">
        <v>80</v>
      </c>
      <c r="F719">
        <v>23</v>
      </c>
      <c r="G719">
        <v>1</v>
      </c>
      <c r="H719">
        <v>56</v>
      </c>
      <c r="I719">
        <v>0</v>
      </c>
    </row>
    <row r="720" spans="1:9" x14ac:dyDescent="0.25">
      <c r="A720">
        <v>1</v>
      </c>
      <c r="B720">
        <v>108</v>
      </c>
      <c r="C720">
        <v>60</v>
      </c>
      <c r="D720">
        <v>46</v>
      </c>
      <c r="E720">
        <v>178</v>
      </c>
      <c r="F720">
        <v>36</v>
      </c>
      <c r="G720">
        <v>1</v>
      </c>
      <c r="H720">
        <v>24</v>
      </c>
      <c r="I720">
        <v>0</v>
      </c>
    </row>
    <row r="721" spans="1:9" x14ac:dyDescent="0.25">
      <c r="A721">
        <v>5</v>
      </c>
      <c r="B721">
        <v>97</v>
      </c>
      <c r="C721">
        <v>76</v>
      </c>
      <c r="D721">
        <v>27</v>
      </c>
      <c r="E721">
        <v>80</v>
      </c>
      <c r="F721">
        <v>36</v>
      </c>
      <c r="G721">
        <v>1</v>
      </c>
      <c r="H721">
        <v>52</v>
      </c>
      <c r="I721">
        <v>1</v>
      </c>
    </row>
    <row r="722" spans="1:9" x14ac:dyDescent="0.25">
      <c r="A722">
        <v>4</v>
      </c>
      <c r="B722">
        <v>83</v>
      </c>
      <c r="C722">
        <v>86</v>
      </c>
      <c r="D722">
        <v>19</v>
      </c>
      <c r="E722">
        <v>80</v>
      </c>
      <c r="F722">
        <v>29</v>
      </c>
      <c r="G722">
        <v>1</v>
      </c>
      <c r="H722">
        <v>34</v>
      </c>
      <c r="I722">
        <v>0</v>
      </c>
    </row>
    <row r="723" spans="1:9" x14ac:dyDescent="0.25">
      <c r="A723">
        <v>1</v>
      </c>
      <c r="B723">
        <v>114</v>
      </c>
      <c r="C723">
        <v>66</v>
      </c>
      <c r="D723">
        <v>36</v>
      </c>
      <c r="E723">
        <v>200</v>
      </c>
      <c r="F723">
        <v>38</v>
      </c>
      <c r="G723">
        <v>1</v>
      </c>
      <c r="H723">
        <v>21</v>
      </c>
      <c r="I723">
        <v>0</v>
      </c>
    </row>
    <row r="724" spans="1:9" x14ac:dyDescent="0.25">
      <c r="A724">
        <v>1</v>
      </c>
      <c r="B724">
        <v>149</v>
      </c>
      <c r="C724">
        <v>68</v>
      </c>
      <c r="D724">
        <v>29</v>
      </c>
      <c r="E724">
        <v>127</v>
      </c>
      <c r="F724">
        <v>29</v>
      </c>
      <c r="G724">
        <v>1</v>
      </c>
      <c r="H724">
        <v>42</v>
      </c>
      <c r="I724">
        <v>1</v>
      </c>
    </row>
    <row r="725" spans="1:9" x14ac:dyDescent="0.25">
      <c r="A725">
        <v>5</v>
      </c>
      <c r="B725">
        <v>117</v>
      </c>
      <c r="C725">
        <v>86</v>
      </c>
      <c r="D725">
        <v>30</v>
      </c>
      <c r="E725">
        <v>105</v>
      </c>
      <c r="F725">
        <v>39</v>
      </c>
      <c r="G725">
        <v>1</v>
      </c>
      <c r="H725">
        <v>42</v>
      </c>
      <c r="I725">
        <v>0</v>
      </c>
    </row>
    <row r="726" spans="1:9" x14ac:dyDescent="0.25">
      <c r="A726">
        <v>1</v>
      </c>
      <c r="B726">
        <v>111</v>
      </c>
      <c r="C726">
        <v>94</v>
      </c>
      <c r="D726">
        <v>21</v>
      </c>
      <c r="E726">
        <v>80</v>
      </c>
      <c r="F726">
        <v>33</v>
      </c>
      <c r="G726">
        <v>1</v>
      </c>
      <c r="H726">
        <v>45</v>
      </c>
      <c r="I726">
        <v>0</v>
      </c>
    </row>
    <row r="727" spans="1:9" x14ac:dyDescent="0.25">
      <c r="A727">
        <v>4</v>
      </c>
      <c r="B727">
        <v>112</v>
      </c>
      <c r="C727">
        <v>78</v>
      </c>
      <c r="D727">
        <v>40</v>
      </c>
      <c r="E727">
        <v>80</v>
      </c>
      <c r="F727">
        <v>39</v>
      </c>
      <c r="G727">
        <v>1</v>
      </c>
      <c r="H727">
        <v>38</v>
      </c>
      <c r="I727">
        <v>0</v>
      </c>
    </row>
    <row r="728" spans="1:9" x14ac:dyDescent="0.25">
      <c r="A728">
        <v>1</v>
      </c>
      <c r="B728">
        <v>116</v>
      </c>
      <c r="C728">
        <v>78</v>
      </c>
      <c r="D728">
        <v>29</v>
      </c>
      <c r="E728">
        <v>180</v>
      </c>
      <c r="F728">
        <v>36</v>
      </c>
      <c r="G728">
        <v>1</v>
      </c>
      <c r="H728">
        <v>25</v>
      </c>
      <c r="I728">
        <v>0</v>
      </c>
    </row>
    <row r="729" spans="1:9" x14ac:dyDescent="0.25">
      <c r="A729">
        <v>4</v>
      </c>
      <c r="B729">
        <v>141</v>
      </c>
      <c r="C729">
        <v>84</v>
      </c>
      <c r="D729">
        <v>26</v>
      </c>
      <c r="E729">
        <v>80</v>
      </c>
      <c r="F729">
        <v>32</v>
      </c>
      <c r="G729">
        <v>1</v>
      </c>
      <c r="H729">
        <v>22</v>
      </c>
      <c r="I729">
        <v>0</v>
      </c>
    </row>
    <row r="730" spans="1:9" x14ac:dyDescent="0.25">
      <c r="A730">
        <v>2</v>
      </c>
      <c r="B730">
        <v>175</v>
      </c>
      <c r="C730">
        <v>88</v>
      </c>
      <c r="D730">
        <v>21</v>
      </c>
      <c r="E730">
        <v>80</v>
      </c>
      <c r="F730">
        <v>23</v>
      </c>
      <c r="G730">
        <v>1</v>
      </c>
      <c r="H730">
        <v>22</v>
      </c>
      <c r="I730">
        <v>0</v>
      </c>
    </row>
    <row r="731" spans="1:9" x14ac:dyDescent="0.25">
      <c r="A731">
        <v>2</v>
      </c>
      <c r="B731">
        <v>92</v>
      </c>
      <c r="C731">
        <v>52</v>
      </c>
      <c r="D731">
        <v>21</v>
      </c>
      <c r="E731">
        <v>80</v>
      </c>
      <c r="F731">
        <v>30</v>
      </c>
      <c r="G731">
        <v>1</v>
      </c>
      <c r="H731">
        <v>22</v>
      </c>
      <c r="I731">
        <v>0</v>
      </c>
    </row>
    <row r="732" spans="1:9" x14ac:dyDescent="0.25">
      <c r="A732">
        <v>3</v>
      </c>
      <c r="B732">
        <v>130</v>
      </c>
      <c r="C732">
        <v>78</v>
      </c>
      <c r="D732">
        <v>23</v>
      </c>
      <c r="E732">
        <v>79</v>
      </c>
      <c r="F732">
        <v>28</v>
      </c>
      <c r="G732">
        <v>1</v>
      </c>
      <c r="H732">
        <v>34</v>
      </c>
      <c r="I732">
        <v>1</v>
      </c>
    </row>
    <row r="733" spans="1:9" x14ac:dyDescent="0.25">
      <c r="A733">
        <v>8</v>
      </c>
      <c r="B733">
        <v>120</v>
      </c>
      <c r="C733">
        <v>86</v>
      </c>
      <c r="D733">
        <v>21</v>
      </c>
      <c r="E733">
        <v>80</v>
      </c>
      <c r="F733">
        <v>28</v>
      </c>
      <c r="G733">
        <v>1</v>
      </c>
      <c r="H733">
        <v>22</v>
      </c>
      <c r="I733">
        <v>1</v>
      </c>
    </row>
    <row r="734" spans="1:9" x14ac:dyDescent="0.25">
      <c r="A734">
        <v>2</v>
      </c>
      <c r="B734">
        <v>174</v>
      </c>
      <c r="C734">
        <v>88</v>
      </c>
      <c r="D734">
        <v>37</v>
      </c>
      <c r="E734">
        <v>120</v>
      </c>
      <c r="F734">
        <v>44</v>
      </c>
      <c r="G734">
        <v>1</v>
      </c>
      <c r="H734">
        <v>24</v>
      </c>
      <c r="I734">
        <v>1</v>
      </c>
    </row>
    <row r="735" spans="1:9" x14ac:dyDescent="0.25">
      <c r="A735">
        <v>2</v>
      </c>
      <c r="B735">
        <v>106</v>
      </c>
      <c r="C735">
        <v>56</v>
      </c>
      <c r="D735">
        <v>27</v>
      </c>
      <c r="E735">
        <v>165</v>
      </c>
      <c r="F735">
        <v>29</v>
      </c>
      <c r="G735">
        <v>1</v>
      </c>
      <c r="H735">
        <v>22</v>
      </c>
      <c r="I735">
        <v>0</v>
      </c>
    </row>
    <row r="736" spans="1:9" x14ac:dyDescent="0.25">
      <c r="A736">
        <v>2</v>
      </c>
      <c r="B736">
        <v>105</v>
      </c>
      <c r="C736">
        <v>75</v>
      </c>
      <c r="D736">
        <v>21</v>
      </c>
      <c r="E736">
        <v>80</v>
      </c>
      <c r="F736">
        <v>23</v>
      </c>
      <c r="G736">
        <v>1</v>
      </c>
      <c r="H736">
        <v>53</v>
      </c>
      <c r="I736">
        <v>0</v>
      </c>
    </row>
    <row r="737" spans="1:9" x14ac:dyDescent="0.25">
      <c r="A737">
        <v>4</v>
      </c>
      <c r="B737">
        <v>95</v>
      </c>
      <c r="C737">
        <v>60</v>
      </c>
      <c r="D737">
        <v>32</v>
      </c>
      <c r="E737">
        <v>80</v>
      </c>
      <c r="F737">
        <v>35</v>
      </c>
      <c r="G737">
        <v>1</v>
      </c>
      <c r="H737">
        <v>28</v>
      </c>
      <c r="I737">
        <v>0</v>
      </c>
    </row>
    <row r="738" spans="1:9" x14ac:dyDescent="0.25">
      <c r="A738">
        <v>4</v>
      </c>
      <c r="B738">
        <v>126</v>
      </c>
      <c r="C738">
        <v>86</v>
      </c>
      <c r="D738">
        <v>27</v>
      </c>
      <c r="E738">
        <v>120</v>
      </c>
      <c r="F738">
        <v>27</v>
      </c>
      <c r="G738">
        <v>1</v>
      </c>
      <c r="H738">
        <v>21</v>
      </c>
      <c r="I738">
        <v>0</v>
      </c>
    </row>
    <row r="739" spans="1:9" x14ac:dyDescent="0.25">
      <c r="A739">
        <v>8</v>
      </c>
      <c r="B739">
        <v>65</v>
      </c>
      <c r="C739">
        <v>72</v>
      </c>
      <c r="D739">
        <v>23</v>
      </c>
      <c r="E739">
        <v>80</v>
      </c>
      <c r="F739">
        <v>32</v>
      </c>
      <c r="G739">
        <v>1</v>
      </c>
      <c r="H739">
        <v>42</v>
      </c>
      <c r="I739">
        <v>0</v>
      </c>
    </row>
    <row r="740" spans="1:9" x14ac:dyDescent="0.25">
      <c r="A740">
        <v>2</v>
      </c>
      <c r="B740">
        <v>99</v>
      </c>
      <c r="C740">
        <v>60</v>
      </c>
      <c r="D740">
        <v>17</v>
      </c>
      <c r="E740">
        <v>160</v>
      </c>
      <c r="F740">
        <v>37</v>
      </c>
      <c r="G740">
        <v>1</v>
      </c>
      <c r="H740">
        <v>21</v>
      </c>
      <c r="I740">
        <v>0</v>
      </c>
    </row>
    <row r="741" spans="1:9" x14ac:dyDescent="0.25">
      <c r="A741">
        <v>1</v>
      </c>
      <c r="B741">
        <v>102</v>
      </c>
      <c r="C741">
        <v>74</v>
      </c>
      <c r="D741">
        <v>21</v>
      </c>
      <c r="E741">
        <v>80</v>
      </c>
      <c r="F741">
        <v>40</v>
      </c>
      <c r="G741">
        <v>1</v>
      </c>
      <c r="H741">
        <v>42</v>
      </c>
      <c r="I741">
        <v>1</v>
      </c>
    </row>
    <row r="742" spans="1:9" x14ac:dyDescent="0.25">
      <c r="A742">
        <v>11</v>
      </c>
      <c r="B742">
        <v>120</v>
      </c>
      <c r="C742">
        <v>80</v>
      </c>
      <c r="D742">
        <v>37</v>
      </c>
      <c r="E742">
        <v>150</v>
      </c>
      <c r="F742">
        <v>42</v>
      </c>
      <c r="G742">
        <v>1</v>
      </c>
      <c r="H742">
        <v>48</v>
      </c>
      <c r="I742">
        <v>1</v>
      </c>
    </row>
    <row r="743" spans="1:9" x14ac:dyDescent="0.25">
      <c r="A743">
        <v>3</v>
      </c>
      <c r="B743">
        <v>102</v>
      </c>
      <c r="C743">
        <v>44</v>
      </c>
      <c r="D743">
        <v>20</v>
      </c>
      <c r="E743">
        <v>94</v>
      </c>
      <c r="F743">
        <v>31</v>
      </c>
      <c r="G743">
        <v>1</v>
      </c>
      <c r="H743">
        <v>26</v>
      </c>
      <c r="I743">
        <v>0</v>
      </c>
    </row>
    <row r="744" spans="1:9" x14ac:dyDescent="0.25">
      <c r="A744">
        <v>1</v>
      </c>
      <c r="B744">
        <v>109</v>
      </c>
      <c r="C744">
        <v>58</v>
      </c>
      <c r="D744">
        <v>18</v>
      </c>
      <c r="E744">
        <v>116</v>
      </c>
      <c r="F744">
        <v>28</v>
      </c>
      <c r="G744">
        <v>1</v>
      </c>
      <c r="H744">
        <v>22</v>
      </c>
      <c r="I744">
        <v>0</v>
      </c>
    </row>
    <row r="745" spans="1:9" x14ac:dyDescent="0.25">
      <c r="A745">
        <v>9</v>
      </c>
      <c r="B745">
        <v>140</v>
      </c>
      <c r="C745">
        <v>94</v>
      </c>
      <c r="D745">
        <v>21</v>
      </c>
      <c r="E745">
        <v>80</v>
      </c>
      <c r="F745">
        <v>33</v>
      </c>
      <c r="G745">
        <v>1</v>
      </c>
      <c r="H745">
        <v>45</v>
      </c>
      <c r="I745">
        <v>1</v>
      </c>
    </row>
    <row r="746" spans="1:9" x14ac:dyDescent="0.25">
      <c r="A746">
        <v>13</v>
      </c>
      <c r="B746">
        <v>153</v>
      </c>
      <c r="C746">
        <v>88</v>
      </c>
      <c r="D746">
        <v>37</v>
      </c>
      <c r="E746">
        <v>140</v>
      </c>
      <c r="F746">
        <v>41</v>
      </c>
      <c r="G746">
        <v>1</v>
      </c>
      <c r="H746">
        <v>39</v>
      </c>
      <c r="I746">
        <v>0</v>
      </c>
    </row>
    <row r="747" spans="1:9" x14ac:dyDescent="0.25">
      <c r="A747">
        <v>12</v>
      </c>
      <c r="B747">
        <v>100</v>
      </c>
      <c r="C747">
        <v>84</v>
      </c>
      <c r="D747">
        <v>33</v>
      </c>
      <c r="E747">
        <v>105</v>
      </c>
      <c r="F747">
        <v>30</v>
      </c>
      <c r="G747">
        <v>1</v>
      </c>
      <c r="H747">
        <v>46</v>
      </c>
      <c r="I747">
        <v>0</v>
      </c>
    </row>
    <row r="748" spans="1:9" x14ac:dyDescent="0.25">
      <c r="A748">
        <v>1</v>
      </c>
      <c r="B748">
        <v>147</v>
      </c>
      <c r="C748">
        <v>94</v>
      </c>
      <c r="D748">
        <v>41</v>
      </c>
      <c r="E748">
        <v>80</v>
      </c>
      <c r="F748">
        <v>49</v>
      </c>
      <c r="G748">
        <v>1</v>
      </c>
      <c r="H748">
        <v>27</v>
      </c>
      <c r="I748">
        <v>1</v>
      </c>
    </row>
    <row r="749" spans="1:9" x14ac:dyDescent="0.25">
      <c r="A749">
        <v>1</v>
      </c>
      <c r="B749">
        <v>81</v>
      </c>
      <c r="C749">
        <v>74</v>
      </c>
      <c r="D749">
        <v>41</v>
      </c>
      <c r="E749">
        <v>57</v>
      </c>
      <c r="F749">
        <v>46</v>
      </c>
      <c r="G749">
        <v>1</v>
      </c>
      <c r="H749">
        <v>32</v>
      </c>
      <c r="I749">
        <v>0</v>
      </c>
    </row>
    <row r="750" spans="1:9" x14ac:dyDescent="0.25">
      <c r="A750">
        <v>3</v>
      </c>
      <c r="B750">
        <v>187</v>
      </c>
      <c r="C750">
        <v>70</v>
      </c>
      <c r="D750">
        <v>22</v>
      </c>
      <c r="E750">
        <v>200</v>
      </c>
      <c r="F750">
        <v>36</v>
      </c>
      <c r="G750">
        <v>1</v>
      </c>
      <c r="H750">
        <v>36</v>
      </c>
      <c r="I750">
        <v>1</v>
      </c>
    </row>
    <row r="751" spans="1:9" x14ac:dyDescent="0.25">
      <c r="A751">
        <v>6</v>
      </c>
      <c r="B751">
        <v>162</v>
      </c>
      <c r="C751">
        <v>62</v>
      </c>
      <c r="D751">
        <v>21</v>
      </c>
      <c r="E751">
        <v>80</v>
      </c>
      <c r="F751">
        <v>24</v>
      </c>
      <c r="G751">
        <v>1</v>
      </c>
      <c r="H751">
        <v>50</v>
      </c>
      <c r="I751">
        <v>1</v>
      </c>
    </row>
    <row r="752" spans="1:9" x14ac:dyDescent="0.25">
      <c r="A752">
        <v>4</v>
      </c>
      <c r="B752">
        <v>136</v>
      </c>
      <c r="C752">
        <v>70</v>
      </c>
      <c r="D752">
        <v>21</v>
      </c>
      <c r="E752">
        <v>80</v>
      </c>
      <c r="F752">
        <v>31</v>
      </c>
      <c r="G752">
        <v>1</v>
      </c>
      <c r="H752">
        <v>22</v>
      </c>
      <c r="I752">
        <v>1</v>
      </c>
    </row>
    <row r="753" spans="1:9" x14ac:dyDescent="0.25">
      <c r="A753">
        <v>1</v>
      </c>
      <c r="B753">
        <v>121</v>
      </c>
      <c r="C753">
        <v>78</v>
      </c>
      <c r="D753">
        <v>39</v>
      </c>
      <c r="E753">
        <v>74</v>
      </c>
      <c r="F753">
        <v>39</v>
      </c>
      <c r="G753">
        <v>1</v>
      </c>
      <c r="H753">
        <v>28</v>
      </c>
      <c r="I753">
        <v>0</v>
      </c>
    </row>
    <row r="754" spans="1:9" x14ac:dyDescent="0.25">
      <c r="A754">
        <v>3</v>
      </c>
      <c r="B754">
        <v>108</v>
      </c>
      <c r="C754">
        <v>62</v>
      </c>
      <c r="D754">
        <v>24</v>
      </c>
      <c r="E754">
        <v>80</v>
      </c>
      <c r="F754">
        <v>26</v>
      </c>
      <c r="G754">
        <v>1</v>
      </c>
      <c r="H754">
        <v>25</v>
      </c>
      <c r="I754">
        <v>0</v>
      </c>
    </row>
    <row r="755" spans="1:9" x14ac:dyDescent="0.25">
      <c r="A755">
        <v>4</v>
      </c>
      <c r="B755">
        <v>181</v>
      </c>
      <c r="C755">
        <v>88</v>
      </c>
      <c r="D755">
        <v>44</v>
      </c>
      <c r="E755">
        <v>510</v>
      </c>
      <c r="F755">
        <v>43</v>
      </c>
      <c r="G755">
        <v>1</v>
      </c>
      <c r="H755">
        <v>26</v>
      </c>
      <c r="I755">
        <v>1</v>
      </c>
    </row>
    <row r="756" spans="1:9" x14ac:dyDescent="0.25">
      <c r="A756">
        <v>8</v>
      </c>
      <c r="B756">
        <v>154</v>
      </c>
      <c r="C756">
        <v>78</v>
      </c>
      <c r="D756">
        <v>32</v>
      </c>
      <c r="E756">
        <v>80</v>
      </c>
      <c r="F756">
        <v>32</v>
      </c>
      <c r="G756">
        <v>1</v>
      </c>
      <c r="H756">
        <v>45</v>
      </c>
      <c r="I756">
        <v>1</v>
      </c>
    </row>
    <row r="757" spans="1:9" x14ac:dyDescent="0.25">
      <c r="A757">
        <v>1</v>
      </c>
      <c r="B757">
        <v>128</v>
      </c>
      <c r="C757">
        <v>88</v>
      </c>
      <c r="D757">
        <v>39</v>
      </c>
      <c r="E757">
        <v>110</v>
      </c>
      <c r="F757">
        <v>36</v>
      </c>
      <c r="G757">
        <v>1</v>
      </c>
      <c r="H757">
        <v>37</v>
      </c>
      <c r="I757">
        <v>1</v>
      </c>
    </row>
    <row r="758" spans="1:9" x14ac:dyDescent="0.25">
      <c r="A758">
        <v>7</v>
      </c>
      <c r="B758">
        <v>137</v>
      </c>
      <c r="C758">
        <v>90</v>
      </c>
      <c r="D758">
        <v>41</v>
      </c>
      <c r="E758">
        <v>80</v>
      </c>
      <c r="F758">
        <v>32</v>
      </c>
      <c r="G758">
        <v>1</v>
      </c>
      <c r="H758">
        <v>39</v>
      </c>
      <c r="I758">
        <v>0</v>
      </c>
    </row>
    <row r="759" spans="1:9" x14ac:dyDescent="0.25">
      <c r="A759">
        <v>4</v>
      </c>
      <c r="B759">
        <v>123</v>
      </c>
      <c r="C759">
        <v>72</v>
      </c>
      <c r="D759">
        <v>21</v>
      </c>
      <c r="E759">
        <v>80</v>
      </c>
      <c r="F759">
        <v>36</v>
      </c>
      <c r="G759">
        <v>1</v>
      </c>
      <c r="H759">
        <v>52</v>
      </c>
      <c r="I759">
        <v>1</v>
      </c>
    </row>
    <row r="760" spans="1:9" x14ac:dyDescent="0.25">
      <c r="A760">
        <v>1</v>
      </c>
      <c r="B760">
        <v>106</v>
      </c>
      <c r="C760">
        <v>76</v>
      </c>
      <c r="D760">
        <v>21</v>
      </c>
      <c r="E760">
        <v>80</v>
      </c>
      <c r="F760">
        <v>38</v>
      </c>
      <c r="G760">
        <v>1</v>
      </c>
      <c r="H760">
        <v>26</v>
      </c>
      <c r="I760">
        <v>0</v>
      </c>
    </row>
    <row r="761" spans="1:9" x14ac:dyDescent="0.25">
      <c r="A761">
        <v>6</v>
      </c>
      <c r="B761">
        <v>190</v>
      </c>
      <c r="C761">
        <v>92</v>
      </c>
      <c r="D761">
        <v>21</v>
      </c>
      <c r="E761">
        <v>80</v>
      </c>
      <c r="F761">
        <v>36</v>
      </c>
      <c r="G761">
        <v>1</v>
      </c>
      <c r="H761">
        <v>66</v>
      </c>
      <c r="I761">
        <v>1</v>
      </c>
    </row>
    <row r="762" spans="1:9" x14ac:dyDescent="0.25">
      <c r="A762">
        <v>2</v>
      </c>
      <c r="B762">
        <v>88</v>
      </c>
      <c r="C762">
        <v>58</v>
      </c>
      <c r="D762">
        <v>26</v>
      </c>
      <c r="E762">
        <v>16</v>
      </c>
      <c r="F762">
        <v>28</v>
      </c>
      <c r="G762">
        <v>1</v>
      </c>
      <c r="H762">
        <v>22</v>
      </c>
      <c r="I762">
        <v>0</v>
      </c>
    </row>
    <row r="763" spans="1:9" x14ac:dyDescent="0.25">
      <c r="A763">
        <v>9</v>
      </c>
      <c r="B763">
        <v>170</v>
      </c>
      <c r="C763">
        <v>74</v>
      </c>
      <c r="D763">
        <v>31</v>
      </c>
      <c r="E763">
        <v>80</v>
      </c>
      <c r="F763">
        <v>44</v>
      </c>
      <c r="G763">
        <v>1</v>
      </c>
      <c r="H763">
        <v>43</v>
      </c>
      <c r="I763">
        <v>1</v>
      </c>
    </row>
    <row r="764" spans="1:9" x14ac:dyDescent="0.25">
      <c r="A764">
        <v>9</v>
      </c>
      <c r="B764">
        <v>89</v>
      </c>
      <c r="C764">
        <v>62</v>
      </c>
      <c r="D764">
        <v>21</v>
      </c>
      <c r="E764">
        <v>80</v>
      </c>
      <c r="F764">
        <v>22</v>
      </c>
      <c r="G764">
        <v>1</v>
      </c>
      <c r="H764">
        <v>33</v>
      </c>
      <c r="I764">
        <v>0</v>
      </c>
    </row>
    <row r="765" spans="1:9" x14ac:dyDescent="0.25">
      <c r="A765">
        <v>10</v>
      </c>
      <c r="B765">
        <v>101</v>
      </c>
      <c r="C765">
        <v>76</v>
      </c>
      <c r="D765">
        <v>48</v>
      </c>
      <c r="E765">
        <v>180</v>
      </c>
      <c r="F765">
        <v>33</v>
      </c>
      <c r="G765">
        <v>1</v>
      </c>
      <c r="H765">
        <v>63</v>
      </c>
      <c r="I765">
        <v>0</v>
      </c>
    </row>
    <row r="766" spans="1:9" x14ac:dyDescent="0.25">
      <c r="A766">
        <v>2</v>
      </c>
      <c r="B766">
        <v>122</v>
      </c>
      <c r="C766">
        <v>70</v>
      </c>
      <c r="D766">
        <v>27</v>
      </c>
      <c r="E766">
        <v>80</v>
      </c>
      <c r="F766">
        <v>37</v>
      </c>
      <c r="G766">
        <v>1</v>
      </c>
      <c r="H766">
        <v>27</v>
      </c>
      <c r="I766">
        <v>0</v>
      </c>
    </row>
    <row r="767" spans="1:9" x14ac:dyDescent="0.25">
      <c r="A767">
        <v>5</v>
      </c>
      <c r="B767">
        <v>121</v>
      </c>
      <c r="C767">
        <v>72</v>
      </c>
      <c r="D767">
        <v>23</v>
      </c>
      <c r="E767">
        <v>112</v>
      </c>
      <c r="F767">
        <v>26</v>
      </c>
      <c r="G767">
        <v>1</v>
      </c>
      <c r="H767">
        <v>30</v>
      </c>
      <c r="I767">
        <v>0</v>
      </c>
    </row>
    <row r="768" spans="1:9" x14ac:dyDescent="0.25">
      <c r="A768">
        <v>1</v>
      </c>
      <c r="B768">
        <v>126</v>
      </c>
      <c r="C768">
        <v>60</v>
      </c>
      <c r="D768">
        <v>21</v>
      </c>
      <c r="E768">
        <v>80</v>
      </c>
      <c r="F768">
        <v>30</v>
      </c>
      <c r="G768">
        <v>1</v>
      </c>
      <c r="H768">
        <v>47</v>
      </c>
      <c r="I768">
        <v>1</v>
      </c>
    </row>
    <row r="769" spans="1:9" x14ac:dyDescent="0.25">
      <c r="A769">
        <v>1</v>
      </c>
      <c r="B769">
        <v>93</v>
      </c>
      <c r="C769">
        <v>70</v>
      </c>
      <c r="D769">
        <v>31</v>
      </c>
      <c r="E769">
        <v>80</v>
      </c>
      <c r="F769">
        <v>30</v>
      </c>
      <c r="G769">
        <v>1</v>
      </c>
      <c r="H769">
        <v>23</v>
      </c>
      <c r="I769">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2CBD3-1A46-4A11-AE65-5A1DCE064F2C}">
  <sheetPr codeName="Sheet3"/>
  <dimension ref="A1:N769"/>
  <sheetViews>
    <sheetView topLeftCell="B1" workbookViewId="0">
      <selection activeCell="N8" sqref="N8"/>
    </sheetView>
  </sheetViews>
  <sheetFormatPr defaultRowHeight="15" x14ac:dyDescent="0.25"/>
  <cols>
    <col min="1" max="1" width="14" bestFit="1" customWidth="1"/>
    <col min="2" max="2" width="10.42578125" bestFit="1" customWidth="1"/>
    <col min="3" max="3" width="16.28515625" bestFit="1" customWidth="1"/>
    <col min="4" max="4" width="15.7109375" bestFit="1" customWidth="1"/>
    <col min="5" max="5" width="9.28515625" bestFit="1" customWidth="1"/>
    <col min="6" max="6" width="6.85546875" bestFit="1" customWidth="1"/>
    <col min="7" max="7" width="27.28515625" bestFit="1" customWidth="1"/>
    <col min="8" max="8" width="6.7109375" bestFit="1" customWidth="1"/>
    <col min="9" max="9" width="11.42578125" bestFit="1" customWidth="1"/>
    <col min="10" max="10" width="16.7109375" customWidth="1"/>
    <col min="11" max="11" width="24.85546875" customWidth="1"/>
    <col min="12" max="12" width="17.85546875" customWidth="1"/>
  </cols>
  <sheetData>
    <row r="1" spans="1:14" x14ac:dyDescent="0.25">
      <c r="A1" t="s">
        <v>0</v>
      </c>
      <c r="B1" t="s">
        <v>1</v>
      </c>
      <c r="C1" t="s">
        <v>2</v>
      </c>
      <c r="D1" t="s">
        <v>3</v>
      </c>
      <c r="E1" t="s">
        <v>4</v>
      </c>
      <c r="F1" t="s">
        <v>5</v>
      </c>
      <c r="G1" t="s">
        <v>6</v>
      </c>
      <c r="H1" t="s">
        <v>7</v>
      </c>
      <c r="I1" t="s">
        <v>8</v>
      </c>
      <c r="J1" t="s">
        <v>64</v>
      </c>
      <c r="K1" t="s">
        <v>65</v>
      </c>
      <c r="L1" t="s">
        <v>69</v>
      </c>
    </row>
    <row r="2" spans="1:14" x14ac:dyDescent="0.25">
      <c r="A2">
        <v>6</v>
      </c>
      <c r="B2">
        <v>148</v>
      </c>
      <c r="C2">
        <v>72</v>
      </c>
      <c r="D2">
        <v>35</v>
      </c>
      <c r="E2">
        <v>80</v>
      </c>
      <c r="F2">
        <v>34</v>
      </c>
      <c r="G2">
        <v>0.627</v>
      </c>
      <c r="H2">
        <v>50</v>
      </c>
      <c r="I2">
        <v>1</v>
      </c>
      <c r="J2">
        <f>IF(AND(Table2[[#This Row],[BMI]]&gt;=23,Table2[[#This Row],[Outcome]]=1),1,0)</f>
        <v>1</v>
      </c>
      <c r="K2">
        <f>IF(AND(Table2[[#This Row],[BMI+Outcome]]=1,Table2[[#This Row],[Glucose]]&gt;=100),1,0)</f>
        <v>1</v>
      </c>
      <c r="L2">
        <f>IF(AND(Table2[[#This Row],[Outcome]]=1,Table2[[#This Row],[Glucose]]&gt;=100),1,0)</f>
        <v>1</v>
      </c>
    </row>
    <row r="3" spans="1:14" x14ac:dyDescent="0.25">
      <c r="A3">
        <v>1</v>
      </c>
      <c r="B3">
        <v>85</v>
      </c>
      <c r="C3">
        <v>66</v>
      </c>
      <c r="D3">
        <v>29</v>
      </c>
      <c r="E3">
        <v>80</v>
      </c>
      <c r="F3">
        <v>27</v>
      </c>
      <c r="G3">
        <v>0.35099999999999998</v>
      </c>
      <c r="H3">
        <v>31</v>
      </c>
      <c r="I3">
        <v>0</v>
      </c>
      <c r="J3">
        <f>IF(AND(Table2[[#This Row],[BMI]]&gt;=23,Table2[[#This Row],[Outcome]]=1),1,0)</f>
        <v>0</v>
      </c>
      <c r="K3">
        <f>IF(AND(Table2[[#This Row],[BMI+Outcome]]=1,Table2[[#This Row],[Glucose]]&gt;=100),1,0)</f>
        <v>0</v>
      </c>
      <c r="L3">
        <f>IF(AND(Table2[[#This Row],[Outcome]]=1,Table2[[#This Row],[Glucose]]&gt;=100),1,0)</f>
        <v>0</v>
      </c>
    </row>
    <row r="4" spans="1:14" x14ac:dyDescent="0.25">
      <c r="A4">
        <v>8</v>
      </c>
      <c r="B4">
        <v>183</v>
      </c>
      <c r="C4">
        <v>64</v>
      </c>
      <c r="D4">
        <v>21</v>
      </c>
      <c r="E4">
        <v>80</v>
      </c>
      <c r="F4">
        <v>23</v>
      </c>
      <c r="G4">
        <v>0.67200000000000004</v>
      </c>
      <c r="H4">
        <v>32</v>
      </c>
      <c r="I4">
        <v>1</v>
      </c>
      <c r="J4">
        <f>IF(AND(Table2[[#This Row],[BMI]]&gt;=23,Table2[[#This Row],[Outcome]]=1),1,0)</f>
        <v>1</v>
      </c>
      <c r="K4">
        <f>IF(AND(Table2[[#This Row],[BMI+Outcome]]=1,Table2[[#This Row],[Glucose]]&gt;=100),1,0)</f>
        <v>1</v>
      </c>
      <c r="L4">
        <f>IF(AND(Table2[[#This Row],[Outcome]]=1,Table2[[#This Row],[Glucose]]&gt;=100),1,0)</f>
        <v>1</v>
      </c>
    </row>
    <row r="5" spans="1:14" x14ac:dyDescent="0.25">
      <c r="A5">
        <v>1</v>
      </c>
      <c r="B5">
        <v>89</v>
      </c>
      <c r="C5">
        <v>66</v>
      </c>
      <c r="D5">
        <v>23</v>
      </c>
      <c r="E5">
        <v>94</v>
      </c>
      <c r="F5">
        <v>28</v>
      </c>
      <c r="G5">
        <v>0.67200000000000004</v>
      </c>
      <c r="H5">
        <v>21</v>
      </c>
      <c r="I5">
        <v>0</v>
      </c>
      <c r="J5">
        <f>IF(AND(Table2[[#This Row],[BMI]]&gt;=23,Table2[[#This Row],[Outcome]]=1),1,0)</f>
        <v>0</v>
      </c>
      <c r="K5">
        <f>IF(AND(Table2[[#This Row],[BMI+Outcome]]=1,Table2[[#This Row],[Glucose]]&gt;=100),1,0)</f>
        <v>0</v>
      </c>
      <c r="L5">
        <f>IF(AND(Table2[[#This Row],[Outcome]]=1,Table2[[#This Row],[Glucose]]&gt;=100),1,0)</f>
        <v>0</v>
      </c>
      <c r="N5">
        <f>MIN(Table2[Age])</f>
        <v>21</v>
      </c>
    </row>
    <row r="6" spans="1:14" x14ac:dyDescent="0.25">
      <c r="A6">
        <v>4</v>
      </c>
      <c r="B6">
        <v>137</v>
      </c>
      <c r="C6">
        <v>40</v>
      </c>
      <c r="D6">
        <v>35</v>
      </c>
      <c r="E6">
        <v>168</v>
      </c>
      <c r="F6">
        <v>43</v>
      </c>
      <c r="G6">
        <v>0.67200000000000004</v>
      </c>
      <c r="H6">
        <v>33</v>
      </c>
      <c r="I6">
        <v>1</v>
      </c>
      <c r="J6">
        <f>IF(AND(Table2[[#This Row],[BMI]]&gt;=23,Table2[[#This Row],[Outcome]]=1),1,0)</f>
        <v>1</v>
      </c>
      <c r="K6">
        <f>IF(AND(Table2[[#This Row],[BMI+Outcome]]=1,Table2[[#This Row],[Glucose]]&gt;=100),1,0)</f>
        <v>1</v>
      </c>
      <c r="L6">
        <f>IF(AND(Table2[[#This Row],[Outcome]]=1,Table2[[#This Row],[Glucose]]&gt;=100),1,0)</f>
        <v>1</v>
      </c>
    </row>
    <row r="7" spans="1:14" x14ac:dyDescent="0.25">
      <c r="A7">
        <v>5</v>
      </c>
      <c r="B7">
        <v>116</v>
      </c>
      <c r="C7">
        <v>74</v>
      </c>
      <c r="D7">
        <v>21</v>
      </c>
      <c r="E7">
        <v>80</v>
      </c>
      <c r="F7">
        <v>26</v>
      </c>
      <c r="G7">
        <v>0.67200000000000004</v>
      </c>
      <c r="H7">
        <v>30</v>
      </c>
      <c r="I7">
        <v>0</v>
      </c>
      <c r="J7">
        <f>IF(AND(Table2[[#This Row],[BMI]]&gt;=23,Table2[[#This Row],[Outcome]]=1),1,0)</f>
        <v>0</v>
      </c>
      <c r="K7">
        <f>IF(AND(Table2[[#This Row],[BMI+Outcome]]=1,Table2[[#This Row],[Glucose]]&gt;=100),1,0)</f>
        <v>0</v>
      </c>
      <c r="L7">
        <f>IF(AND(Table2[[#This Row],[Outcome]]=1,Table2[[#This Row],[Glucose]]&gt;=100),1,0)</f>
        <v>0</v>
      </c>
      <c r="N7">
        <f>MAX(Table2[Age])</f>
        <v>81</v>
      </c>
    </row>
    <row r="8" spans="1:14" x14ac:dyDescent="0.25">
      <c r="A8">
        <v>3</v>
      </c>
      <c r="B8">
        <v>78</v>
      </c>
      <c r="C8">
        <v>50</v>
      </c>
      <c r="D8">
        <v>32</v>
      </c>
      <c r="E8">
        <v>88</v>
      </c>
      <c r="F8">
        <v>31</v>
      </c>
      <c r="G8">
        <v>0.67200000000000004</v>
      </c>
      <c r="H8">
        <v>26</v>
      </c>
      <c r="I8">
        <v>1</v>
      </c>
      <c r="J8">
        <f>IF(AND(Table2[[#This Row],[BMI]]&gt;=23,Table2[[#This Row],[Outcome]]=1),1,0)</f>
        <v>1</v>
      </c>
      <c r="K8">
        <f>IF(AND(Table2[[#This Row],[BMI+Outcome]]=1,Table2[[#This Row],[Glucose]]&gt;=100),1,0)</f>
        <v>0</v>
      </c>
      <c r="L8">
        <f>IF(AND(Table2[[#This Row],[Outcome]]=1,Table2[[#This Row],[Glucose]]&gt;=100),1,0)</f>
        <v>0</v>
      </c>
    </row>
    <row r="9" spans="1:14" x14ac:dyDescent="0.25">
      <c r="A9">
        <v>10</v>
      </c>
      <c r="B9">
        <v>115</v>
      </c>
      <c r="C9">
        <v>69</v>
      </c>
      <c r="D9">
        <v>21</v>
      </c>
      <c r="E9">
        <v>80</v>
      </c>
      <c r="F9">
        <v>35</v>
      </c>
      <c r="G9">
        <v>0.67200000000000004</v>
      </c>
      <c r="H9">
        <v>29</v>
      </c>
      <c r="I9">
        <v>0</v>
      </c>
      <c r="J9">
        <f>IF(AND(Table2[[#This Row],[BMI]]&gt;=23,Table2[[#This Row],[Outcome]]=1),1,0)</f>
        <v>0</v>
      </c>
      <c r="K9">
        <f>IF(AND(Table2[[#This Row],[BMI+Outcome]]=1,Table2[[#This Row],[Glucose]]&gt;=100),1,0)</f>
        <v>0</v>
      </c>
      <c r="L9">
        <f>IF(AND(Table2[[#This Row],[Outcome]]=1,Table2[[#This Row],[Glucose]]&gt;=100),1,0)</f>
        <v>0</v>
      </c>
    </row>
    <row r="10" spans="1:14" x14ac:dyDescent="0.25">
      <c r="A10">
        <v>2</v>
      </c>
      <c r="B10">
        <v>197</v>
      </c>
      <c r="C10">
        <v>70</v>
      </c>
      <c r="D10">
        <v>45</v>
      </c>
      <c r="E10">
        <v>543</v>
      </c>
      <c r="F10">
        <v>30</v>
      </c>
      <c r="G10">
        <v>0.67200000000000004</v>
      </c>
      <c r="H10">
        <v>53</v>
      </c>
      <c r="I10">
        <v>1</v>
      </c>
      <c r="J10">
        <f>IF(AND(Table2[[#This Row],[BMI]]&gt;=23,Table2[[#This Row],[Outcome]]=1),1,0)</f>
        <v>1</v>
      </c>
      <c r="K10">
        <f>IF(AND(Table2[[#This Row],[BMI+Outcome]]=1,Table2[[#This Row],[Glucose]]&gt;=100),1,0)</f>
        <v>1</v>
      </c>
      <c r="L10">
        <f>IF(AND(Table2[[#This Row],[Outcome]]=1,Table2[[#This Row],[Glucose]]&gt;=100),1,0)</f>
        <v>1</v>
      </c>
    </row>
    <row r="11" spans="1:14" x14ac:dyDescent="0.25">
      <c r="A11">
        <v>8</v>
      </c>
      <c r="B11">
        <v>125</v>
      </c>
      <c r="C11">
        <v>96</v>
      </c>
      <c r="D11">
        <v>21</v>
      </c>
      <c r="E11">
        <v>80</v>
      </c>
      <c r="F11">
        <v>32</v>
      </c>
      <c r="G11">
        <v>0.67200000000000004</v>
      </c>
      <c r="H11">
        <v>54</v>
      </c>
      <c r="I11">
        <v>1</v>
      </c>
      <c r="J11">
        <f>IF(AND(Table2[[#This Row],[BMI]]&gt;=23,Table2[[#This Row],[Outcome]]=1),1,0)</f>
        <v>1</v>
      </c>
      <c r="K11">
        <f>IF(AND(Table2[[#This Row],[BMI+Outcome]]=1,Table2[[#This Row],[Glucose]]&gt;=100),1,0)</f>
        <v>1</v>
      </c>
      <c r="L11">
        <f>IF(AND(Table2[[#This Row],[Outcome]]=1,Table2[[#This Row],[Glucose]]&gt;=100),1,0)</f>
        <v>1</v>
      </c>
    </row>
    <row r="12" spans="1:14" x14ac:dyDescent="0.25">
      <c r="A12">
        <v>4</v>
      </c>
      <c r="B12">
        <v>110</v>
      </c>
      <c r="C12">
        <v>92</v>
      </c>
      <c r="D12">
        <v>21</v>
      </c>
      <c r="E12">
        <v>80</v>
      </c>
      <c r="F12">
        <v>38</v>
      </c>
      <c r="G12">
        <v>0.67200000000000004</v>
      </c>
      <c r="H12">
        <v>30</v>
      </c>
      <c r="I12">
        <v>0</v>
      </c>
      <c r="J12">
        <f>IF(AND(Table2[[#This Row],[BMI]]&gt;=23,Table2[[#This Row],[Outcome]]=1),1,0)</f>
        <v>0</v>
      </c>
      <c r="K12">
        <f>IF(AND(Table2[[#This Row],[BMI+Outcome]]=1,Table2[[#This Row],[Glucose]]&gt;=100),1,0)</f>
        <v>0</v>
      </c>
      <c r="L12">
        <f>IF(AND(Table2[[#This Row],[Outcome]]=1,Table2[[#This Row],[Glucose]]&gt;=100),1,0)</f>
        <v>0</v>
      </c>
    </row>
    <row r="13" spans="1:14" x14ac:dyDescent="0.25">
      <c r="A13">
        <v>10</v>
      </c>
      <c r="B13">
        <v>168</v>
      </c>
      <c r="C13">
        <v>74</v>
      </c>
      <c r="D13">
        <v>21</v>
      </c>
      <c r="E13">
        <v>80</v>
      </c>
      <c r="F13">
        <v>38</v>
      </c>
      <c r="G13">
        <v>0.67200000000000004</v>
      </c>
      <c r="H13">
        <v>34</v>
      </c>
      <c r="I13">
        <v>1</v>
      </c>
      <c r="J13">
        <f>IF(AND(Table2[[#This Row],[BMI]]&gt;=23,Table2[[#This Row],[Outcome]]=1),1,0)</f>
        <v>1</v>
      </c>
      <c r="K13">
        <f>IF(AND(Table2[[#This Row],[BMI+Outcome]]=1,Table2[[#This Row],[Glucose]]&gt;=100),1,0)</f>
        <v>1</v>
      </c>
      <c r="L13">
        <f>IF(AND(Table2[[#This Row],[Outcome]]=1,Table2[[#This Row],[Glucose]]&gt;=100),1,0)</f>
        <v>1</v>
      </c>
    </row>
    <row r="14" spans="1:14" x14ac:dyDescent="0.25">
      <c r="A14">
        <v>10</v>
      </c>
      <c r="B14">
        <v>139</v>
      </c>
      <c r="C14">
        <v>80</v>
      </c>
      <c r="D14">
        <v>21</v>
      </c>
      <c r="E14">
        <v>80</v>
      </c>
      <c r="F14">
        <v>27</v>
      </c>
      <c r="G14">
        <v>0.67200000000000004</v>
      </c>
      <c r="H14">
        <v>57</v>
      </c>
      <c r="I14">
        <v>0</v>
      </c>
      <c r="J14">
        <f>IF(AND(Table2[[#This Row],[BMI]]&gt;=23,Table2[[#This Row],[Outcome]]=1),1,0)</f>
        <v>0</v>
      </c>
      <c r="K14">
        <f>IF(AND(Table2[[#This Row],[BMI+Outcome]]=1,Table2[[#This Row],[Glucose]]&gt;=100),1,0)</f>
        <v>0</v>
      </c>
      <c r="L14">
        <f>IF(AND(Table2[[#This Row],[Outcome]]=1,Table2[[#This Row],[Glucose]]&gt;=100),1,0)</f>
        <v>0</v>
      </c>
    </row>
    <row r="15" spans="1:14" x14ac:dyDescent="0.25">
      <c r="A15">
        <v>1</v>
      </c>
      <c r="B15">
        <v>189</v>
      </c>
      <c r="C15">
        <v>60</v>
      </c>
      <c r="D15">
        <v>23</v>
      </c>
      <c r="E15">
        <v>846</v>
      </c>
      <c r="F15">
        <v>30</v>
      </c>
      <c r="G15">
        <v>0.67200000000000004</v>
      </c>
      <c r="H15">
        <v>59</v>
      </c>
      <c r="I15">
        <v>1</v>
      </c>
      <c r="J15">
        <f>IF(AND(Table2[[#This Row],[BMI]]&gt;=23,Table2[[#This Row],[Outcome]]=1),1,0)</f>
        <v>1</v>
      </c>
      <c r="K15">
        <f>IF(AND(Table2[[#This Row],[BMI+Outcome]]=1,Table2[[#This Row],[Glucose]]&gt;=100),1,0)</f>
        <v>1</v>
      </c>
      <c r="L15">
        <f>IF(AND(Table2[[#This Row],[Outcome]]=1,Table2[[#This Row],[Glucose]]&gt;=100),1,0)</f>
        <v>1</v>
      </c>
    </row>
    <row r="16" spans="1:14" x14ac:dyDescent="0.25">
      <c r="A16">
        <v>5</v>
      </c>
      <c r="B16">
        <v>166</v>
      </c>
      <c r="C16">
        <v>72</v>
      </c>
      <c r="D16">
        <v>19</v>
      </c>
      <c r="E16">
        <v>175</v>
      </c>
      <c r="F16">
        <v>26</v>
      </c>
      <c r="G16">
        <v>0.67200000000000004</v>
      </c>
      <c r="H16">
        <v>51</v>
      </c>
      <c r="I16">
        <v>1</v>
      </c>
      <c r="J16">
        <f>IF(AND(Table2[[#This Row],[BMI]]&gt;=23,Table2[[#This Row],[Outcome]]=1),1,0)</f>
        <v>1</v>
      </c>
      <c r="K16">
        <f>IF(AND(Table2[[#This Row],[BMI+Outcome]]=1,Table2[[#This Row],[Glucose]]&gt;=100),1,0)</f>
        <v>1</v>
      </c>
      <c r="L16">
        <f>IF(AND(Table2[[#This Row],[Outcome]]=1,Table2[[#This Row],[Glucose]]&gt;=100),1,0)</f>
        <v>1</v>
      </c>
    </row>
    <row r="17" spans="1:12" x14ac:dyDescent="0.25">
      <c r="A17">
        <v>7</v>
      </c>
      <c r="B17">
        <v>100</v>
      </c>
      <c r="C17">
        <v>69</v>
      </c>
      <c r="D17">
        <v>21</v>
      </c>
      <c r="E17">
        <v>80</v>
      </c>
      <c r="F17">
        <v>30</v>
      </c>
      <c r="G17">
        <v>0.67200000000000004</v>
      </c>
      <c r="H17">
        <v>32</v>
      </c>
      <c r="I17">
        <v>1</v>
      </c>
      <c r="J17">
        <f>IF(AND(Table2[[#This Row],[BMI]]&gt;=23,Table2[[#This Row],[Outcome]]=1),1,0)</f>
        <v>1</v>
      </c>
      <c r="K17">
        <f>IF(AND(Table2[[#This Row],[BMI+Outcome]]=1,Table2[[#This Row],[Glucose]]&gt;=100),1,0)</f>
        <v>1</v>
      </c>
      <c r="L17">
        <f>IF(AND(Table2[[#This Row],[Outcome]]=1,Table2[[#This Row],[Glucose]]&gt;=100),1,0)</f>
        <v>1</v>
      </c>
    </row>
    <row r="18" spans="1:12" x14ac:dyDescent="0.25">
      <c r="A18">
        <v>4</v>
      </c>
      <c r="B18">
        <v>118</v>
      </c>
      <c r="C18">
        <v>84</v>
      </c>
      <c r="D18">
        <v>47</v>
      </c>
      <c r="E18">
        <v>230</v>
      </c>
      <c r="F18">
        <v>46</v>
      </c>
      <c r="G18">
        <v>0.67200000000000004</v>
      </c>
      <c r="H18">
        <v>31</v>
      </c>
      <c r="I18">
        <v>1</v>
      </c>
      <c r="J18">
        <f>IF(AND(Table2[[#This Row],[BMI]]&gt;=23,Table2[[#This Row],[Outcome]]=1),1,0)</f>
        <v>1</v>
      </c>
      <c r="K18">
        <f>IF(AND(Table2[[#This Row],[BMI+Outcome]]=1,Table2[[#This Row],[Glucose]]&gt;=100),1,0)</f>
        <v>1</v>
      </c>
      <c r="L18">
        <f>IF(AND(Table2[[#This Row],[Outcome]]=1,Table2[[#This Row],[Glucose]]&gt;=100),1,0)</f>
        <v>1</v>
      </c>
    </row>
    <row r="19" spans="1:12" x14ac:dyDescent="0.25">
      <c r="A19">
        <v>7</v>
      </c>
      <c r="B19">
        <v>107</v>
      </c>
      <c r="C19">
        <v>74</v>
      </c>
      <c r="D19">
        <v>21</v>
      </c>
      <c r="E19">
        <v>80</v>
      </c>
      <c r="F19">
        <v>30</v>
      </c>
      <c r="G19">
        <v>0.67200000000000004</v>
      </c>
      <c r="H19">
        <v>31</v>
      </c>
      <c r="I19">
        <v>1</v>
      </c>
      <c r="J19">
        <f>IF(AND(Table2[[#This Row],[BMI]]&gt;=23,Table2[[#This Row],[Outcome]]=1),1,0)</f>
        <v>1</v>
      </c>
      <c r="K19">
        <f>IF(AND(Table2[[#This Row],[BMI+Outcome]]=1,Table2[[#This Row],[Glucose]]&gt;=100),1,0)</f>
        <v>1</v>
      </c>
      <c r="L19">
        <f>IF(AND(Table2[[#This Row],[Outcome]]=1,Table2[[#This Row],[Glucose]]&gt;=100),1,0)</f>
        <v>1</v>
      </c>
    </row>
    <row r="20" spans="1:12" x14ac:dyDescent="0.25">
      <c r="A20">
        <v>1</v>
      </c>
      <c r="B20">
        <v>103</v>
      </c>
      <c r="C20">
        <v>30</v>
      </c>
      <c r="D20">
        <v>38</v>
      </c>
      <c r="E20">
        <v>83</v>
      </c>
      <c r="F20">
        <v>43</v>
      </c>
      <c r="G20">
        <v>0.67200000000000004</v>
      </c>
      <c r="H20">
        <v>33</v>
      </c>
      <c r="I20">
        <v>0</v>
      </c>
      <c r="J20">
        <f>IF(AND(Table2[[#This Row],[BMI]]&gt;=23,Table2[[#This Row],[Outcome]]=1),1,0)</f>
        <v>0</v>
      </c>
      <c r="K20">
        <f>IF(AND(Table2[[#This Row],[BMI+Outcome]]=1,Table2[[#This Row],[Glucose]]&gt;=100),1,0)</f>
        <v>0</v>
      </c>
      <c r="L20">
        <f>IF(AND(Table2[[#This Row],[Outcome]]=1,Table2[[#This Row],[Glucose]]&gt;=100),1,0)</f>
        <v>0</v>
      </c>
    </row>
    <row r="21" spans="1:12" x14ac:dyDescent="0.25">
      <c r="A21">
        <v>1</v>
      </c>
      <c r="B21">
        <v>115</v>
      </c>
      <c r="C21">
        <v>70</v>
      </c>
      <c r="D21">
        <v>30</v>
      </c>
      <c r="E21">
        <v>96</v>
      </c>
      <c r="F21">
        <v>35</v>
      </c>
      <c r="G21">
        <v>0.67200000000000004</v>
      </c>
      <c r="H21">
        <v>32</v>
      </c>
      <c r="I21">
        <v>1</v>
      </c>
      <c r="J21">
        <f>IF(AND(Table2[[#This Row],[BMI]]&gt;=23,Table2[[#This Row],[Outcome]]=1),1,0)</f>
        <v>1</v>
      </c>
      <c r="K21">
        <f>IF(AND(Table2[[#This Row],[BMI+Outcome]]=1,Table2[[#This Row],[Glucose]]&gt;=100),1,0)</f>
        <v>1</v>
      </c>
      <c r="L21">
        <f>IF(AND(Table2[[#This Row],[Outcome]]=1,Table2[[#This Row],[Glucose]]&gt;=100),1,0)</f>
        <v>1</v>
      </c>
    </row>
    <row r="22" spans="1:12" x14ac:dyDescent="0.25">
      <c r="A22">
        <v>3</v>
      </c>
      <c r="B22">
        <v>126</v>
      </c>
      <c r="C22">
        <v>88</v>
      </c>
      <c r="D22">
        <v>41</v>
      </c>
      <c r="E22">
        <v>235</v>
      </c>
      <c r="F22">
        <v>39</v>
      </c>
      <c r="G22">
        <v>0.67200000000000004</v>
      </c>
      <c r="H22">
        <v>27</v>
      </c>
      <c r="I22">
        <v>0</v>
      </c>
      <c r="J22">
        <f>IF(AND(Table2[[#This Row],[BMI]]&gt;=23,Table2[[#This Row],[Outcome]]=1),1,0)</f>
        <v>0</v>
      </c>
      <c r="K22">
        <f>IF(AND(Table2[[#This Row],[BMI+Outcome]]=1,Table2[[#This Row],[Glucose]]&gt;=100),1,0)</f>
        <v>0</v>
      </c>
      <c r="L22">
        <f>IF(AND(Table2[[#This Row],[Outcome]]=1,Table2[[#This Row],[Glucose]]&gt;=100),1,0)</f>
        <v>0</v>
      </c>
    </row>
    <row r="23" spans="1:12" x14ac:dyDescent="0.25">
      <c r="A23">
        <v>8</v>
      </c>
      <c r="B23">
        <v>99</v>
      </c>
      <c r="C23">
        <v>84</v>
      </c>
      <c r="D23">
        <v>21</v>
      </c>
      <c r="E23">
        <v>80</v>
      </c>
      <c r="F23">
        <v>35</v>
      </c>
      <c r="G23">
        <v>0.67200000000000004</v>
      </c>
      <c r="H23">
        <v>50</v>
      </c>
      <c r="I23">
        <v>0</v>
      </c>
      <c r="J23">
        <f>IF(AND(Table2[[#This Row],[BMI]]&gt;=23,Table2[[#This Row],[Outcome]]=1),1,0)</f>
        <v>0</v>
      </c>
      <c r="K23">
        <f>IF(AND(Table2[[#This Row],[BMI+Outcome]]=1,Table2[[#This Row],[Glucose]]&gt;=100),1,0)</f>
        <v>0</v>
      </c>
      <c r="L23">
        <f>IF(AND(Table2[[#This Row],[Outcome]]=1,Table2[[#This Row],[Glucose]]&gt;=100),1,0)</f>
        <v>0</v>
      </c>
    </row>
    <row r="24" spans="1:12" x14ac:dyDescent="0.25">
      <c r="A24">
        <v>7</v>
      </c>
      <c r="B24">
        <v>196</v>
      </c>
      <c r="C24">
        <v>90</v>
      </c>
      <c r="D24">
        <v>21</v>
      </c>
      <c r="E24">
        <v>80</v>
      </c>
      <c r="F24">
        <v>40</v>
      </c>
      <c r="G24">
        <v>0.67200000000000004</v>
      </c>
      <c r="H24">
        <v>41</v>
      </c>
      <c r="I24">
        <v>1</v>
      </c>
      <c r="J24">
        <f>IF(AND(Table2[[#This Row],[BMI]]&gt;=23,Table2[[#This Row],[Outcome]]=1),1,0)</f>
        <v>1</v>
      </c>
      <c r="K24">
        <f>IF(AND(Table2[[#This Row],[BMI+Outcome]]=1,Table2[[#This Row],[Glucose]]&gt;=100),1,0)</f>
        <v>1</v>
      </c>
      <c r="L24">
        <f>IF(AND(Table2[[#This Row],[Outcome]]=1,Table2[[#This Row],[Glucose]]&gt;=100),1,0)</f>
        <v>1</v>
      </c>
    </row>
    <row r="25" spans="1:12" x14ac:dyDescent="0.25">
      <c r="A25">
        <v>9</v>
      </c>
      <c r="B25">
        <v>119</v>
      </c>
      <c r="C25">
        <v>80</v>
      </c>
      <c r="D25">
        <v>35</v>
      </c>
      <c r="E25">
        <v>80</v>
      </c>
      <c r="F25">
        <v>29</v>
      </c>
      <c r="G25">
        <v>0.67200000000000004</v>
      </c>
      <c r="H25">
        <v>29</v>
      </c>
      <c r="I25">
        <v>1</v>
      </c>
      <c r="J25">
        <f>IF(AND(Table2[[#This Row],[BMI]]&gt;=23,Table2[[#This Row],[Outcome]]=1),1,0)</f>
        <v>1</v>
      </c>
      <c r="K25">
        <f>IF(AND(Table2[[#This Row],[BMI+Outcome]]=1,Table2[[#This Row],[Glucose]]&gt;=100),1,0)</f>
        <v>1</v>
      </c>
      <c r="L25">
        <f>IF(AND(Table2[[#This Row],[Outcome]]=1,Table2[[#This Row],[Glucose]]&gt;=100),1,0)</f>
        <v>1</v>
      </c>
    </row>
    <row r="26" spans="1:12" x14ac:dyDescent="0.25">
      <c r="A26">
        <v>11</v>
      </c>
      <c r="B26">
        <v>143</v>
      </c>
      <c r="C26">
        <v>94</v>
      </c>
      <c r="D26">
        <v>33</v>
      </c>
      <c r="E26">
        <v>146</v>
      </c>
      <c r="F26">
        <v>37</v>
      </c>
      <c r="G26">
        <v>0.67200000000000004</v>
      </c>
      <c r="H26">
        <v>51</v>
      </c>
      <c r="I26">
        <v>1</v>
      </c>
      <c r="J26">
        <f>IF(AND(Table2[[#This Row],[BMI]]&gt;=23,Table2[[#This Row],[Outcome]]=1),1,0)</f>
        <v>1</v>
      </c>
      <c r="K26">
        <f>IF(AND(Table2[[#This Row],[BMI+Outcome]]=1,Table2[[#This Row],[Glucose]]&gt;=100),1,0)</f>
        <v>1</v>
      </c>
      <c r="L26">
        <f>IF(AND(Table2[[#This Row],[Outcome]]=1,Table2[[#This Row],[Glucose]]&gt;=100),1,0)</f>
        <v>1</v>
      </c>
    </row>
    <row r="27" spans="1:12" x14ac:dyDescent="0.25">
      <c r="A27">
        <v>10</v>
      </c>
      <c r="B27">
        <v>125</v>
      </c>
      <c r="C27">
        <v>70</v>
      </c>
      <c r="D27">
        <v>26</v>
      </c>
      <c r="E27">
        <v>115</v>
      </c>
      <c r="F27">
        <v>31</v>
      </c>
      <c r="G27">
        <v>0.67200000000000004</v>
      </c>
      <c r="H27">
        <v>41</v>
      </c>
      <c r="I27">
        <v>1</v>
      </c>
      <c r="J27">
        <f>IF(AND(Table2[[#This Row],[BMI]]&gt;=23,Table2[[#This Row],[Outcome]]=1),1,0)</f>
        <v>1</v>
      </c>
      <c r="K27">
        <f>IF(AND(Table2[[#This Row],[BMI+Outcome]]=1,Table2[[#This Row],[Glucose]]&gt;=100),1,0)</f>
        <v>1</v>
      </c>
      <c r="L27">
        <f>IF(AND(Table2[[#This Row],[Outcome]]=1,Table2[[#This Row],[Glucose]]&gt;=100),1,0)</f>
        <v>1</v>
      </c>
    </row>
    <row r="28" spans="1:12" x14ac:dyDescent="0.25">
      <c r="A28">
        <v>7</v>
      </c>
      <c r="B28">
        <v>147</v>
      </c>
      <c r="C28">
        <v>76</v>
      </c>
      <c r="D28">
        <v>21</v>
      </c>
      <c r="E28">
        <v>80</v>
      </c>
      <c r="F28">
        <v>39</v>
      </c>
      <c r="G28">
        <v>0.67200000000000004</v>
      </c>
      <c r="H28">
        <v>43</v>
      </c>
      <c r="I28">
        <v>1</v>
      </c>
      <c r="J28">
        <f>IF(AND(Table2[[#This Row],[BMI]]&gt;=23,Table2[[#This Row],[Outcome]]=1),1,0)</f>
        <v>1</v>
      </c>
      <c r="K28">
        <f>IF(AND(Table2[[#This Row],[BMI+Outcome]]=1,Table2[[#This Row],[Glucose]]&gt;=100),1,0)</f>
        <v>1</v>
      </c>
      <c r="L28">
        <f>IF(AND(Table2[[#This Row],[Outcome]]=1,Table2[[#This Row],[Glucose]]&gt;=100),1,0)</f>
        <v>1</v>
      </c>
    </row>
    <row r="29" spans="1:12" x14ac:dyDescent="0.25">
      <c r="A29">
        <v>1</v>
      </c>
      <c r="B29">
        <v>97</v>
      </c>
      <c r="C29">
        <v>66</v>
      </c>
      <c r="D29">
        <v>15</v>
      </c>
      <c r="E29">
        <v>140</v>
      </c>
      <c r="F29">
        <v>23</v>
      </c>
      <c r="G29">
        <v>0.67200000000000004</v>
      </c>
      <c r="H29">
        <v>22</v>
      </c>
      <c r="I29">
        <v>0</v>
      </c>
      <c r="J29">
        <f>IF(AND(Table2[[#This Row],[BMI]]&gt;=23,Table2[[#This Row],[Outcome]]=1),1,0)</f>
        <v>0</v>
      </c>
      <c r="K29">
        <f>IF(AND(Table2[[#This Row],[BMI+Outcome]]=1,Table2[[#This Row],[Glucose]]&gt;=100),1,0)</f>
        <v>0</v>
      </c>
      <c r="L29">
        <f>IF(AND(Table2[[#This Row],[Outcome]]=1,Table2[[#This Row],[Glucose]]&gt;=100),1,0)</f>
        <v>0</v>
      </c>
    </row>
    <row r="30" spans="1:12" x14ac:dyDescent="0.25">
      <c r="A30">
        <v>13</v>
      </c>
      <c r="B30">
        <v>145</v>
      </c>
      <c r="C30">
        <v>82</v>
      </c>
      <c r="D30">
        <v>19</v>
      </c>
      <c r="E30">
        <v>110</v>
      </c>
      <c r="F30">
        <v>22</v>
      </c>
      <c r="G30">
        <v>0.67200000000000004</v>
      </c>
      <c r="H30">
        <v>57</v>
      </c>
      <c r="I30">
        <v>0</v>
      </c>
      <c r="J30">
        <f>IF(AND(Table2[[#This Row],[BMI]]&gt;=23,Table2[[#This Row],[Outcome]]=1),1,0)</f>
        <v>0</v>
      </c>
      <c r="K30">
        <f>IF(AND(Table2[[#This Row],[BMI+Outcome]]=1,Table2[[#This Row],[Glucose]]&gt;=100),1,0)</f>
        <v>0</v>
      </c>
      <c r="L30">
        <f>IF(AND(Table2[[#This Row],[Outcome]]=1,Table2[[#This Row],[Glucose]]&gt;=100),1,0)</f>
        <v>0</v>
      </c>
    </row>
    <row r="31" spans="1:12" x14ac:dyDescent="0.25">
      <c r="A31">
        <v>5</v>
      </c>
      <c r="B31">
        <v>117</v>
      </c>
      <c r="C31">
        <v>92</v>
      </c>
      <c r="D31">
        <v>21</v>
      </c>
      <c r="E31">
        <v>80</v>
      </c>
      <c r="F31">
        <v>34</v>
      </c>
      <c r="G31">
        <v>0.67200000000000004</v>
      </c>
      <c r="H31">
        <v>38</v>
      </c>
      <c r="I31">
        <v>0</v>
      </c>
      <c r="J31">
        <f>IF(AND(Table2[[#This Row],[BMI]]&gt;=23,Table2[[#This Row],[Outcome]]=1),1,0)</f>
        <v>0</v>
      </c>
      <c r="K31">
        <f>IF(AND(Table2[[#This Row],[BMI+Outcome]]=1,Table2[[#This Row],[Glucose]]&gt;=100),1,0)</f>
        <v>0</v>
      </c>
      <c r="L31">
        <f>IF(AND(Table2[[#This Row],[Outcome]]=1,Table2[[#This Row],[Glucose]]&gt;=100),1,0)</f>
        <v>0</v>
      </c>
    </row>
    <row r="32" spans="1:12" x14ac:dyDescent="0.25">
      <c r="A32">
        <v>5</v>
      </c>
      <c r="B32">
        <v>109</v>
      </c>
      <c r="C32">
        <v>75</v>
      </c>
      <c r="D32">
        <v>26</v>
      </c>
      <c r="E32">
        <v>80</v>
      </c>
      <c r="F32">
        <v>36</v>
      </c>
      <c r="G32">
        <v>0.67200000000000004</v>
      </c>
      <c r="H32">
        <v>60</v>
      </c>
      <c r="I32">
        <v>0</v>
      </c>
      <c r="J32">
        <f>IF(AND(Table2[[#This Row],[BMI]]&gt;=23,Table2[[#This Row],[Outcome]]=1),1,0)</f>
        <v>0</v>
      </c>
      <c r="K32">
        <f>IF(AND(Table2[[#This Row],[BMI+Outcome]]=1,Table2[[#This Row],[Glucose]]&gt;=100),1,0)</f>
        <v>0</v>
      </c>
      <c r="L32">
        <f>IF(AND(Table2[[#This Row],[Outcome]]=1,Table2[[#This Row],[Glucose]]&gt;=100),1,0)</f>
        <v>0</v>
      </c>
    </row>
    <row r="33" spans="1:12" x14ac:dyDescent="0.25">
      <c r="A33">
        <v>3</v>
      </c>
      <c r="B33">
        <v>158</v>
      </c>
      <c r="C33">
        <v>76</v>
      </c>
      <c r="D33">
        <v>36</v>
      </c>
      <c r="E33">
        <v>245</v>
      </c>
      <c r="F33">
        <v>32</v>
      </c>
      <c r="G33">
        <v>0.67200000000000004</v>
      </c>
      <c r="H33">
        <v>28</v>
      </c>
      <c r="I33">
        <v>1</v>
      </c>
      <c r="J33">
        <f>IF(AND(Table2[[#This Row],[BMI]]&gt;=23,Table2[[#This Row],[Outcome]]=1),1,0)</f>
        <v>1</v>
      </c>
      <c r="K33">
        <f>IF(AND(Table2[[#This Row],[BMI+Outcome]]=1,Table2[[#This Row],[Glucose]]&gt;=100),1,0)</f>
        <v>1</v>
      </c>
      <c r="L33">
        <f>IF(AND(Table2[[#This Row],[Outcome]]=1,Table2[[#This Row],[Glucose]]&gt;=100),1,0)</f>
        <v>1</v>
      </c>
    </row>
    <row r="34" spans="1:12" x14ac:dyDescent="0.25">
      <c r="A34">
        <v>3</v>
      </c>
      <c r="B34">
        <v>88</v>
      </c>
      <c r="C34">
        <v>58</v>
      </c>
      <c r="D34">
        <v>11</v>
      </c>
      <c r="E34">
        <v>54</v>
      </c>
      <c r="F34">
        <v>25</v>
      </c>
      <c r="G34">
        <v>0.67200000000000004</v>
      </c>
      <c r="H34">
        <v>22</v>
      </c>
      <c r="I34">
        <v>0</v>
      </c>
      <c r="J34">
        <f>IF(AND(Table2[[#This Row],[BMI]]&gt;=23,Table2[[#This Row],[Outcome]]=1),1,0)</f>
        <v>0</v>
      </c>
      <c r="K34">
        <f>IF(AND(Table2[[#This Row],[BMI+Outcome]]=1,Table2[[#This Row],[Glucose]]&gt;=100),1,0)</f>
        <v>0</v>
      </c>
      <c r="L34">
        <f>IF(AND(Table2[[#This Row],[Outcome]]=1,Table2[[#This Row],[Glucose]]&gt;=100),1,0)</f>
        <v>0</v>
      </c>
    </row>
    <row r="35" spans="1:12" x14ac:dyDescent="0.25">
      <c r="A35">
        <v>6</v>
      </c>
      <c r="B35">
        <v>92</v>
      </c>
      <c r="C35">
        <v>92</v>
      </c>
      <c r="D35">
        <v>21</v>
      </c>
      <c r="E35">
        <v>80</v>
      </c>
      <c r="F35">
        <v>20</v>
      </c>
      <c r="G35">
        <v>0.67200000000000004</v>
      </c>
      <c r="H35">
        <v>28</v>
      </c>
      <c r="I35">
        <v>0</v>
      </c>
      <c r="J35">
        <f>IF(AND(Table2[[#This Row],[BMI]]&gt;=23,Table2[[#This Row],[Outcome]]=1),1,0)</f>
        <v>0</v>
      </c>
      <c r="K35">
        <f>IF(AND(Table2[[#This Row],[BMI+Outcome]]=1,Table2[[#This Row],[Glucose]]&gt;=100),1,0)</f>
        <v>0</v>
      </c>
      <c r="L35">
        <f>IF(AND(Table2[[#This Row],[Outcome]]=1,Table2[[#This Row],[Glucose]]&gt;=100),1,0)</f>
        <v>0</v>
      </c>
    </row>
    <row r="36" spans="1:12" x14ac:dyDescent="0.25">
      <c r="A36">
        <v>10</v>
      </c>
      <c r="B36">
        <v>122</v>
      </c>
      <c r="C36">
        <v>78</v>
      </c>
      <c r="D36">
        <v>31</v>
      </c>
      <c r="E36">
        <v>80</v>
      </c>
      <c r="F36">
        <v>28</v>
      </c>
      <c r="G36">
        <v>0.67200000000000004</v>
      </c>
      <c r="H36">
        <v>45</v>
      </c>
      <c r="I36">
        <v>0</v>
      </c>
      <c r="J36">
        <f>IF(AND(Table2[[#This Row],[BMI]]&gt;=23,Table2[[#This Row],[Outcome]]=1),1,0)</f>
        <v>0</v>
      </c>
      <c r="K36">
        <f>IF(AND(Table2[[#This Row],[BMI+Outcome]]=1,Table2[[#This Row],[Glucose]]&gt;=100),1,0)</f>
        <v>0</v>
      </c>
      <c r="L36">
        <f>IF(AND(Table2[[#This Row],[Outcome]]=1,Table2[[#This Row],[Glucose]]&gt;=100),1,0)</f>
        <v>0</v>
      </c>
    </row>
    <row r="37" spans="1:12" x14ac:dyDescent="0.25">
      <c r="A37">
        <v>4</v>
      </c>
      <c r="B37">
        <v>103</v>
      </c>
      <c r="C37">
        <v>60</v>
      </c>
      <c r="D37">
        <v>33</v>
      </c>
      <c r="E37">
        <v>192</v>
      </c>
      <c r="F37">
        <v>24</v>
      </c>
      <c r="G37">
        <v>0.67200000000000004</v>
      </c>
      <c r="H37">
        <v>33</v>
      </c>
      <c r="I37">
        <v>0</v>
      </c>
      <c r="J37">
        <f>IF(AND(Table2[[#This Row],[BMI]]&gt;=23,Table2[[#This Row],[Outcome]]=1),1,0)</f>
        <v>0</v>
      </c>
      <c r="K37">
        <f>IF(AND(Table2[[#This Row],[BMI+Outcome]]=1,Table2[[#This Row],[Glucose]]&gt;=100),1,0)</f>
        <v>0</v>
      </c>
      <c r="L37">
        <f>IF(AND(Table2[[#This Row],[Outcome]]=1,Table2[[#This Row],[Glucose]]&gt;=100),1,0)</f>
        <v>0</v>
      </c>
    </row>
    <row r="38" spans="1:12" x14ac:dyDescent="0.25">
      <c r="A38">
        <v>11</v>
      </c>
      <c r="B38">
        <v>138</v>
      </c>
      <c r="C38">
        <v>76</v>
      </c>
      <c r="D38">
        <v>21</v>
      </c>
      <c r="E38">
        <v>80</v>
      </c>
      <c r="F38">
        <v>33</v>
      </c>
      <c r="G38">
        <v>0.67200000000000004</v>
      </c>
      <c r="H38">
        <v>35</v>
      </c>
      <c r="I38">
        <v>0</v>
      </c>
      <c r="J38">
        <f>IF(AND(Table2[[#This Row],[BMI]]&gt;=23,Table2[[#This Row],[Outcome]]=1),1,0)</f>
        <v>0</v>
      </c>
      <c r="K38">
        <f>IF(AND(Table2[[#This Row],[BMI+Outcome]]=1,Table2[[#This Row],[Glucose]]&gt;=100),1,0)</f>
        <v>0</v>
      </c>
      <c r="L38">
        <f>IF(AND(Table2[[#This Row],[Outcome]]=1,Table2[[#This Row],[Glucose]]&gt;=100),1,0)</f>
        <v>0</v>
      </c>
    </row>
    <row r="39" spans="1:12" x14ac:dyDescent="0.25">
      <c r="A39">
        <v>9</v>
      </c>
      <c r="B39">
        <v>102</v>
      </c>
      <c r="C39">
        <v>76</v>
      </c>
      <c r="D39">
        <v>37</v>
      </c>
      <c r="E39">
        <v>80</v>
      </c>
      <c r="F39">
        <v>33</v>
      </c>
      <c r="G39">
        <v>0.67200000000000004</v>
      </c>
      <c r="H39">
        <v>46</v>
      </c>
      <c r="I39">
        <v>1</v>
      </c>
      <c r="J39">
        <f>IF(AND(Table2[[#This Row],[BMI]]&gt;=23,Table2[[#This Row],[Outcome]]=1),1,0)</f>
        <v>1</v>
      </c>
      <c r="K39">
        <f>IF(AND(Table2[[#This Row],[BMI+Outcome]]=1,Table2[[#This Row],[Glucose]]&gt;=100),1,0)</f>
        <v>1</v>
      </c>
      <c r="L39">
        <f>IF(AND(Table2[[#This Row],[Outcome]]=1,Table2[[#This Row],[Glucose]]&gt;=100),1,0)</f>
        <v>1</v>
      </c>
    </row>
    <row r="40" spans="1:12" x14ac:dyDescent="0.25">
      <c r="A40">
        <v>2</v>
      </c>
      <c r="B40">
        <v>90</v>
      </c>
      <c r="C40">
        <v>68</v>
      </c>
      <c r="D40">
        <v>42</v>
      </c>
      <c r="E40">
        <v>80</v>
      </c>
      <c r="F40">
        <v>38</v>
      </c>
      <c r="G40">
        <v>0.67200000000000004</v>
      </c>
      <c r="H40">
        <v>27</v>
      </c>
      <c r="I40">
        <v>1</v>
      </c>
      <c r="J40">
        <f>IF(AND(Table2[[#This Row],[BMI]]&gt;=23,Table2[[#This Row],[Outcome]]=1),1,0)</f>
        <v>1</v>
      </c>
      <c r="K40">
        <f>IF(AND(Table2[[#This Row],[BMI+Outcome]]=1,Table2[[#This Row],[Glucose]]&gt;=100),1,0)</f>
        <v>0</v>
      </c>
      <c r="L40">
        <f>IF(AND(Table2[[#This Row],[Outcome]]=1,Table2[[#This Row],[Glucose]]&gt;=100),1,0)</f>
        <v>0</v>
      </c>
    </row>
    <row r="41" spans="1:12" x14ac:dyDescent="0.25">
      <c r="A41">
        <v>4</v>
      </c>
      <c r="B41">
        <v>111</v>
      </c>
      <c r="C41">
        <v>72</v>
      </c>
      <c r="D41">
        <v>47</v>
      </c>
      <c r="E41">
        <v>207</v>
      </c>
      <c r="F41">
        <v>37</v>
      </c>
      <c r="G41">
        <v>0.67200000000000004</v>
      </c>
      <c r="H41">
        <v>56</v>
      </c>
      <c r="I41">
        <v>1</v>
      </c>
      <c r="J41">
        <f>IF(AND(Table2[[#This Row],[BMI]]&gt;=23,Table2[[#This Row],[Outcome]]=1),1,0)</f>
        <v>1</v>
      </c>
      <c r="K41">
        <f>IF(AND(Table2[[#This Row],[BMI+Outcome]]=1,Table2[[#This Row],[Glucose]]&gt;=100),1,0)</f>
        <v>1</v>
      </c>
      <c r="L41">
        <f>IF(AND(Table2[[#This Row],[Outcome]]=1,Table2[[#This Row],[Glucose]]&gt;=100),1,0)</f>
        <v>1</v>
      </c>
    </row>
    <row r="42" spans="1:12" x14ac:dyDescent="0.25">
      <c r="A42">
        <v>3</v>
      </c>
      <c r="B42">
        <v>180</v>
      </c>
      <c r="C42">
        <v>64</v>
      </c>
      <c r="D42">
        <v>25</v>
      </c>
      <c r="E42">
        <v>70</v>
      </c>
      <c r="F42">
        <v>34</v>
      </c>
      <c r="G42">
        <v>0.67200000000000004</v>
      </c>
      <c r="H42">
        <v>26</v>
      </c>
      <c r="I42">
        <v>0</v>
      </c>
      <c r="J42">
        <f>IF(AND(Table2[[#This Row],[BMI]]&gt;=23,Table2[[#This Row],[Outcome]]=1),1,0)</f>
        <v>0</v>
      </c>
      <c r="K42">
        <f>IF(AND(Table2[[#This Row],[BMI+Outcome]]=1,Table2[[#This Row],[Glucose]]&gt;=100),1,0)</f>
        <v>0</v>
      </c>
      <c r="L42">
        <f>IF(AND(Table2[[#This Row],[Outcome]]=1,Table2[[#This Row],[Glucose]]&gt;=100),1,0)</f>
        <v>0</v>
      </c>
    </row>
    <row r="43" spans="1:12" x14ac:dyDescent="0.25">
      <c r="A43">
        <v>7</v>
      </c>
      <c r="B43">
        <v>133</v>
      </c>
      <c r="C43">
        <v>84</v>
      </c>
      <c r="D43">
        <v>21</v>
      </c>
      <c r="E43">
        <v>80</v>
      </c>
      <c r="F43">
        <v>40</v>
      </c>
      <c r="G43">
        <v>0.67200000000000004</v>
      </c>
      <c r="H43">
        <v>37</v>
      </c>
      <c r="I43">
        <v>0</v>
      </c>
      <c r="J43">
        <f>IF(AND(Table2[[#This Row],[BMI]]&gt;=23,Table2[[#This Row],[Outcome]]=1),1,0)</f>
        <v>0</v>
      </c>
      <c r="K43">
        <f>IF(AND(Table2[[#This Row],[BMI+Outcome]]=1,Table2[[#This Row],[Glucose]]&gt;=100),1,0)</f>
        <v>0</v>
      </c>
      <c r="L43">
        <f>IF(AND(Table2[[#This Row],[Outcome]]=1,Table2[[#This Row],[Glucose]]&gt;=100),1,0)</f>
        <v>0</v>
      </c>
    </row>
    <row r="44" spans="1:12" x14ac:dyDescent="0.25">
      <c r="A44">
        <v>7</v>
      </c>
      <c r="B44">
        <v>106</v>
      </c>
      <c r="C44">
        <v>92</v>
      </c>
      <c r="D44">
        <v>18</v>
      </c>
      <c r="E44">
        <v>80</v>
      </c>
      <c r="F44">
        <v>23</v>
      </c>
      <c r="G44">
        <v>0.67200000000000004</v>
      </c>
      <c r="H44">
        <v>48</v>
      </c>
      <c r="I44">
        <v>0</v>
      </c>
      <c r="J44">
        <f>IF(AND(Table2[[#This Row],[BMI]]&gt;=23,Table2[[#This Row],[Outcome]]=1),1,0)</f>
        <v>0</v>
      </c>
      <c r="K44">
        <f>IF(AND(Table2[[#This Row],[BMI+Outcome]]=1,Table2[[#This Row],[Glucose]]&gt;=100),1,0)</f>
        <v>0</v>
      </c>
      <c r="L44">
        <f>IF(AND(Table2[[#This Row],[Outcome]]=1,Table2[[#This Row],[Glucose]]&gt;=100),1,0)</f>
        <v>0</v>
      </c>
    </row>
    <row r="45" spans="1:12" x14ac:dyDescent="0.25">
      <c r="A45">
        <v>9</v>
      </c>
      <c r="B45">
        <v>171</v>
      </c>
      <c r="C45">
        <v>110</v>
      </c>
      <c r="D45">
        <v>24</v>
      </c>
      <c r="E45">
        <v>240</v>
      </c>
      <c r="F45">
        <v>45</v>
      </c>
      <c r="G45">
        <v>0.67200000000000004</v>
      </c>
      <c r="H45">
        <v>54</v>
      </c>
      <c r="I45">
        <v>1</v>
      </c>
      <c r="J45">
        <f>IF(AND(Table2[[#This Row],[BMI]]&gt;=23,Table2[[#This Row],[Outcome]]=1),1,0)</f>
        <v>1</v>
      </c>
      <c r="K45">
        <f>IF(AND(Table2[[#This Row],[BMI+Outcome]]=1,Table2[[#This Row],[Glucose]]&gt;=100),1,0)</f>
        <v>1</v>
      </c>
      <c r="L45">
        <f>IF(AND(Table2[[#This Row],[Outcome]]=1,Table2[[#This Row],[Glucose]]&gt;=100),1,0)</f>
        <v>1</v>
      </c>
    </row>
    <row r="46" spans="1:12" x14ac:dyDescent="0.25">
      <c r="A46">
        <v>7</v>
      </c>
      <c r="B46">
        <v>159</v>
      </c>
      <c r="C46">
        <v>64</v>
      </c>
      <c r="D46">
        <v>21</v>
      </c>
      <c r="E46">
        <v>80</v>
      </c>
      <c r="F46">
        <v>27</v>
      </c>
      <c r="G46">
        <v>0.67200000000000004</v>
      </c>
      <c r="H46">
        <v>40</v>
      </c>
      <c r="I46">
        <v>0</v>
      </c>
      <c r="J46">
        <f>IF(AND(Table2[[#This Row],[BMI]]&gt;=23,Table2[[#This Row],[Outcome]]=1),1,0)</f>
        <v>0</v>
      </c>
      <c r="K46">
        <f>IF(AND(Table2[[#This Row],[BMI+Outcome]]=1,Table2[[#This Row],[Glucose]]&gt;=100),1,0)</f>
        <v>0</v>
      </c>
      <c r="L46">
        <f>IF(AND(Table2[[#This Row],[Outcome]]=1,Table2[[#This Row],[Glucose]]&gt;=100),1,0)</f>
        <v>0</v>
      </c>
    </row>
    <row r="47" spans="1:12" x14ac:dyDescent="0.25">
      <c r="A47">
        <v>4</v>
      </c>
      <c r="B47">
        <v>180</v>
      </c>
      <c r="C47">
        <v>66</v>
      </c>
      <c r="D47">
        <v>39</v>
      </c>
      <c r="E47">
        <v>80</v>
      </c>
      <c r="F47">
        <v>42</v>
      </c>
      <c r="G47">
        <v>0.67200000000000004</v>
      </c>
      <c r="H47">
        <v>25</v>
      </c>
      <c r="I47">
        <v>1</v>
      </c>
      <c r="J47">
        <f>IF(AND(Table2[[#This Row],[BMI]]&gt;=23,Table2[[#This Row],[Outcome]]=1),1,0)</f>
        <v>1</v>
      </c>
      <c r="K47">
        <f>IF(AND(Table2[[#This Row],[BMI+Outcome]]=1,Table2[[#This Row],[Glucose]]&gt;=100),1,0)</f>
        <v>1</v>
      </c>
      <c r="L47">
        <f>IF(AND(Table2[[#This Row],[Outcome]]=1,Table2[[#This Row],[Glucose]]&gt;=100),1,0)</f>
        <v>1</v>
      </c>
    </row>
    <row r="48" spans="1:12" x14ac:dyDescent="0.25">
      <c r="A48">
        <v>1</v>
      </c>
      <c r="B48">
        <v>146</v>
      </c>
      <c r="C48">
        <v>56</v>
      </c>
      <c r="D48">
        <v>21</v>
      </c>
      <c r="E48">
        <v>80</v>
      </c>
      <c r="F48">
        <v>30</v>
      </c>
      <c r="G48">
        <v>0.67200000000000004</v>
      </c>
      <c r="H48">
        <v>29</v>
      </c>
      <c r="I48">
        <v>0</v>
      </c>
      <c r="J48">
        <f>IF(AND(Table2[[#This Row],[BMI]]&gt;=23,Table2[[#This Row],[Outcome]]=1),1,0)</f>
        <v>0</v>
      </c>
      <c r="K48">
        <f>IF(AND(Table2[[#This Row],[BMI+Outcome]]=1,Table2[[#This Row],[Glucose]]&gt;=100),1,0)</f>
        <v>0</v>
      </c>
      <c r="L48">
        <f>IF(AND(Table2[[#This Row],[Outcome]]=1,Table2[[#This Row],[Glucose]]&gt;=100),1,0)</f>
        <v>0</v>
      </c>
    </row>
    <row r="49" spans="1:12" x14ac:dyDescent="0.25">
      <c r="A49">
        <v>2</v>
      </c>
      <c r="B49">
        <v>71</v>
      </c>
      <c r="C49">
        <v>70</v>
      </c>
      <c r="D49">
        <v>27</v>
      </c>
      <c r="E49">
        <v>80</v>
      </c>
      <c r="F49">
        <v>28</v>
      </c>
      <c r="G49">
        <v>0.67200000000000004</v>
      </c>
      <c r="H49">
        <v>22</v>
      </c>
      <c r="I49">
        <v>0</v>
      </c>
      <c r="J49">
        <f>IF(AND(Table2[[#This Row],[BMI]]&gt;=23,Table2[[#This Row],[Outcome]]=1),1,0)</f>
        <v>0</v>
      </c>
      <c r="K49">
        <f>IF(AND(Table2[[#This Row],[BMI+Outcome]]=1,Table2[[#This Row],[Glucose]]&gt;=100),1,0)</f>
        <v>0</v>
      </c>
      <c r="L49">
        <f>IF(AND(Table2[[#This Row],[Outcome]]=1,Table2[[#This Row],[Glucose]]&gt;=100),1,0)</f>
        <v>0</v>
      </c>
    </row>
    <row r="50" spans="1:12" x14ac:dyDescent="0.25">
      <c r="A50">
        <v>7</v>
      </c>
      <c r="B50">
        <v>103</v>
      </c>
      <c r="C50">
        <v>66</v>
      </c>
      <c r="D50">
        <v>32</v>
      </c>
      <c r="E50">
        <v>80</v>
      </c>
      <c r="F50">
        <v>39</v>
      </c>
      <c r="G50">
        <v>0.67200000000000004</v>
      </c>
      <c r="H50">
        <v>31</v>
      </c>
      <c r="I50">
        <v>1</v>
      </c>
      <c r="J50">
        <f>IF(AND(Table2[[#This Row],[BMI]]&gt;=23,Table2[[#This Row],[Outcome]]=1),1,0)</f>
        <v>1</v>
      </c>
      <c r="K50">
        <f>IF(AND(Table2[[#This Row],[BMI+Outcome]]=1,Table2[[#This Row],[Glucose]]&gt;=100),1,0)</f>
        <v>1</v>
      </c>
      <c r="L50">
        <f>IF(AND(Table2[[#This Row],[Outcome]]=1,Table2[[#This Row],[Glucose]]&gt;=100),1,0)</f>
        <v>1</v>
      </c>
    </row>
    <row r="51" spans="1:12" x14ac:dyDescent="0.25">
      <c r="A51">
        <v>7</v>
      </c>
      <c r="B51">
        <v>105</v>
      </c>
      <c r="C51">
        <v>69</v>
      </c>
      <c r="D51">
        <v>21</v>
      </c>
      <c r="E51">
        <v>80</v>
      </c>
      <c r="F51">
        <v>32</v>
      </c>
      <c r="G51">
        <v>0.67200000000000004</v>
      </c>
      <c r="H51">
        <v>24</v>
      </c>
      <c r="I51">
        <v>0</v>
      </c>
      <c r="J51">
        <f>IF(AND(Table2[[#This Row],[BMI]]&gt;=23,Table2[[#This Row],[Outcome]]=1),1,0)</f>
        <v>0</v>
      </c>
      <c r="K51">
        <f>IF(AND(Table2[[#This Row],[BMI+Outcome]]=1,Table2[[#This Row],[Glucose]]&gt;=100),1,0)</f>
        <v>0</v>
      </c>
      <c r="L51">
        <f>IF(AND(Table2[[#This Row],[Outcome]]=1,Table2[[#This Row],[Glucose]]&gt;=100),1,0)</f>
        <v>0</v>
      </c>
    </row>
    <row r="52" spans="1:12" x14ac:dyDescent="0.25">
      <c r="A52">
        <v>1</v>
      </c>
      <c r="B52">
        <v>103</v>
      </c>
      <c r="C52">
        <v>80</v>
      </c>
      <c r="D52">
        <v>11</v>
      </c>
      <c r="E52">
        <v>82</v>
      </c>
      <c r="F52">
        <v>19</v>
      </c>
      <c r="G52">
        <v>0.67200000000000004</v>
      </c>
      <c r="H52">
        <v>22</v>
      </c>
      <c r="I52">
        <v>0</v>
      </c>
      <c r="J52">
        <f>IF(AND(Table2[[#This Row],[BMI]]&gt;=23,Table2[[#This Row],[Outcome]]=1),1,0)</f>
        <v>0</v>
      </c>
      <c r="K52">
        <f>IF(AND(Table2[[#This Row],[BMI+Outcome]]=1,Table2[[#This Row],[Glucose]]&gt;=100),1,0)</f>
        <v>0</v>
      </c>
      <c r="L52">
        <f>IF(AND(Table2[[#This Row],[Outcome]]=1,Table2[[#This Row],[Glucose]]&gt;=100),1,0)</f>
        <v>0</v>
      </c>
    </row>
    <row r="53" spans="1:12" x14ac:dyDescent="0.25">
      <c r="A53">
        <v>1</v>
      </c>
      <c r="B53">
        <v>101</v>
      </c>
      <c r="C53">
        <v>50</v>
      </c>
      <c r="D53">
        <v>15</v>
      </c>
      <c r="E53">
        <v>36</v>
      </c>
      <c r="F53">
        <v>24</v>
      </c>
      <c r="G53">
        <v>0.67200000000000004</v>
      </c>
      <c r="H53">
        <v>26</v>
      </c>
      <c r="I53">
        <v>0</v>
      </c>
      <c r="J53">
        <f>IF(AND(Table2[[#This Row],[BMI]]&gt;=23,Table2[[#This Row],[Outcome]]=1),1,0)</f>
        <v>0</v>
      </c>
      <c r="K53">
        <f>IF(AND(Table2[[#This Row],[BMI+Outcome]]=1,Table2[[#This Row],[Glucose]]&gt;=100),1,0)</f>
        <v>0</v>
      </c>
      <c r="L53">
        <f>IF(AND(Table2[[#This Row],[Outcome]]=1,Table2[[#This Row],[Glucose]]&gt;=100),1,0)</f>
        <v>0</v>
      </c>
    </row>
    <row r="54" spans="1:12" x14ac:dyDescent="0.25">
      <c r="A54">
        <v>5</v>
      </c>
      <c r="B54">
        <v>88</v>
      </c>
      <c r="C54">
        <v>66</v>
      </c>
      <c r="D54">
        <v>21</v>
      </c>
      <c r="E54">
        <v>23</v>
      </c>
      <c r="F54">
        <v>24</v>
      </c>
      <c r="G54">
        <v>0.67200000000000004</v>
      </c>
      <c r="H54">
        <v>30</v>
      </c>
      <c r="I54">
        <v>0</v>
      </c>
      <c r="J54">
        <f>IF(AND(Table2[[#This Row],[BMI]]&gt;=23,Table2[[#This Row],[Outcome]]=1),1,0)</f>
        <v>0</v>
      </c>
      <c r="K54">
        <f>IF(AND(Table2[[#This Row],[BMI+Outcome]]=1,Table2[[#This Row],[Glucose]]&gt;=100),1,0)</f>
        <v>0</v>
      </c>
      <c r="L54">
        <f>IF(AND(Table2[[#This Row],[Outcome]]=1,Table2[[#This Row],[Glucose]]&gt;=100),1,0)</f>
        <v>0</v>
      </c>
    </row>
    <row r="55" spans="1:12" x14ac:dyDescent="0.25">
      <c r="A55">
        <v>8</v>
      </c>
      <c r="B55">
        <v>176</v>
      </c>
      <c r="C55">
        <v>90</v>
      </c>
      <c r="D55">
        <v>34</v>
      </c>
      <c r="E55">
        <v>300</v>
      </c>
      <c r="F55">
        <v>34</v>
      </c>
      <c r="G55">
        <v>0.67200000000000004</v>
      </c>
      <c r="H55">
        <v>58</v>
      </c>
      <c r="I55">
        <v>1</v>
      </c>
      <c r="J55">
        <f>IF(AND(Table2[[#This Row],[BMI]]&gt;=23,Table2[[#This Row],[Outcome]]=1),1,0)</f>
        <v>1</v>
      </c>
      <c r="K55">
        <f>IF(AND(Table2[[#This Row],[BMI+Outcome]]=1,Table2[[#This Row],[Glucose]]&gt;=100),1,0)</f>
        <v>1</v>
      </c>
      <c r="L55">
        <f>IF(AND(Table2[[#This Row],[Outcome]]=1,Table2[[#This Row],[Glucose]]&gt;=100),1,0)</f>
        <v>1</v>
      </c>
    </row>
    <row r="56" spans="1:12" x14ac:dyDescent="0.25">
      <c r="A56">
        <v>7</v>
      </c>
      <c r="B56">
        <v>150</v>
      </c>
      <c r="C56">
        <v>66</v>
      </c>
      <c r="D56">
        <v>42</v>
      </c>
      <c r="E56">
        <v>342</v>
      </c>
      <c r="F56">
        <v>35</v>
      </c>
      <c r="G56">
        <v>0.67200000000000004</v>
      </c>
      <c r="H56">
        <v>42</v>
      </c>
      <c r="I56">
        <v>0</v>
      </c>
      <c r="J56">
        <f>IF(AND(Table2[[#This Row],[BMI]]&gt;=23,Table2[[#This Row],[Outcome]]=1),1,0)</f>
        <v>0</v>
      </c>
      <c r="K56">
        <f>IF(AND(Table2[[#This Row],[BMI+Outcome]]=1,Table2[[#This Row],[Glucose]]&gt;=100),1,0)</f>
        <v>0</v>
      </c>
      <c r="L56">
        <f>IF(AND(Table2[[#This Row],[Outcome]]=1,Table2[[#This Row],[Glucose]]&gt;=100),1,0)</f>
        <v>0</v>
      </c>
    </row>
    <row r="57" spans="1:12" x14ac:dyDescent="0.25">
      <c r="A57">
        <v>1</v>
      </c>
      <c r="B57">
        <v>73</v>
      </c>
      <c r="C57">
        <v>50</v>
      </c>
      <c r="D57">
        <v>10</v>
      </c>
      <c r="E57">
        <v>80</v>
      </c>
      <c r="F57">
        <v>23</v>
      </c>
      <c r="G57">
        <v>0.67200000000000004</v>
      </c>
      <c r="H57">
        <v>21</v>
      </c>
      <c r="I57">
        <v>0</v>
      </c>
      <c r="J57">
        <f>IF(AND(Table2[[#This Row],[BMI]]&gt;=23,Table2[[#This Row],[Outcome]]=1),1,0)</f>
        <v>0</v>
      </c>
      <c r="K57">
        <f>IF(AND(Table2[[#This Row],[BMI+Outcome]]=1,Table2[[#This Row],[Glucose]]&gt;=100),1,0)</f>
        <v>0</v>
      </c>
      <c r="L57">
        <f>IF(AND(Table2[[#This Row],[Outcome]]=1,Table2[[#This Row],[Glucose]]&gt;=100),1,0)</f>
        <v>0</v>
      </c>
    </row>
    <row r="58" spans="1:12" x14ac:dyDescent="0.25">
      <c r="A58">
        <v>7</v>
      </c>
      <c r="B58">
        <v>187</v>
      </c>
      <c r="C58">
        <v>68</v>
      </c>
      <c r="D58">
        <v>39</v>
      </c>
      <c r="E58">
        <v>304</v>
      </c>
      <c r="F58">
        <v>38</v>
      </c>
      <c r="G58">
        <v>0.67200000000000004</v>
      </c>
      <c r="H58">
        <v>41</v>
      </c>
      <c r="I58">
        <v>1</v>
      </c>
      <c r="J58">
        <f>IF(AND(Table2[[#This Row],[BMI]]&gt;=23,Table2[[#This Row],[Outcome]]=1),1,0)</f>
        <v>1</v>
      </c>
      <c r="K58">
        <f>IF(AND(Table2[[#This Row],[BMI+Outcome]]=1,Table2[[#This Row],[Glucose]]&gt;=100),1,0)</f>
        <v>1</v>
      </c>
      <c r="L58">
        <f>IF(AND(Table2[[#This Row],[Outcome]]=1,Table2[[#This Row],[Glucose]]&gt;=100),1,0)</f>
        <v>1</v>
      </c>
    </row>
    <row r="59" spans="1:12" x14ac:dyDescent="0.25">
      <c r="A59">
        <v>4</v>
      </c>
      <c r="B59">
        <v>100</v>
      </c>
      <c r="C59">
        <v>88</v>
      </c>
      <c r="D59">
        <v>60</v>
      </c>
      <c r="E59">
        <v>110</v>
      </c>
      <c r="F59">
        <v>47</v>
      </c>
      <c r="G59">
        <v>0.67200000000000004</v>
      </c>
      <c r="H59">
        <v>31</v>
      </c>
      <c r="I59">
        <v>0</v>
      </c>
      <c r="J59">
        <f>IF(AND(Table2[[#This Row],[BMI]]&gt;=23,Table2[[#This Row],[Outcome]]=1),1,0)</f>
        <v>0</v>
      </c>
      <c r="K59">
        <f>IF(AND(Table2[[#This Row],[BMI+Outcome]]=1,Table2[[#This Row],[Glucose]]&gt;=100),1,0)</f>
        <v>0</v>
      </c>
      <c r="L59">
        <f>IF(AND(Table2[[#This Row],[Outcome]]=1,Table2[[#This Row],[Glucose]]&gt;=100),1,0)</f>
        <v>0</v>
      </c>
    </row>
    <row r="60" spans="1:12" x14ac:dyDescent="0.25">
      <c r="A60">
        <v>4</v>
      </c>
      <c r="B60">
        <v>146</v>
      </c>
      <c r="C60">
        <v>82</v>
      </c>
      <c r="D60">
        <v>21</v>
      </c>
      <c r="E60">
        <v>80</v>
      </c>
      <c r="F60">
        <v>40</v>
      </c>
      <c r="G60">
        <v>0.67200000000000004</v>
      </c>
      <c r="H60">
        <v>44</v>
      </c>
      <c r="I60">
        <v>0</v>
      </c>
      <c r="J60">
        <f>IF(AND(Table2[[#This Row],[BMI]]&gt;=23,Table2[[#This Row],[Outcome]]=1),1,0)</f>
        <v>0</v>
      </c>
      <c r="K60">
        <f>IF(AND(Table2[[#This Row],[BMI+Outcome]]=1,Table2[[#This Row],[Glucose]]&gt;=100),1,0)</f>
        <v>0</v>
      </c>
      <c r="L60">
        <f>IF(AND(Table2[[#This Row],[Outcome]]=1,Table2[[#This Row],[Glucose]]&gt;=100),1,0)</f>
        <v>0</v>
      </c>
    </row>
    <row r="61" spans="1:12" x14ac:dyDescent="0.25">
      <c r="A61">
        <v>4</v>
      </c>
      <c r="B61">
        <v>105</v>
      </c>
      <c r="C61">
        <v>64</v>
      </c>
      <c r="D61">
        <v>41</v>
      </c>
      <c r="E61">
        <v>142</v>
      </c>
      <c r="F61">
        <v>42</v>
      </c>
      <c r="G61">
        <v>0.67200000000000004</v>
      </c>
      <c r="H61">
        <v>22</v>
      </c>
      <c r="I61">
        <v>0</v>
      </c>
      <c r="J61">
        <f>IF(AND(Table2[[#This Row],[BMI]]&gt;=23,Table2[[#This Row],[Outcome]]=1),1,0)</f>
        <v>0</v>
      </c>
      <c r="K61">
        <f>IF(AND(Table2[[#This Row],[BMI+Outcome]]=1,Table2[[#This Row],[Glucose]]&gt;=100),1,0)</f>
        <v>0</v>
      </c>
      <c r="L61">
        <f>IF(AND(Table2[[#This Row],[Outcome]]=1,Table2[[#This Row],[Glucose]]&gt;=100),1,0)</f>
        <v>0</v>
      </c>
    </row>
    <row r="62" spans="1:12" x14ac:dyDescent="0.25">
      <c r="A62">
        <v>2</v>
      </c>
      <c r="B62">
        <v>84</v>
      </c>
      <c r="C62">
        <v>69</v>
      </c>
      <c r="D62">
        <v>21</v>
      </c>
      <c r="E62">
        <v>80</v>
      </c>
      <c r="F62">
        <v>32</v>
      </c>
      <c r="G62">
        <v>0.67200000000000004</v>
      </c>
      <c r="H62">
        <v>21</v>
      </c>
      <c r="I62">
        <v>0</v>
      </c>
      <c r="J62">
        <f>IF(AND(Table2[[#This Row],[BMI]]&gt;=23,Table2[[#This Row],[Outcome]]=1),1,0)</f>
        <v>0</v>
      </c>
      <c r="K62">
        <f>IF(AND(Table2[[#This Row],[BMI+Outcome]]=1,Table2[[#This Row],[Glucose]]&gt;=100),1,0)</f>
        <v>0</v>
      </c>
      <c r="L62">
        <f>IF(AND(Table2[[#This Row],[Outcome]]=1,Table2[[#This Row],[Glucose]]&gt;=100),1,0)</f>
        <v>0</v>
      </c>
    </row>
    <row r="63" spans="1:12" x14ac:dyDescent="0.25">
      <c r="A63">
        <v>8</v>
      </c>
      <c r="B63">
        <v>133</v>
      </c>
      <c r="C63">
        <v>72</v>
      </c>
      <c r="D63">
        <v>21</v>
      </c>
      <c r="E63">
        <v>80</v>
      </c>
      <c r="F63">
        <v>33</v>
      </c>
      <c r="G63">
        <v>0.67200000000000004</v>
      </c>
      <c r="H63">
        <v>39</v>
      </c>
      <c r="I63">
        <v>1</v>
      </c>
      <c r="J63">
        <f>IF(AND(Table2[[#This Row],[BMI]]&gt;=23,Table2[[#This Row],[Outcome]]=1),1,0)</f>
        <v>1</v>
      </c>
      <c r="K63">
        <f>IF(AND(Table2[[#This Row],[BMI+Outcome]]=1,Table2[[#This Row],[Glucose]]&gt;=100),1,0)</f>
        <v>1</v>
      </c>
      <c r="L63">
        <f>IF(AND(Table2[[#This Row],[Outcome]]=1,Table2[[#This Row],[Glucose]]&gt;=100),1,0)</f>
        <v>1</v>
      </c>
    </row>
    <row r="64" spans="1:12" x14ac:dyDescent="0.25">
      <c r="A64">
        <v>5</v>
      </c>
      <c r="B64">
        <v>44</v>
      </c>
      <c r="C64">
        <v>62</v>
      </c>
      <c r="D64">
        <v>21</v>
      </c>
      <c r="E64">
        <v>80</v>
      </c>
      <c r="F64">
        <v>25</v>
      </c>
      <c r="G64">
        <v>0.67200000000000004</v>
      </c>
      <c r="H64">
        <v>36</v>
      </c>
      <c r="I64">
        <v>0</v>
      </c>
      <c r="J64">
        <f>IF(AND(Table2[[#This Row],[BMI]]&gt;=23,Table2[[#This Row],[Outcome]]=1),1,0)</f>
        <v>0</v>
      </c>
      <c r="K64">
        <f>IF(AND(Table2[[#This Row],[BMI+Outcome]]=1,Table2[[#This Row],[Glucose]]&gt;=100),1,0)</f>
        <v>0</v>
      </c>
      <c r="L64">
        <f>IF(AND(Table2[[#This Row],[Outcome]]=1,Table2[[#This Row],[Glucose]]&gt;=100),1,0)</f>
        <v>0</v>
      </c>
    </row>
    <row r="65" spans="1:12" x14ac:dyDescent="0.25">
      <c r="A65">
        <v>2</v>
      </c>
      <c r="B65">
        <v>141</v>
      </c>
      <c r="C65">
        <v>58</v>
      </c>
      <c r="D65">
        <v>34</v>
      </c>
      <c r="E65">
        <v>128</v>
      </c>
      <c r="F65">
        <v>25</v>
      </c>
      <c r="G65">
        <v>0.67200000000000004</v>
      </c>
      <c r="H65">
        <v>24</v>
      </c>
      <c r="I65">
        <v>0</v>
      </c>
      <c r="J65">
        <f>IF(AND(Table2[[#This Row],[BMI]]&gt;=23,Table2[[#This Row],[Outcome]]=1),1,0)</f>
        <v>0</v>
      </c>
      <c r="K65">
        <f>IF(AND(Table2[[#This Row],[BMI+Outcome]]=1,Table2[[#This Row],[Glucose]]&gt;=100),1,0)</f>
        <v>0</v>
      </c>
      <c r="L65">
        <f>IF(AND(Table2[[#This Row],[Outcome]]=1,Table2[[#This Row],[Glucose]]&gt;=100),1,0)</f>
        <v>0</v>
      </c>
    </row>
    <row r="66" spans="1:12" x14ac:dyDescent="0.25">
      <c r="A66">
        <v>7</v>
      </c>
      <c r="B66">
        <v>114</v>
      </c>
      <c r="C66">
        <v>66</v>
      </c>
      <c r="D66">
        <v>21</v>
      </c>
      <c r="E66">
        <v>80</v>
      </c>
      <c r="F66">
        <v>33</v>
      </c>
      <c r="G66">
        <v>0.67200000000000004</v>
      </c>
      <c r="H66">
        <v>42</v>
      </c>
      <c r="I66">
        <v>1</v>
      </c>
      <c r="J66">
        <f>IF(AND(Table2[[#This Row],[BMI]]&gt;=23,Table2[[#This Row],[Outcome]]=1),1,0)</f>
        <v>1</v>
      </c>
      <c r="K66">
        <f>IF(AND(Table2[[#This Row],[BMI+Outcome]]=1,Table2[[#This Row],[Glucose]]&gt;=100),1,0)</f>
        <v>1</v>
      </c>
      <c r="L66">
        <f>IF(AND(Table2[[#This Row],[Outcome]]=1,Table2[[#This Row],[Glucose]]&gt;=100),1,0)</f>
        <v>1</v>
      </c>
    </row>
    <row r="67" spans="1:12" x14ac:dyDescent="0.25">
      <c r="A67">
        <v>5</v>
      </c>
      <c r="B67">
        <v>99</v>
      </c>
      <c r="C67">
        <v>74</v>
      </c>
      <c r="D67">
        <v>27</v>
      </c>
      <c r="E67">
        <v>80</v>
      </c>
      <c r="F67">
        <v>29</v>
      </c>
      <c r="G67">
        <v>0.67200000000000004</v>
      </c>
      <c r="H67">
        <v>32</v>
      </c>
      <c r="I67">
        <v>0</v>
      </c>
      <c r="J67">
        <f>IF(AND(Table2[[#This Row],[BMI]]&gt;=23,Table2[[#This Row],[Outcome]]=1),1,0)</f>
        <v>0</v>
      </c>
      <c r="K67">
        <f>IF(AND(Table2[[#This Row],[BMI+Outcome]]=1,Table2[[#This Row],[Glucose]]&gt;=100),1,0)</f>
        <v>0</v>
      </c>
      <c r="L67">
        <f>IF(AND(Table2[[#This Row],[Outcome]]=1,Table2[[#This Row],[Glucose]]&gt;=100),1,0)</f>
        <v>0</v>
      </c>
    </row>
    <row r="68" spans="1:12" x14ac:dyDescent="0.25">
      <c r="A68">
        <v>4</v>
      </c>
      <c r="B68">
        <v>109</v>
      </c>
      <c r="C68">
        <v>88</v>
      </c>
      <c r="D68">
        <v>30</v>
      </c>
      <c r="E68">
        <v>80</v>
      </c>
      <c r="F68">
        <v>32</v>
      </c>
      <c r="G68">
        <v>0.67200000000000004</v>
      </c>
      <c r="H68">
        <v>38</v>
      </c>
      <c r="I68">
        <v>1</v>
      </c>
      <c r="J68">
        <f>IF(AND(Table2[[#This Row],[BMI]]&gt;=23,Table2[[#This Row],[Outcome]]=1),1,0)</f>
        <v>1</v>
      </c>
      <c r="K68">
        <f>IF(AND(Table2[[#This Row],[BMI+Outcome]]=1,Table2[[#This Row],[Glucose]]&gt;=100),1,0)</f>
        <v>1</v>
      </c>
      <c r="L68">
        <f>IF(AND(Table2[[#This Row],[Outcome]]=1,Table2[[#This Row],[Glucose]]&gt;=100),1,0)</f>
        <v>1</v>
      </c>
    </row>
    <row r="69" spans="1:12" x14ac:dyDescent="0.25">
      <c r="A69">
        <v>2</v>
      </c>
      <c r="B69">
        <v>109</v>
      </c>
      <c r="C69">
        <v>92</v>
      </c>
      <c r="D69">
        <v>21</v>
      </c>
      <c r="E69">
        <v>80</v>
      </c>
      <c r="F69">
        <v>43</v>
      </c>
      <c r="G69">
        <v>0.67200000000000004</v>
      </c>
      <c r="H69">
        <v>54</v>
      </c>
      <c r="I69">
        <v>0</v>
      </c>
      <c r="J69">
        <f>IF(AND(Table2[[#This Row],[BMI]]&gt;=23,Table2[[#This Row],[Outcome]]=1),1,0)</f>
        <v>0</v>
      </c>
      <c r="K69">
        <f>IF(AND(Table2[[#This Row],[BMI+Outcome]]=1,Table2[[#This Row],[Glucose]]&gt;=100),1,0)</f>
        <v>0</v>
      </c>
      <c r="L69">
        <f>IF(AND(Table2[[#This Row],[Outcome]]=1,Table2[[#This Row],[Glucose]]&gt;=100),1,0)</f>
        <v>0</v>
      </c>
    </row>
    <row r="70" spans="1:12" x14ac:dyDescent="0.25">
      <c r="A70">
        <v>1</v>
      </c>
      <c r="B70">
        <v>95</v>
      </c>
      <c r="C70">
        <v>66</v>
      </c>
      <c r="D70">
        <v>13</v>
      </c>
      <c r="E70">
        <v>38</v>
      </c>
      <c r="F70">
        <v>20</v>
      </c>
      <c r="G70">
        <v>0.67200000000000004</v>
      </c>
      <c r="H70">
        <v>25</v>
      </c>
      <c r="I70">
        <v>0</v>
      </c>
      <c r="J70">
        <f>IF(AND(Table2[[#This Row],[BMI]]&gt;=23,Table2[[#This Row],[Outcome]]=1),1,0)</f>
        <v>0</v>
      </c>
      <c r="K70">
        <f>IF(AND(Table2[[#This Row],[BMI+Outcome]]=1,Table2[[#This Row],[Glucose]]&gt;=100),1,0)</f>
        <v>0</v>
      </c>
      <c r="L70">
        <f>IF(AND(Table2[[#This Row],[Outcome]]=1,Table2[[#This Row],[Glucose]]&gt;=100),1,0)</f>
        <v>0</v>
      </c>
    </row>
    <row r="71" spans="1:12" x14ac:dyDescent="0.25">
      <c r="A71">
        <v>4</v>
      </c>
      <c r="B71">
        <v>146</v>
      </c>
      <c r="C71">
        <v>85</v>
      </c>
      <c r="D71">
        <v>27</v>
      </c>
      <c r="E71">
        <v>100</v>
      </c>
      <c r="F71">
        <v>29</v>
      </c>
      <c r="G71">
        <v>0.67200000000000004</v>
      </c>
      <c r="H71">
        <v>27</v>
      </c>
      <c r="I71">
        <v>0</v>
      </c>
      <c r="J71">
        <f>IF(AND(Table2[[#This Row],[BMI]]&gt;=23,Table2[[#This Row],[Outcome]]=1),1,0)</f>
        <v>0</v>
      </c>
      <c r="K71">
        <f>IF(AND(Table2[[#This Row],[BMI+Outcome]]=1,Table2[[#This Row],[Glucose]]&gt;=100),1,0)</f>
        <v>0</v>
      </c>
      <c r="L71">
        <f>IF(AND(Table2[[#This Row],[Outcome]]=1,Table2[[#This Row],[Glucose]]&gt;=100),1,0)</f>
        <v>0</v>
      </c>
    </row>
    <row r="72" spans="1:12" x14ac:dyDescent="0.25">
      <c r="A72">
        <v>2</v>
      </c>
      <c r="B72">
        <v>100</v>
      </c>
      <c r="C72">
        <v>66</v>
      </c>
      <c r="D72">
        <v>20</v>
      </c>
      <c r="E72">
        <v>90</v>
      </c>
      <c r="F72">
        <v>33</v>
      </c>
      <c r="G72">
        <v>0.67200000000000004</v>
      </c>
      <c r="H72">
        <v>28</v>
      </c>
      <c r="I72">
        <v>1</v>
      </c>
      <c r="J72">
        <f>IF(AND(Table2[[#This Row],[BMI]]&gt;=23,Table2[[#This Row],[Outcome]]=1),1,0)</f>
        <v>1</v>
      </c>
      <c r="K72">
        <f>IF(AND(Table2[[#This Row],[BMI+Outcome]]=1,Table2[[#This Row],[Glucose]]&gt;=100),1,0)</f>
        <v>1</v>
      </c>
      <c r="L72">
        <f>IF(AND(Table2[[#This Row],[Outcome]]=1,Table2[[#This Row],[Glucose]]&gt;=100),1,0)</f>
        <v>1</v>
      </c>
    </row>
    <row r="73" spans="1:12" x14ac:dyDescent="0.25">
      <c r="A73">
        <v>5</v>
      </c>
      <c r="B73">
        <v>139</v>
      </c>
      <c r="C73">
        <v>64</v>
      </c>
      <c r="D73">
        <v>35</v>
      </c>
      <c r="E73">
        <v>140</v>
      </c>
      <c r="F73">
        <v>29</v>
      </c>
      <c r="G73">
        <v>0.67200000000000004</v>
      </c>
      <c r="H73">
        <v>26</v>
      </c>
      <c r="I73">
        <v>0</v>
      </c>
      <c r="J73">
        <f>IF(AND(Table2[[#This Row],[BMI]]&gt;=23,Table2[[#This Row],[Outcome]]=1),1,0)</f>
        <v>0</v>
      </c>
      <c r="K73">
        <f>IF(AND(Table2[[#This Row],[BMI+Outcome]]=1,Table2[[#This Row],[Glucose]]&gt;=100),1,0)</f>
        <v>0</v>
      </c>
      <c r="L73">
        <f>IF(AND(Table2[[#This Row],[Outcome]]=1,Table2[[#This Row],[Glucose]]&gt;=100),1,0)</f>
        <v>0</v>
      </c>
    </row>
    <row r="74" spans="1:12" x14ac:dyDescent="0.25">
      <c r="A74">
        <v>13</v>
      </c>
      <c r="B74">
        <v>126</v>
      </c>
      <c r="C74">
        <v>90</v>
      </c>
      <c r="D74">
        <v>21</v>
      </c>
      <c r="E74">
        <v>80</v>
      </c>
      <c r="F74">
        <v>43</v>
      </c>
      <c r="G74">
        <v>0.67200000000000004</v>
      </c>
      <c r="H74">
        <v>42</v>
      </c>
      <c r="I74">
        <v>1</v>
      </c>
      <c r="J74">
        <f>IF(AND(Table2[[#This Row],[BMI]]&gt;=23,Table2[[#This Row],[Outcome]]=1),1,0)</f>
        <v>1</v>
      </c>
      <c r="K74">
        <f>IF(AND(Table2[[#This Row],[BMI+Outcome]]=1,Table2[[#This Row],[Glucose]]&gt;=100),1,0)</f>
        <v>1</v>
      </c>
      <c r="L74">
        <f>IF(AND(Table2[[#This Row],[Outcome]]=1,Table2[[#This Row],[Glucose]]&gt;=100),1,0)</f>
        <v>1</v>
      </c>
    </row>
    <row r="75" spans="1:12" x14ac:dyDescent="0.25">
      <c r="A75">
        <v>4</v>
      </c>
      <c r="B75">
        <v>129</v>
      </c>
      <c r="C75">
        <v>86</v>
      </c>
      <c r="D75">
        <v>20</v>
      </c>
      <c r="E75">
        <v>270</v>
      </c>
      <c r="F75">
        <v>35</v>
      </c>
      <c r="G75">
        <v>0.67200000000000004</v>
      </c>
      <c r="H75">
        <v>23</v>
      </c>
      <c r="I75">
        <v>0</v>
      </c>
      <c r="J75">
        <f>IF(AND(Table2[[#This Row],[BMI]]&gt;=23,Table2[[#This Row],[Outcome]]=1),1,0)</f>
        <v>0</v>
      </c>
      <c r="K75">
        <f>IF(AND(Table2[[#This Row],[BMI+Outcome]]=1,Table2[[#This Row],[Glucose]]&gt;=100),1,0)</f>
        <v>0</v>
      </c>
      <c r="L75">
        <f>IF(AND(Table2[[#This Row],[Outcome]]=1,Table2[[#This Row],[Glucose]]&gt;=100),1,0)</f>
        <v>0</v>
      </c>
    </row>
    <row r="76" spans="1:12" x14ac:dyDescent="0.25">
      <c r="A76">
        <v>1</v>
      </c>
      <c r="B76">
        <v>79</v>
      </c>
      <c r="C76">
        <v>75</v>
      </c>
      <c r="D76">
        <v>30</v>
      </c>
      <c r="E76">
        <v>80</v>
      </c>
      <c r="F76">
        <v>32</v>
      </c>
      <c r="G76">
        <v>0.67200000000000004</v>
      </c>
      <c r="H76">
        <v>22</v>
      </c>
      <c r="I76">
        <v>0</v>
      </c>
      <c r="J76">
        <f>IF(AND(Table2[[#This Row],[BMI]]&gt;=23,Table2[[#This Row],[Outcome]]=1),1,0)</f>
        <v>0</v>
      </c>
      <c r="K76">
        <f>IF(AND(Table2[[#This Row],[BMI+Outcome]]=1,Table2[[#This Row],[Glucose]]&gt;=100),1,0)</f>
        <v>0</v>
      </c>
      <c r="L76">
        <f>IF(AND(Table2[[#This Row],[Outcome]]=1,Table2[[#This Row],[Glucose]]&gt;=100),1,0)</f>
        <v>0</v>
      </c>
    </row>
    <row r="77" spans="1:12" x14ac:dyDescent="0.25">
      <c r="A77">
        <v>1</v>
      </c>
      <c r="B77">
        <v>121</v>
      </c>
      <c r="C77">
        <v>48</v>
      </c>
      <c r="D77">
        <v>20</v>
      </c>
      <c r="E77">
        <v>80</v>
      </c>
      <c r="F77">
        <v>25</v>
      </c>
      <c r="G77">
        <v>0.67200000000000004</v>
      </c>
      <c r="H77">
        <v>22</v>
      </c>
      <c r="I77">
        <v>0</v>
      </c>
      <c r="J77">
        <f>IF(AND(Table2[[#This Row],[BMI]]&gt;=23,Table2[[#This Row],[Outcome]]=1),1,0)</f>
        <v>0</v>
      </c>
      <c r="K77">
        <f>IF(AND(Table2[[#This Row],[BMI+Outcome]]=1,Table2[[#This Row],[Glucose]]&gt;=100),1,0)</f>
        <v>0</v>
      </c>
      <c r="L77">
        <f>IF(AND(Table2[[#This Row],[Outcome]]=1,Table2[[#This Row],[Glucose]]&gt;=100),1,0)</f>
        <v>0</v>
      </c>
    </row>
    <row r="78" spans="1:12" x14ac:dyDescent="0.25">
      <c r="A78">
        <v>7</v>
      </c>
      <c r="B78">
        <v>62</v>
      </c>
      <c r="C78">
        <v>78</v>
      </c>
      <c r="D78">
        <v>21</v>
      </c>
      <c r="E78">
        <v>80</v>
      </c>
      <c r="F78">
        <v>33</v>
      </c>
      <c r="G78">
        <v>0.67200000000000004</v>
      </c>
      <c r="H78">
        <v>41</v>
      </c>
      <c r="I78">
        <v>0</v>
      </c>
      <c r="J78">
        <f>IF(AND(Table2[[#This Row],[BMI]]&gt;=23,Table2[[#This Row],[Outcome]]=1),1,0)</f>
        <v>0</v>
      </c>
      <c r="K78">
        <f>IF(AND(Table2[[#This Row],[BMI+Outcome]]=1,Table2[[#This Row],[Glucose]]&gt;=100),1,0)</f>
        <v>0</v>
      </c>
      <c r="L78">
        <f>IF(AND(Table2[[#This Row],[Outcome]]=1,Table2[[#This Row],[Glucose]]&gt;=100),1,0)</f>
        <v>0</v>
      </c>
    </row>
    <row r="79" spans="1:12" x14ac:dyDescent="0.25">
      <c r="A79">
        <v>5</v>
      </c>
      <c r="B79">
        <v>95</v>
      </c>
      <c r="C79">
        <v>72</v>
      </c>
      <c r="D79">
        <v>33</v>
      </c>
      <c r="E79">
        <v>80</v>
      </c>
      <c r="F79">
        <v>38</v>
      </c>
      <c r="G79">
        <v>0.67200000000000004</v>
      </c>
      <c r="H79">
        <v>27</v>
      </c>
      <c r="I79">
        <v>0</v>
      </c>
      <c r="J79">
        <f>IF(AND(Table2[[#This Row],[BMI]]&gt;=23,Table2[[#This Row],[Outcome]]=1),1,0)</f>
        <v>0</v>
      </c>
      <c r="K79">
        <f>IF(AND(Table2[[#This Row],[BMI+Outcome]]=1,Table2[[#This Row],[Glucose]]&gt;=100),1,0)</f>
        <v>0</v>
      </c>
      <c r="L79">
        <f>IF(AND(Table2[[#This Row],[Outcome]]=1,Table2[[#This Row],[Glucose]]&gt;=100),1,0)</f>
        <v>0</v>
      </c>
    </row>
    <row r="80" spans="1:12" x14ac:dyDescent="0.25">
      <c r="A80">
        <v>4</v>
      </c>
      <c r="B80">
        <v>131</v>
      </c>
      <c r="C80">
        <v>69</v>
      </c>
      <c r="D80">
        <v>21</v>
      </c>
      <c r="E80">
        <v>80</v>
      </c>
      <c r="F80">
        <v>43</v>
      </c>
      <c r="G80">
        <v>0.67200000000000004</v>
      </c>
      <c r="H80">
        <v>26</v>
      </c>
      <c r="I80">
        <v>1</v>
      </c>
      <c r="J80">
        <f>IF(AND(Table2[[#This Row],[BMI]]&gt;=23,Table2[[#This Row],[Outcome]]=1),1,0)</f>
        <v>1</v>
      </c>
      <c r="K80">
        <f>IF(AND(Table2[[#This Row],[BMI+Outcome]]=1,Table2[[#This Row],[Glucose]]&gt;=100),1,0)</f>
        <v>1</v>
      </c>
      <c r="L80">
        <f>IF(AND(Table2[[#This Row],[Outcome]]=1,Table2[[#This Row],[Glucose]]&gt;=100),1,0)</f>
        <v>1</v>
      </c>
    </row>
    <row r="81" spans="1:12" x14ac:dyDescent="0.25">
      <c r="A81">
        <v>2</v>
      </c>
      <c r="B81">
        <v>112</v>
      </c>
      <c r="C81">
        <v>66</v>
      </c>
      <c r="D81">
        <v>22</v>
      </c>
      <c r="E81">
        <v>80</v>
      </c>
      <c r="F81">
        <v>25</v>
      </c>
      <c r="G81">
        <v>0.67200000000000004</v>
      </c>
      <c r="H81">
        <v>24</v>
      </c>
      <c r="I81">
        <v>0</v>
      </c>
      <c r="J81">
        <f>IF(AND(Table2[[#This Row],[BMI]]&gt;=23,Table2[[#This Row],[Outcome]]=1),1,0)</f>
        <v>0</v>
      </c>
      <c r="K81">
        <f>IF(AND(Table2[[#This Row],[BMI+Outcome]]=1,Table2[[#This Row],[Glucose]]&gt;=100),1,0)</f>
        <v>0</v>
      </c>
      <c r="L81">
        <f>IF(AND(Table2[[#This Row],[Outcome]]=1,Table2[[#This Row],[Glucose]]&gt;=100),1,0)</f>
        <v>0</v>
      </c>
    </row>
    <row r="82" spans="1:12" x14ac:dyDescent="0.25">
      <c r="A82">
        <v>3</v>
      </c>
      <c r="B82">
        <v>113</v>
      </c>
      <c r="C82">
        <v>44</v>
      </c>
      <c r="D82">
        <v>13</v>
      </c>
      <c r="E82">
        <v>80</v>
      </c>
      <c r="F82">
        <v>22</v>
      </c>
      <c r="G82">
        <v>0.67200000000000004</v>
      </c>
      <c r="H82">
        <v>22</v>
      </c>
      <c r="I82">
        <v>0</v>
      </c>
      <c r="J82">
        <f>IF(AND(Table2[[#This Row],[BMI]]&gt;=23,Table2[[#This Row],[Outcome]]=1),1,0)</f>
        <v>0</v>
      </c>
      <c r="K82">
        <f>IF(AND(Table2[[#This Row],[BMI+Outcome]]=1,Table2[[#This Row],[Glucose]]&gt;=100),1,0)</f>
        <v>0</v>
      </c>
      <c r="L82">
        <f>IF(AND(Table2[[#This Row],[Outcome]]=1,Table2[[#This Row],[Glucose]]&gt;=100),1,0)</f>
        <v>0</v>
      </c>
    </row>
    <row r="83" spans="1:12" x14ac:dyDescent="0.25">
      <c r="A83">
        <v>2</v>
      </c>
      <c r="B83">
        <v>74</v>
      </c>
      <c r="C83">
        <v>69</v>
      </c>
      <c r="D83">
        <v>21</v>
      </c>
      <c r="E83">
        <v>80</v>
      </c>
      <c r="F83">
        <v>32</v>
      </c>
      <c r="G83">
        <v>0.67200000000000004</v>
      </c>
      <c r="H83">
        <v>22</v>
      </c>
      <c r="I83">
        <v>0</v>
      </c>
      <c r="J83">
        <f>IF(AND(Table2[[#This Row],[BMI]]&gt;=23,Table2[[#This Row],[Outcome]]=1),1,0)</f>
        <v>0</v>
      </c>
      <c r="K83">
        <f>IF(AND(Table2[[#This Row],[BMI+Outcome]]=1,Table2[[#This Row],[Glucose]]&gt;=100),1,0)</f>
        <v>0</v>
      </c>
      <c r="L83">
        <f>IF(AND(Table2[[#This Row],[Outcome]]=1,Table2[[#This Row],[Glucose]]&gt;=100),1,0)</f>
        <v>0</v>
      </c>
    </row>
    <row r="84" spans="1:12" x14ac:dyDescent="0.25">
      <c r="A84">
        <v>7</v>
      </c>
      <c r="B84">
        <v>83</v>
      </c>
      <c r="C84">
        <v>78</v>
      </c>
      <c r="D84">
        <v>26</v>
      </c>
      <c r="E84">
        <v>71</v>
      </c>
      <c r="F84">
        <v>29</v>
      </c>
      <c r="G84">
        <v>0.67200000000000004</v>
      </c>
      <c r="H84">
        <v>36</v>
      </c>
      <c r="I84">
        <v>0</v>
      </c>
      <c r="J84">
        <f>IF(AND(Table2[[#This Row],[BMI]]&gt;=23,Table2[[#This Row],[Outcome]]=1),1,0)</f>
        <v>0</v>
      </c>
      <c r="K84">
        <f>IF(AND(Table2[[#This Row],[BMI+Outcome]]=1,Table2[[#This Row],[Glucose]]&gt;=100),1,0)</f>
        <v>0</v>
      </c>
      <c r="L84">
        <f>IF(AND(Table2[[#This Row],[Outcome]]=1,Table2[[#This Row],[Glucose]]&gt;=100),1,0)</f>
        <v>0</v>
      </c>
    </row>
    <row r="85" spans="1:12" x14ac:dyDescent="0.25">
      <c r="A85">
        <v>4</v>
      </c>
      <c r="B85">
        <v>101</v>
      </c>
      <c r="C85">
        <v>65</v>
      </c>
      <c r="D85">
        <v>28</v>
      </c>
      <c r="E85">
        <v>80</v>
      </c>
      <c r="F85">
        <v>25</v>
      </c>
      <c r="G85">
        <v>0.67200000000000004</v>
      </c>
      <c r="H85">
        <v>22</v>
      </c>
      <c r="I85">
        <v>0</v>
      </c>
      <c r="J85">
        <f>IF(AND(Table2[[#This Row],[BMI]]&gt;=23,Table2[[#This Row],[Outcome]]=1),1,0)</f>
        <v>0</v>
      </c>
      <c r="K85">
        <f>IF(AND(Table2[[#This Row],[BMI+Outcome]]=1,Table2[[#This Row],[Glucose]]&gt;=100),1,0)</f>
        <v>0</v>
      </c>
      <c r="L85">
        <f>IF(AND(Table2[[#This Row],[Outcome]]=1,Table2[[#This Row],[Glucose]]&gt;=100),1,0)</f>
        <v>0</v>
      </c>
    </row>
    <row r="86" spans="1:12" x14ac:dyDescent="0.25">
      <c r="A86">
        <v>5</v>
      </c>
      <c r="B86">
        <v>137</v>
      </c>
      <c r="C86">
        <v>108</v>
      </c>
      <c r="D86">
        <v>21</v>
      </c>
      <c r="E86">
        <v>80</v>
      </c>
      <c r="F86">
        <v>49</v>
      </c>
      <c r="G86">
        <v>0.67200000000000004</v>
      </c>
      <c r="H86">
        <v>37</v>
      </c>
      <c r="I86">
        <v>1</v>
      </c>
      <c r="J86">
        <f>IF(AND(Table2[[#This Row],[BMI]]&gt;=23,Table2[[#This Row],[Outcome]]=1),1,0)</f>
        <v>1</v>
      </c>
      <c r="K86">
        <f>IF(AND(Table2[[#This Row],[BMI+Outcome]]=1,Table2[[#This Row],[Glucose]]&gt;=100),1,0)</f>
        <v>1</v>
      </c>
      <c r="L86">
        <f>IF(AND(Table2[[#This Row],[Outcome]]=1,Table2[[#This Row],[Glucose]]&gt;=100),1,0)</f>
        <v>1</v>
      </c>
    </row>
    <row r="87" spans="1:12" x14ac:dyDescent="0.25">
      <c r="A87">
        <v>2</v>
      </c>
      <c r="B87">
        <v>110</v>
      </c>
      <c r="C87">
        <v>74</v>
      </c>
      <c r="D87">
        <v>29</v>
      </c>
      <c r="E87">
        <v>125</v>
      </c>
      <c r="F87">
        <v>32</v>
      </c>
      <c r="G87">
        <v>0.67200000000000004</v>
      </c>
      <c r="H87">
        <v>27</v>
      </c>
      <c r="I87">
        <v>0</v>
      </c>
      <c r="J87">
        <f>IF(AND(Table2[[#This Row],[BMI]]&gt;=23,Table2[[#This Row],[Outcome]]=1),1,0)</f>
        <v>0</v>
      </c>
      <c r="K87">
        <f>IF(AND(Table2[[#This Row],[BMI+Outcome]]=1,Table2[[#This Row],[Glucose]]&gt;=100),1,0)</f>
        <v>0</v>
      </c>
      <c r="L87">
        <f>IF(AND(Table2[[#This Row],[Outcome]]=1,Table2[[#This Row],[Glucose]]&gt;=100),1,0)</f>
        <v>0</v>
      </c>
    </row>
    <row r="88" spans="1:12" x14ac:dyDescent="0.25">
      <c r="A88">
        <v>13</v>
      </c>
      <c r="B88">
        <v>106</v>
      </c>
      <c r="C88">
        <v>72</v>
      </c>
      <c r="D88">
        <v>54</v>
      </c>
      <c r="E88">
        <v>80</v>
      </c>
      <c r="F88">
        <v>37</v>
      </c>
      <c r="G88">
        <v>0.67200000000000004</v>
      </c>
      <c r="H88">
        <v>45</v>
      </c>
      <c r="I88">
        <v>0</v>
      </c>
      <c r="J88">
        <f>IF(AND(Table2[[#This Row],[BMI]]&gt;=23,Table2[[#This Row],[Outcome]]=1),1,0)</f>
        <v>0</v>
      </c>
      <c r="K88">
        <f>IF(AND(Table2[[#This Row],[BMI+Outcome]]=1,Table2[[#This Row],[Glucose]]&gt;=100),1,0)</f>
        <v>0</v>
      </c>
      <c r="L88">
        <f>IF(AND(Table2[[#This Row],[Outcome]]=1,Table2[[#This Row],[Glucose]]&gt;=100),1,0)</f>
        <v>0</v>
      </c>
    </row>
    <row r="89" spans="1:12" x14ac:dyDescent="0.25">
      <c r="A89">
        <v>2</v>
      </c>
      <c r="B89">
        <v>100</v>
      </c>
      <c r="C89">
        <v>68</v>
      </c>
      <c r="D89">
        <v>25</v>
      </c>
      <c r="E89">
        <v>71</v>
      </c>
      <c r="F89">
        <v>38</v>
      </c>
      <c r="G89">
        <v>0.67200000000000004</v>
      </c>
      <c r="H89">
        <v>26</v>
      </c>
      <c r="I89">
        <v>0</v>
      </c>
      <c r="J89">
        <f>IF(AND(Table2[[#This Row],[BMI]]&gt;=23,Table2[[#This Row],[Outcome]]=1),1,0)</f>
        <v>0</v>
      </c>
      <c r="K89">
        <f>IF(AND(Table2[[#This Row],[BMI+Outcome]]=1,Table2[[#This Row],[Glucose]]&gt;=100),1,0)</f>
        <v>0</v>
      </c>
      <c r="L89">
        <f>IF(AND(Table2[[#This Row],[Outcome]]=1,Table2[[#This Row],[Glucose]]&gt;=100),1,0)</f>
        <v>0</v>
      </c>
    </row>
    <row r="90" spans="1:12" x14ac:dyDescent="0.25">
      <c r="A90">
        <v>15</v>
      </c>
      <c r="B90">
        <v>136</v>
      </c>
      <c r="C90">
        <v>70</v>
      </c>
      <c r="D90">
        <v>32</v>
      </c>
      <c r="E90">
        <v>110</v>
      </c>
      <c r="F90">
        <v>37</v>
      </c>
      <c r="G90">
        <v>0.67200000000000004</v>
      </c>
      <c r="H90">
        <v>43</v>
      </c>
      <c r="I90">
        <v>1</v>
      </c>
      <c r="J90">
        <f>IF(AND(Table2[[#This Row],[BMI]]&gt;=23,Table2[[#This Row],[Outcome]]=1),1,0)</f>
        <v>1</v>
      </c>
      <c r="K90">
        <f>IF(AND(Table2[[#This Row],[BMI+Outcome]]=1,Table2[[#This Row],[Glucose]]&gt;=100),1,0)</f>
        <v>1</v>
      </c>
      <c r="L90">
        <f>IF(AND(Table2[[#This Row],[Outcome]]=1,Table2[[#This Row],[Glucose]]&gt;=100),1,0)</f>
        <v>1</v>
      </c>
    </row>
    <row r="91" spans="1:12" x14ac:dyDescent="0.25">
      <c r="A91">
        <v>1</v>
      </c>
      <c r="B91">
        <v>107</v>
      </c>
      <c r="C91">
        <v>68</v>
      </c>
      <c r="D91">
        <v>19</v>
      </c>
      <c r="E91">
        <v>80</v>
      </c>
      <c r="F91">
        <v>26</v>
      </c>
      <c r="G91">
        <v>0.67200000000000004</v>
      </c>
      <c r="H91">
        <v>24</v>
      </c>
      <c r="I91">
        <v>0</v>
      </c>
      <c r="J91">
        <f>IF(AND(Table2[[#This Row],[BMI]]&gt;=23,Table2[[#This Row],[Outcome]]=1),1,0)</f>
        <v>0</v>
      </c>
      <c r="K91">
        <f>IF(AND(Table2[[#This Row],[BMI+Outcome]]=1,Table2[[#This Row],[Glucose]]&gt;=100),1,0)</f>
        <v>0</v>
      </c>
      <c r="L91">
        <f>IF(AND(Table2[[#This Row],[Outcome]]=1,Table2[[#This Row],[Glucose]]&gt;=100),1,0)</f>
        <v>0</v>
      </c>
    </row>
    <row r="92" spans="1:12" x14ac:dyDescent="0.25">
      <c r="A92">
        <v>1</v>
      </c>
      <c r="B92">
        <v>80</v>
      </c>
      <c r="C92">
        <v>55</v>
      </c>
      <c r="D92">
        <v>21</v>
      </c>
      <c r="E92">
        <v>80</v>
      </c>
      <c r="F92">
        <v>19</v>
      </c>
      <c r="G92">
        <v>0.67200000000000004</v>
      </c>
      <c r="H92">
        <v>21</v>
      </c>
      <c r="I92">
        <v>0</v>
      </c>
      <c r="J92">
        <f>IF(AND(Table2[[#This Row],[BMI]]&gt;=23,Table2[[#This Row],[Outcome]]=1),1,0)</f>
        <v>0</v>
      </c>
      <c r="K92">
        <f>IF(AND(Table2[[#This Row],[BMI+Outcome]]=1,Table2[[#This Row],[Glucose]]&gt;=100),1,0)</f>
        <v>0</v>
      </c>
      <c r="L92">
        <f>IF(AND(Table2[[#This Row],[Outcome]]=1,Table2[[#This Row],[Glucose]]&gt;=100),1,0)</f>
        <v>0</v>
      </c>
    </row>
    <row r="93" spans="1:12" x14ac:dyDescent="0.25">
      <c r="A93">
        <v>4</v>
      </c>
      <c r="B93">
        <v>123</v>
      </c>
      <c r="C93">
        <v>80</v>
      </c>
      <c r="D93">
        <v>15</v>
      </c>
      <c r="E93">
        <v>176</v>
      </c>
      <c r="F93">
        <v>32</v>
      </c>
      <c r="G93">
        <v>0.67200000000000004</v>
      </c>
      <c r="H93">
        <v>34</v>
      </c>
      <c r="I93">
        <v>0</v>
      </c>
      <c r="J93">
        <f>IF(AND(Table2[[#This Row],[BMI]]&gt;=23,Table2[[#This Row],[Outcome]]=1),1,0)</f>
        <v>0</v>
      </c>
      <c r="K93">
        <f>IF(AND(Table2[[#This Row],[BMI+Outcome]]=1,Table2[[#This Row],[Glucose]]&gt;=100),1,0)</f>
        <v>0</v>
      </c>
      <c r="L93">
        <f>IF(AND(Table2[[#This Row],[Outcome]]=1,Table2[[#This Row],[Glucose]]&gt;=100),1,0)</f>
        <v>0</v>
      </c>
    </row>
    <row r="94" spans="1:12" x14ac:dyDescent="0.25">
      <c r="A94">
        <v>7</v>
      </c>
      <c r="B94">
        <v>81</v>
      </c>
      <c r="C94">
        <v>78</v>
      </c>
      <c r="D94">
        <v>40</v>
      </c>
      <c r="E94">
        <v>48</v>
      </c>
      <c r="F94">
        <v>47</v>
      </c>
      <c r="G94">
        <v>0.67200000000000004</v>
      </c>
      <c r="H94">
        <v>42</v>
      </c>
      <c r="I94">
        <v>0</v>
      </c>
      <c r="J94">
        <f>IF(AND(Table2[[#This Row],[BMI]]&gt;=23,Table2[[#This Row],[Outcome]]=1),1,0)</f>
        <v>0</v>
      </c>
      <c r="K94">
        <f>IF(AND(Table2[[#This Row],[BMI+Outcome]]=1,Table2[[#This Row],[Glucose]]&gt;=100),1,0)</f>
        <v>0</v>
      </c>
      <c r="L94">
        <f>IF(AND(Table2[[#This Row],[Outcome]]=1,Table2[[#This Row],[Glucose]]&gt;=100),1,0)</f>
        <v>0</v>
      </c>
    </row>
    <row r="95" spans="1:12" x14ac:dyDescent="0.25">
      <c r="A95">
        <v>4</v>
      </c>
      <c r="B95">
        <v>134</v>
      </c>
      <c r="C95">
        <v>72</v>
      </c>
      <c r="D95">
        <v>21</v>
      </c>
      <c r="E95">
        <v>80</v>
      </c>
      <c r="F95">
        <v>24</v>
      </c>
      <c r="G95">
        <v>0.67200000000000004</v>
      </c>
      <c r="H95">
        <v>60</v>
      </c>
      <c r="I95">
        <v>1</v>
      </c>
      <c r="J95">
        <f>IF(AND(Table2[[#This Row],[BMI]]&gt;=23,Table2[[#This Row],[Outcome]]=1),1,0)</f>
        <v>1</v>
      </c>
      <c r="K95">
        <f>IF(AND(Table2[[#This Row],[BMI+Outcome]]=1,Table2[[#This Row],[Glucose]]&gt;=100),1,0)</f>
        <v>1</v>
      </c>
      <c r="L95">
        <f>IF(AND(Table2[[#This Row],[Outcome]]=1,Table2[[#This Row],[Glucose]]&gt;=100),1,0)</f>
        <v>1</v>
      </c>
    </row>
    <row r="96" spans="1:12" x14ac:dyDescent="0.25">
      <c r="A96">
        <v>2</v>
      </c>
      <c r="B96">
        <v>142</v>
      </c>
      <c r="C96">
        <v>82</v>
      </c>
      <c r="D96">
        <v>18</v>
      </c>
      <c r="E96">
        <v>64</v>
      </c>
      <c r="F96">
        <v>25</v>
      </c>
      <c r="G96">
        <v>0.67200000000000004</v>
      </c>
      <c r="H96">
        <v>21</v>
      </c>
      <c r="I96">
        <v>0</v>
      </c>
      <c r="J96">
        <f>IF(AND(Table2[[#This Row],[BMI]]&gt;=23,Table2[[#This Row],[Outcome]]=1),1,0)</f>
        <v>0</v>
      </c>
      <c r="K96">
        <f>IF(AND(Table2[[#This Row],[BMI+Outcome]]=1,Table2[[#This Row],[Glucose]]&gt;=100),1,0)</f>
        <v>0</v>
      </c>
      <c r="L96">
        <f>IF(AND(Table2[[#This Row],[Outcome]]=1,Table2[[#This Row],[Glucose]]&gt;=100),1,0)</f>
        <v>0</v>
      </c>
    </row>
    <row r="97" spans="1:12" x14ac:dyDescent="0.25">
      <c r="A97">
        <v>6</v>
      </c>
      <c r="B97">
        <v>144</v>
      </c>
      <c r="C97">
        <v>72</v>
      </c>
      <c r="D97">
        <v>27</v>
      </c>
      <c r="E97">
        <v>228</v>
      </c>
      <c r="F97">
        <v>34</v>
      </c>
      <c r="G97">
        <v>0.67200000000000004</v>
      </c>
      <c r="H97">
        <v>40</v>
      </c>
      <c r="I97">
        <v>0</v>
      </c>
      <c r="J97">
        <f>IF(AND(Table2[[#This Row],[BMI]]&gt;=23,Table2[[#This Row],[Outcome]]=1),1,0)</f>
        <v>0</v>
      </c>
      <c r="K97">
        <f>IF(AND(Table2[[#This Row],[BMI+Outcome]]=1,Table2[[#This Row],[Glucose]]&gt;=100),1,0)</f>
        <v>0</v>
      </c>
      <c r="L97">
        <f>IF(AND(Table2[[#This Row],[Outcome]]=1,Table2[[#This Row],[Glucose]]&gt;=100),1,0)</f>
        <v>0</v>
      </c>
    </row>
    <row r="98" spans="1:12" x14ac:dyDescent="0.25">
      <c r="A98">
        <v>2</v>
      </c>
      <c r="B98">
        <v>92</v>
      </c>
      <c r="C98">
        <v>62</v>
      </c>
      <c r="D98">
        <v>28</v>
      </c>
      <c r="E98">
        <v>80</v>
      </c>
      <c r="F98">
        <v>32</v>
      </c>
      <c r="G98">
        <v>0.67200000000000004</v>
      </c>
      <c r="H98">
        <v>24</v>
      </c>
      <c r="I98">
        <v>0</v>
      </c>
      <c r="J98">
        <f>IF(AND(Table2[[#This Row],[BMI]]&gt;=23,Table2[[#This Row],[Outcome]]=1),1,0)</f>
        <v>0</v>
      </c>
      <c r="K98">
        <f>IF(AND(Table2[[#This Row],[BMI+Outcome]]=1,Table2[[#This Row],[Glucose]]&gt;=100),1,0)</f>
        <v>0</v>
      </c>
      <c r="L98">
        <f>IF(AND(Table2[[#This Row],[Outcome]]=1,Table2[[#This Row],[Glucose]]&gt;=100),1,0)</f>
        <v>0</v>
      </c>
    </row>
    <row r="99" spans="1:12" x14ac:dyDescent="0.25">
      <c r="A99">
        <v>1</v>
      </c>
      <c r="B99">
        <v>71</v>
      </c>
      <c r="C99">
        <v>48</v>
      </c>
      <c r="D99">
        <v>18</v>
      </c>
      <c r="E99">
        <v>76</v>
      </c>
      <c r="F99">
        <v>20</v>
      </c>
      <c r="G99">
        <v>0.67200000000000004</v>
      </c>
      <c r="H99">
        <v>22</v>
      </c>
      <c r="I99">
        <v>0</v>
      </c>
      <c r="J99">
        <f>IF(AND(Table2[[#This Row],[BMI]]&gt;=23,Table2[[#This Row],[Outcome]]=1),1,0)</f>
        <v>0</v>
      </c>
      <c r="K99">
        <f>IF(AND(Table2[[#This Row],[BMI+Outcome]]=1,Table2[[#This Row],[Glucose]]&gt;=100),1,0)</f>
        <v>0</v>
      </c>
      <c r="L99">
        <f>IF(AND(Table2[[#This Row],[Outcome]]=1,Table2[[#This Row],[Glucose]]&gt;=100),1,0)</f>
        <v>0</v>
      </c>
    </row>
    <row r="100" spans="1:12" x14ac:dyDescent="0.25">
      <c r="A100">
        <v>6</v>
      </c>
      <c r="B100">
        <v>93</v>
      </c>
      <c r="C100">
        <v>50</v>
      </c>
      <c r="D100">
        <v>30</v>
      </c>
      <c r="E100">
        <v>64</v>
      </c>
      <c r="F100">
        <v>29</v>
      </c>
      <c r="G100">
        <v>0.67200000000000004</v>
      </c>
      <c r="H100">
        <v>23</v>
      </c>
      <c r="I100">
        <v>0</v>
      </c>
      <c r="J100">
        <f>IF(AND(Table2[[#This Row],[BMI]]&gt;=23,Table2[[#This Row],[Outcome]]=1),1,0)</f>
        <v>0</v>
      </c>
      <c r="K100">
        <f>IF(AND(Table2[[#This Row],[BMI+Outcome]]=1,Table2[[#This Row],[Glucose]]&gt;=100),1,0)</f>
        <v>0</v>
      </c>
      <c r="L100">
        <f>IF(AND(Table2[[#This Row],[Outcome]]=1,Table2[[#This Row],[Glucose]]&gt;=100),1,0)</f>
        <v>0</v>
      </c>
    </row>
    <row r="101" spans="1:12" x14ac:dyDescent="0.25">
      <c r="A101">
        <v>1</v>
      </c>
      <c r="B101">
        <v>122</v>
      </c>
      <c r="C101">
        <v>90</v>
      </c>
      <c r="D101">
        <v>51</v>
      </c>
      <c r="E101">
        <v>220</v>
      </c>
      <c r="F101">
        <v>50</v>
      </c>
      <c r="G101">
        <v>0.67200000000000004</v>
      </c>
      <c r="H101">
        <v>31</v>
      </c>
      <c r="I101">
        <v>1</v>
      </c>
      <c r="J101">
        <f>IF(AND(Table2[[#This Row],[BMI]]&gt;=23,Table2[[#This Row],[Outcome]]=1),1,0)</f>
        <v>1</v>
      </c>
      <c r="K101">
        <f>IF(AND(Table2[[#This Row],[BMI+Outcome]]=1,Table2[[#This Row],[Glucose]]&gt;=100),1,0)</f>
        <v>1</v>
      </c>
      <c r="L101">
        <f>IF(AND(Table2[[#This Row],[Outcome]]=1,Table2[[#This Row],[Glucose]]&gt;=100),1,0)</f>
        <v>1</v>
      </c>
    </row>
    <row r="102" spans="1:12" x14ac:dyDescent="0.25">
      <c r="A102">
        <v>1</v>
      </c>
      <c r="B102">
        <v>163</v>
      </c>
      <c r="C102">
        <v>72</v>
      </c>
      <c r="D102">
        <v>21</v>
      </c>
      <c r="E102">
        <v>80</v>
      </c>
      <c r="F102">
        <v>39</v>
      </c>
      <c r="G102">
        <v>0.67200000000000004</v>
      </c>
      <c r="H102">
        <v>33</v>
      </c>
      <c r="I102">
        <v>1</v>
      </c>
      <c r="J102">
        <f>IF(AND(Table2[[#This Row],[BMI]]&gt;=23,Table2[[#This Row],[Outcome]]=1),1,0)</f>
        <v>1</v>
      </c>
      <c r="K102">
        <f>IF(AND(Table2[[#This Row],[BMI+Outcome]]=1,Table2[[#This Row],[Glucose]]&gt;=100),1,0)</f>
        <v>1</v>
      </c>
      <c r="L102">
        <f>IF(AND(Table2[[#This Row],[Outcome]]=1,Table2[[#This Row],[Glucose]]&gt;=100),1,0)</f>
        <v>1</v>
      </c>
    </row>
    <row r="103" spans="1:12" x14ac:dyDescent="0.25">
      <c r="A103">
        <v>1</v>
      </c>
      <c r="B103">
        <v>151</v>
      </c>
      <c r="C103">
        <v>60</v>
      </c>
      <c r="D103">
        <v>21</v>
      </c>
      <c r="E103">
        <v>80</v>
      </c>
      <c r="F103">
        <v>26</v>
      </c>
      <c r="G103">
        <v>0.67200000000000004</v>
      </c>
      <c r="H103">
        <v>22</v>
      </c>
      <c r="I103">
        <v>0</v>
      </c>
      <c r="J103">
        <f>IF(AND(Table2[[#This Row],[BMI]]&gt;=23,Table2[[#This Row],[Outcome]]=1),1,0)</f>
        <v>0</v>
      </c>
      <c r="K103">
        <f>IF(AND(Table2[[#This Row],[BMI+Outcome]]=1,Table2[[#This Row],[Glucose]]&gt;=100),1,0)</f>
        <v>0</v>
      </c>
      <c r="L103">
        <f>IF(AND(Table2[[#This Row],[Outcome]]=1,Table2[[#This Row],[Glucose]]&gt;=100),1,0)</f>
        <v>0</v>
      </c>
    </row>
    <row r="104" spans="1:12" x14ac:dyDescent="0.25">
      <c r="A104">
        <v>4</v>
      </c>
      <c r="B104">
        <v>125</v>
      </c>
      <c r="C104">
        <v>96</v>
      </c>
      <c r="D104">
        <v>21</v>
      </c>
      <c r="E104">
        <v>80</v>
      </c>
      <c r="F104">
        <v>22</v>
      </c>
      <c r="G104">
        <v>0.67200000000000004</v>
      </c>
      <c r="H104">
        <v>21</v>
      </c>
      <c r="I104">
        <v>0</v>
      </c>
      <c r="J104">
        <f>IF(AND(Table2[[#This Row],[BMI]]&gt;=23,Table2[[#This Row],[Outcome]]=1),1,0)</f>
        <v>0</v>
      </c>
      <c r="K104">
        <f>IF(AND(Table2[[#This Row],[BMI+Outcome]]=1,Table2[[#This Row],[Glucose]]&gt;=100),1,0)</f>
        <v>0</v>
      </c>
      <c r="L104">
        <f>IF(AND(Table2[[#This Row],[Outcome]]=1,Table2[[#This Row],[Glucose]]&gt;=100),1,0)</f>
        <v>0</v>
      </c>
    </row>
    <row r="105" spans="1:12" x14ac:dyDescent="0.25">
      <c r="A105">
        <v>1</v>
      </c>
      <c r="B105">
        <v>81</v>
      </c>
      <c r="C105">
        <v>72</v>
      </c>
      <c r="D105">
        <v>18</v>
      </c>
      <c r="E105">
        <v>40</v>
      </c>
      <c r="F105">
        <v>27</v>
      </c>
      <c r="G105">
        <v>0.67200000000000004</v>
      </c>
      <c r="H105">
        <v>24</v>
      </c>
      <c r="I105">
        <v>0</v>
      </c>
      <c r="J105">
        <f>IF(AND(Table2[[#This Row],[BMI]]&gt;=23,Table2[[#This Row],[Outcome]]=1),1,0)</f>
        <v>0</v>
      </c>
      <c r="K105">
        <f>IF(AND(Table2[[#This Row],[BMI+Outcome]]=1,Table2[[#This Row],[Glucose]]&gt;=100),1,0)</f>
        <v>0</v>
      </c>
      <c r="L105">
        <f>IF(AND(Table2[[#This Row],[Outcome]]=1,Table2[[#This Row],[Glucose]]&gt;=100),1,0)</f>
        <v>0</v>
      </c>
    </row>
    <row r="106" spans="1:12" x14ac:dyDescent="0.25">
      <c r="A106">
        <v>2</v>
      </c>
      <c r="B106">
        <v>85</v>
      </c>
      <c r="C106">
        <v>65</v>
      </c>
      <c r="D106">
        <v>21</v>
      </c>
      <c r="E106">
        <v>80</v>
      </c>
      <c r="F106">
        <v>40</v>
      </c>
      <c r="G106">
        <v>0.67200000000000004</v>
      </c>
      <c r="H106">
        <v>27</v>
      </c>
      <c r="I106">
        <v>0</v>
      </c>
      <c r="J106">
        <f>IF(AND(Table2[[#This Row],[BMI]]&gt;=23,Table2[[#This Row],[Outcome]]=1),1,0)</f>
        <v>0</v>
      </c>
      <c r="K106">
        <f>IF(AND(Table2[[#This Row],[BMI+Outcome]]=1,Table2[[#This Row],[Glucose]]&gt;=100),1,0)</f>
        <v>0</v>
      </c>
      <c r="L106">
        <f>IF(AND(Table2[[#This Row],[Outcome]]=1,Table2[[#This Row],[Glucose]]&gt;=100),1,0)</f>
        <v>0</v>
      </c>
    </row>
    <row r="107" spans="1:12" x14ac:dyDescent="0.25">
      <c r="A107">
        <v>1</v>
      </c>
      <c r="B107">
        <v>126</v>
      </c>
      <c r="C107">
        <v>56</v>
      </c>
      <c r="D107">
        <v>29</v>
      </c>
      <c r="E107">
        <v>152</v>
      </c>
      <c r="F107">
        <v>29</v>
      </c>
      <c r="G107">
        <v>0.67200000000000004</v>
      </c>
      <c r="H107">
        <v>21</v>
      </c>
      <c r="I107">
        <v>0</v>
      </c>
      <c r="J107">
        <f>IF(AND(Table2[[#This Row],[BMI]]&gt;=23,Table2[[#This Row],[Outcome]]=1),1,0)</f>
        <v>0</v>
      </c>
      <c r="K107">
        <f>IF(AND(Table2[[#This Row],[BMI+Outcome]]=1,Table2[[#This Row],[Glucose]]&gt;=100),1,0)</f>
        <v>0</v>
      </c>
      <c r="L107">
        <f>IF(AND(Table2[[#This Row],[Outcome]]=1,Table2[[#This Row],[Glucose]]&gt;=100),1,0)</f>
        <v>0</v>
      </c>
    </row>
    <row r="108" spans="1:12" x14ac:dyDescent="0.25">
      <c r="A108">
        <v>1</v>
      </c>
      <c r="B108">
        <v>96</v>
      </c>
      <c r="C108">
        <v>122</v>
      </c>
      <c r="D108">
        <v>21</v>
      </c>
      <c r="E108">
        <v>80</v>
      </c>
      <c r="F108">
        <v>22</v>
      </c>
      <c r="G108">
        <v>0.67200000000000004</v>
      </c>
      <c r="H108">
        <v>27</v>
      </c>
      <c r="I108">
        <v>0</v>
      </c>
      <c r="J108">
        <f>IF(AND(Table2[[#This Row],[BMI]]&gt;=23,Table2[[#This Row],[Outcome]]=1),1,0)</f>
        <v>0</v>
      </c>
      <c r="K108">
        <f>IF(AND(Table2[[#This Row],[BMI+Outcome]]=1,Table2[[#This Row],[Glucose]]&gt;=100),1,0)</f>
        <v>0</v>
      </c>
      <c r="L108">
        <f>IF(AND(Table2[[#This Row],[Outcome]]=1,Table2[[#This Row],[Glucose]]&gt;=100),1,0)</f>
        <v>0</v>
      </c>
    </row>
    <row r="109" spans="1:12" x14ac:dyDescent="0.25">
      <c r="A109">
        <v>4</v>
      </c>
      <c r="B109">
        <v>144</v>
      </c>
      <c r="C109">
        <v>58</v>
      </c>
      <c r="D109">
        <v>28</v>
      </c>
      <c r="E109">
        <v>140</v>
      </c>
      <c r="F109">
        <v>30</v>
      </c>
      <c r="G109">
        <v>0.67200000000000004</v>
      </c>
      <c r="H109">
        <v>37</v>
      </c>
      <c r="I109">
        <v>0</v>
      </c>
      <c r="J109">
        <f>IF(AND(Table2[[#This Row],[BMI]]&gt;=23,Table2[[#This Row],[Outcome]]=1),1,0)</f>
        <v>0</v>
      </c>
      <c r="K109">
        <f>IF(AND(Table2[[#This Row],[BMI+Outcome]]=1,Table2[[#This Row],[Glucose]]&gt;=100),1,0)</f>
        <v>0</v>
      </c>
      <c r="L109">
        <f>IF(AND(Table2[[#This Row],[Outcome]]=1,Table2[[#This Row],[Glucose]]&gt;=100),1,0)</f>
        <v>0</v>
      </c>
    </row>
    <row r="110" spans="1:12" x14ac:dyDescent="0.25">
      <c r="A110">
        <v>3</v>
      </c>
      <c r="B110">
        <v>83</v>
      </c>
      <c r="C110">
        <v>58</v>
      </c>
      <c r="D110">
        <v>31</v>
      </c>
      <c r="E110">
        <v>18</v>
      </c>
      <c r="F110">
        <v>34</v>
      </c>
      <c r="G110">
        <v>0.67200000000000004</v>
      </c>
      <c r="H110">
        <v>25</v>
      </c>
      <c r="I110">
        <v>0</v>
      </c>
      <c r="J110">
        <f>IF(AND(Table2[[#This Row],[BMI]]&gt;=23,Table2[[#This Row],[Outcome]]=1),1,0)</f>
        <v>0</v>
      </c>
      <c r="K110">
        <f>IF(AND(Table2[[#This Row],[BMI+Outcome]]=1,Table2[[#This Row],[Glucose]]&gt;=100),1,0)</f>
        <v>0</v>
      </c>
      <c r="L110">
        <f>IF(AND(Table2[[#This Row],[Outcome]]=1,Table2[[#This Row],[Glucose]]&gt;=100),1,0)</f>
        <v>0</v>
      </c>
    </row>
    <row r="111" spans="1:12" x14ac:dyDescent="0.25">
      <c r="A111">
        <v>4</v>
      </c>
      <c r="B111">
        <v>95</v>
      </c>
      <c r="C111">
        <v>85</v>
      </c>
      <c r="D111">
        <v>25</v>
      </c>
      <c r="E111">
        <v>36</v>
      </c>
      <c r="F111">
        <v>37</v>
      </c>
      <c r="G111">
        <v>0.67200000000000004</v>
      </c>
      <c r="H111">
        <v>24</v>
      </c>
      <c r="I111">
        <v>1</v>
      </c>
      <c r="J111">
        <f>IF(AND(Table2[[#This Row],[BMI]]&gt;=23,Table2[[#This Row],[Outcome]]=1),1,0)</f>
        <v>1</v>
      </c>
      <c r="K111">
        <f>IF(AND(Table2[[#This Row],[BMI+Outcome]]=1,Table2[[#This Row],[Glucose]]&gt;=100),1,0)</f>
        <v>0</v>
      </c>
      <c r="L111">
        <f>IF(AND(Table2[[#This Row],[Outcome]]=1,Table2[[#This Row],[Glucose]]&gt;=100),1,0)</f>
        <v>0</v>
      </c>
    </row>
    <row r="112" spans="1:12" x14ac:dyDescent="0.25">
      <c r="A112">
        <v>3</v>
      </c>
      <c r="B112">
        <v>171</v>
      </c>
      <c r="C112">
        <v>72</v>
      </c>
      <c r="D112">
        <v>33</v>
      </c>
      <c r="E112">
        <v>135</v>
      </c>
      <c r="F112">
        <v>33</v>
      </c>
      <c r="G112">
        <v>0.67200000000000004</v>
      </c>
      <c r="H112">
        <v>24</v>
      </c>
      <c r="I112">
        <v>1</v>
      </c>
      <c r="J112">
        <f>IF(AND(Table2[[#This Row],[BMI]]&gt;=23,Table2[[#This Row],[Outcome]]=1),1,0)</f>
        <v>1</v>
      </c>
      <c r="K112">
        <f>IF(AND(Table2[[#This Row],[BMI+Outcome]]=1,Table2[[#This Row],[Glucose]]&gt;=100),1,0)</f>
        <v>1</v>
      </c>
      <c r="L112">
        <f>IF(AND(Table2[[#This Row],[Outcome]]=1,Table2[[#This Row],[Glucose]]&gt;=100),1,0)</f>
        <v>1</v>
      </c>
    </row>
    <row r="113" spans="1:12" x14ac:dyDescent="0.25">
      <c r="A113">
        <v>8</v>
      </c>
      <c r="B113">
        <v>155</v>
      </c>
      <c r="C113">
        <v>62</v>
      </c>
      <c r="D113">
        <v>26</v>
      </c>
      <c r="E113">
        <v>495</v>
      </c>
      <c r="F113">
        <v>34</v>
      </c>
      <c r="G113">
        <v>0.67200000000000004</v>
      </c>
      <c r="H113">
        <v>46</v>
      </c>
      <c r="I113">
        <v>1</v>
      </c>
      <c r="J113">
        <f>IF(AND(Table2[[#This Row],[BMI]]&gt;=23,Table2[[#This Row],[Outcome]]=1),1,0)</f>
        <v>1</v>
      </c>
      <c r="K113">
        <f>IF(AND(Table2[[#This Row],[BMI+Outcome]]=1,Table2[[#This Row],[Glucose]]&gt;=100),1,0)</f>
        <v>1</v>
      </c>
      <c r="L113">
        <f>IF(AND(Table2[[#This Row],[Outcome]]=1,Table2[[#This Row],[Glucose]]&gt;=100),1,0)</f>
        <v>1</v>
      </c>
    </row>
    <row r="114" spans="1:12" x14ac:dyDescent="0.25">
      <c r="A114">
        <v>1</v>
      </c>
      <c r="B114">
        <v>89</v>
      </c>
      <c r="C114">
        <v>76</v>
      </c>
      <c r="D114">
        <v>34</v>
      </c>
      <c r="E114">
        <v>37</v>
      </c>
      <c r="F114">
        <v>31</v>
      </c>
      <c r="G114">
        <v>0.67200000000000004</v>
      </c>
      <c r="H114">
        <v>23</v>
      </c>
      <c r="I114">
        <v>0</v>
      </c>
      <c r="J114">
        <f>IF(AND(Table2[[#This Row],[BMI]]&gt;=23,Table2[[#This Row],[Outcome]]=1),1,0)</f>
        <v>0</v>
      </c>
      <c r="K114">
        <f>IF(AND(Table2[[#This Row],[BMI+Outcome]]=1,Table2[[#This Row],[Glucose]]&gt;=100),1,0)</f>
        <v>0</v>
      </c>
      <c r="L114">
        <f>IF(AND(Table2[[#This Row],[Outcome]]=1,Table2[[#This Row],[Glucose]]&gt;=100),1,0)</f>
        <v>0</v>
      </c>
    </row>
    <row r="115" spans="1:12" x14ac:dyDescent="0.25">
      <c r="A115">
        <v>4</v>
      </c>
      <c r="B115">
        <v>76</v>
      </c>
      <c r="C115">
        <v>62</v>
      </c>
      <c r="D115">
        <v>21</v>
      </c>
      <c r="E115">
        <v>80</v>
      </c>
      <c r="F115">
        <v>34</v>
      </c>
      <c r="G115">
        <v>0.67200000000000004</v>
      </c>
      <c r="H115">
        <v>25</v>
      </c>
      <c r="I115">
        <v>0</v>
      </c>
      <c r="J115">
        <f>IF(AND(Table2[[#This Row],[BMI]]&gt;=23,Table2[[#This Row],[Outcome]]=1),1,0)</f>
        <v>0</v>
      </c>
      <c r="K115">
        <f>IF(AND(Table2[[#This Row],[BMI+Outcome]]=1,Table2[[#This Row],[Glucose]]&gt;=100),1,0)</f>
        <v>0</v>
      </c>
      <c r="L115">
        <f>IF(AND(Table2[[#This Row],[Outcome]]=1,Table2[[#This Row],[Glucose]]&gt;=100),1,0)</f>
        <v>0</v>
      </c>
    </row>
    <row r="116" spans="1:12" x14ac:dyDescent="0.25">
      <c r="A116">
        <v>7</v>
      </c>
      <c r="B116">
        <v>160</v>
      </c>
      <c r="C116">
        <v>54</v>
      </c>
      <c r="D116">
        <v>32</v>
      </c>
      <c r="E116">
        <v>175</v>
      </c>
      <c r="F116">
        <v>30</v>
      </c>
      <c r="G116">
        <v>0.67200000000000004</v>
      </c>
      <c r="H116">
        <v>39</v>
      </c>
      <c r="I116">
        <v>1</v>
      </c>
      <c r="J116">
        <f>IF(AND(Table2[[#This Row],[BMI]]&gt;=23,Table2[[#This Row],[Outcome]]=1),1,0)</f>
        <v>1</v>
      </c>
      <c r="K116">
        <f>IF(AND(Table2[[#This Row],[BMI+Outcome]]=1,Table2[[#This Row],[Glucose]]&gt;=100),1,0)</f>
        <v>1</v>
      </c>
      <c r="L116">
        <f>IF(AND(Table2[[#This Row],[Outcome]]=1,Table2[[#This Row],[Glucose]]&gt;=100),1,0)</f>
        <v>1</v>
      </c>
    </row>
    <row r="117" spans="1:12" x14ac:dyDescent="0.25">
      <c r="A117">
        <v>4</v>
      </c>
      <c r="B117">
        <v>146</v>
      </c>
      <c r="C117">
        <v>92</v>
      </c>
      <c r="D117">
        <v>21</v>
      </c>
      <c r="E117">
        <v>80</v>
      </c>
      <c r="F117">
        <v>31</v>
      </c>
      <c r="G117">
        <v>0.67200000000000004</v>
      </c>
      <c r="H117">
        <v>61</v>
      </c>
      <c r="I117">
        <v>1</v>
      </c>
      <c r="J117">
        <f>IF(AND(Table2[[#This Row],[BMI]]&gt;=23,Table2[[#This Row],[Outcome]]=1),1,0)</f>
        <v>1</v>
      </c>
      <c r="K117">
        <f>IF(AND(Table2[[#This Row],[BMI+Outcome]]=1,Table2[[#This Row],[Glucose]]&gt;=100),1,0)</f>
        <v>1</v>
      </c>
      <c r="L117">
        <f>IF(AND(Table2[[#This Row],[Outcome]]=1,Table2[[#This Row],[Glucose]]&gt;=100),1,0)</f>
        <v>1</v>
      </c>
    </row>
    <row r="118" spans="1:12" x14ac:dyDescent="0.25">
      <c r="A118">
        <v>5</v>
      </c>
      <c r="B118">
        <v>124</v>
      </c>
      <c r="C118">
        <v>74</v>
      </c>
      <c r="D118">
        <v>21</v>
      </c>
      <c r="E118">
        <v>80</v>
      </c>
      <c r="F118">
        <v>34</v>
      </c>
      <c r="G118">
        <v>0.67200000000000004</v>
      </c>
      <c r="H118">
        <v>38</v>
      </c>
      <c r="I118">
        <v>1</v>
      </c>
      <c r="J118">
        <f>IF(AND(Table2[[#This Row],[BMI]]&gt;=23,Table2[[#This Row],[Outcome]]=1),1,0)</f>
        <v>1</v>
      </c>
      <c r="K118">
        <f>IF(AND(Table2[[#This Row],[BMI+Outcome]]=1,Table2[[#This Row],[Glucose]]&gt;=100),1,0)</f>
        <v>1</v>
      </c>
      <c r="L118">
        <f>IF(AND(Table2[[#This Row],[Outcome]]=1,Table2[[#This Row],[Glucose]]&gt;=100),1,0)</f>
        <v>1</v>
      </c>
    </row>
    <row r="119" spans="1:12" x14ac:dyDescent="0.25">
      <c r="A119">
        <v>5</v>
      </c>
      <c r="B119">
        <v>78</v>
      </c>
      <c r="C119">
        <v>48</v>
      </c>
      <c r="D119">
        <v>21</v>
      </c>
      <c r="E119">
        <v>80</v>
      </c>
      <c r="F119">
        <v>34</v>
      </c>
      <c r="G119">
        <v>0.67200000000000004</v>
      </c>
      <c r="H119">
        <v>25</v>
      </c>
      <c r="I119">
        <v>0</v>
      </c>
      <c r="J119">
        <f>IF(AND(Table2[[#This Row],[BMI]]&gt;=23,Table2[[#This Row],[Outcome]]=1),1,0)</f>
        <v>0</v>
      </c>
      <c r="K119">
        <f>IF(AND(Table2[[#This Row],[BMI+Outcome]]=1,Table2[[#This Row],[Glucose]]&gt;=100),1,0)</f>
        <v>0</v>
      </c>
      <c r="L119">
        <f>IF(AND(Table2[[#This Row],[Outcome]]=1,Table2[[#This Row],[Glucose]]&gt;=100),1,0)</f>
        <v>0</v>
      </c>
    </row>
    <row r="120" spans="1:12" x14ac:dyDescent="0.25">
      <c r="A120">
        <v>4</v>
      </c>
      <c r="B120">
        <v>97</v>
      </c>
      <c r="C120">
        <v>60</v>
      </c>
      <c r="D120">
        <v>23</v>
      </c>
      <c r="E120">
        <v>80</v>
      </c>
      <c r="F120">
        <v>28</v>
      </c>
      <c r="G120">
        <v>0.67200000000000004</v>
      </c>
      <c r="H120">
        <v>22</v>
      </c>
      <c r="I120">
        <v>0</v>
      </c>
      <c r="J120">
        <f>IF(AND(Table2[[#This Row],[BMI]]&gt;=23,Table2[[#This Row],[Outcome]]=1),1,0)</f>
        <v>0</v>
      </c>
      <c r="K120">
        <f>IF(AND(Table2[[#This Row],[BMI+Outcome]]=1,Table2[[#This Row],[Glucose]]&gt;=100),1,0)</f>
        <v>0</v>
      </c>
      <c r="L120">
        <f>IF(AND(Table2[[#This Row],[Outcome]]=1,Table2[[#This Row],[Glucose]]&gt;=100),1,0)</f>
        <v>0</v>
      </c>
    </row>
    <row r="121" spans="1:12" x14ac:dyDescent="0.25">
      <c r="A121">
        <v>4</v>
      </c>
      <c r="B121">
        <v>99</v>
      </c>
      <c r="C121">
        <v>76</v>
      </c>
      <c r="D121">
        <v>15</v>
      </c>
      <c r="E121">
        <v>51</v>
      </c>
      <c r="F121">
        <v>23</v>
      </c>
      <c r="G121">
        <v>0.67200000000000004</v>
      </c>
      <c r="H121">
        <v>21</v>
      </c>
      <c r="I121">
        <v>0</v>
      </c>
      <c r="J121">
        <f>IF(AND(Table2[[#This Row],[BMI]]&gt;=23,Table2[[#This Row],[Outcome]]=1),1,0)</f>
        <v>0</v>
      </c>
      <c r="K121">
        <f>IF(AND(Table2[[#This Row],[BMI+Outcome]]=1,Table2[[#This Row],[Glucose]]&gt;=100),1,0)</f>
        <v>0</v>
      </c>
      <c r="L121">
        <f>IF(AND(Table2[[#This Row],[Outcome]]=1,Table2[[#This Row],[Glucose]]&gt;=100),1,0)</f>
        <v>0</v>
      </c>
    </row>
    <row r="122" spans="1:12" x14ac:dyDescent="0.25">
      <c r="A122">
        <v>4</v>
      </c>
      <c r="B122">
        <v>162</v>
      </c>
      <c r="C122">
        <v>76</v>
      </c>
      <c r="D122">
        <v>56</v>
      </c>
      <c r="E122">
        <v>100</v>
      </c>
      <c r="F122">
        <v>53</v>
      </c>
      <c r="G122">
        <v>0.67200000000000004</v>
      </c>
      <c r="H122">
        <v>25</v>
      </c>
      <c r="I122">
        <v>1</v>
      </c>
      <c r="J122">
        <f>IF(AND(Table2[[#This Row],[BMI]]&gt;=23,Table2[[#This Row],[Outcome]]=1),1,0)</f>
        <v>1</v>
      </c>
      <c r="K122">
        <f>IF(AND(Table2[[#This Row],[BMI+Outcome]]=1,Table2[[#This Row],[Glucose]]&gt;=100),1,0)</f>
        <v>1</v>
      </c>
      <c r="L122">
        <f>IF(AND(Table2[[#This Row],[Outcome]]=1,Table2[[#This Row],[Glucose]]&gt;=100),1,0)</f>
        <v>1</v>
      </c>
    </row>
    <row r="123" spans="1:12" x14ac:dyDescent="0.25">
      <c r="A123">
        <v>6</v>
      </c>
      <c r="B123">
        <v>111</v>
      </c>
      <c r="C123">
        <v>64</v>
      </c>
      <c r="D123">
        <v>39</v>
      </c>
      <c r="E123">
        <v>80</v>
      </c>
      <c r="F123">
        <v>34</v>
      </c>
      <c r="G123">
        <v>0.67200000000000004</v>
      </c>
      <c r="H123">
        <v>24</v>
      </c>
      <c r="I123">
        <v>0</v>
      </c>
      <c r="J123">
        <f>IF(AND(Table2[[#This Row],[BMI]]&gt;=23,Table2[[#This Row],[Outcome]]=1),1,0)</f>
        <v>0</v>
      </c>
      <c r="K123">
        <f>IF(AND(Table2[[#This Row],[BMI+Outcome]]=1,Table2[[#This Row],[Glucose]]&gt;=100),1,0)</f>
        <v>0</v>
      </c>
      <c r="L123">
        <f>IF(AND(Table2[[#This Row],[Outcome]]=1,Table2[[#This Row],[Glucose]]&gt;=100),1,0)</f>
        <v>0</v>
      </c>
    </row>
    <row r="124" spans="1:12" x14ac:dyDescent="0.25">
      <c r="A124">
        <v>2</v>
      </c>
      <c r="B124">
        <v>107</v>
      </c>
      <c r="C124">
        <v>74</v>
      </c>
      <c r="D124">
        <v>30</v>
      </c>
      <c r="E124">
        <v>100</v>
      </c>
      <c r="F124">
        <v>34</v>
      </c>
      <c r="G124">
        <v>0.67200000000000004</v>
      </c>
      <c r="H124">
        <v>23</v>
      </c>
      <c r="I124">
        <v>0</v>
      </c>
      <c r="J124">
        <f>IF(AND(Table2[[#This Row],[BMI]]&gt;=23,Table2[[#This Row],[Outcome]]=1),1,0)</f>
        <v>0</v>
      </c>
      <c r="K124">
        <f>IF(AND(Table2[[#This Row],[BMI+Outcome]]=1,Table2[[#This Row],[Glucose]]&gt;=100),1,0)</f>
        <v>0</v>
      </c>
      <c r="L124">
        <f>IF(AND(Table2[[#This Row],[Outcome]]=1,Table2[[#This Row],[Glucose]]&gt;=100),1,0)</f>
        <v>0</v>
      </c>
    </row>
    <row r="125" spans="1:12" x14ac:dyDescent="0.25">
      <c r="A125">
        <v>5</v>
      </c>
      <c r="B125">
        <v>132</v>
      </c>
      <c r="C125">
        <v>80</v>
      </c>
      <c r="D125">
        <v>21</v>
      </c>
      <c r="E125">
        <v>80</v>
      </c>
      <c r="F125">
        <v>27</v>
      </c>
      <c r="G125">
        <v>0.67200000000000004</v>
      </c>
      <c r="H125">
        <v>69</v>
      </c>
      <c r="I125">
        <v>0</v>
      </c>
      <c r="J125">
        <f>IF(AND(Table2[[#This Row],[BMI]]&gt;=23,Table2[[#This Row],[Outcome]]=1),1,0)</f>
        <v>0</v>
      </c>
      <c r="K125">
        <f>IF(AND(Table2[[#This Row],[BMI+Outcome]]=1,Table2[[#This Row],[Glucose]]&gt;=100),1,0)</f>
        <v>0</v>
      </c>
      <c r="L125">
        <f>IF(AND(Table2[[#This Row],[Outcome]]=1,Table2[[#This Row],[Glucose]]&gt;=100),1,0)</f>
        <v>0</v>
      </c>
    </row>
    <row r="126" spans="1:12" x14ac:dyDescent="0.25">
      <c r="A126">
        <v>4</v>
      </c>
      <c r="B126">
        <v>113</v>
      </c>
      <c r="C126">
        <v>76</v>
      </c>
      <c r="D126">
        <v>21</v>
      </c>
      <c r="E126">
        <v>80</v>
      </c>
      <c r="F126">
        <v>33</v>
      </c>
      <c r="G126">
        <v>0.67200000000000004</v>
      </c>
      <c r="H126">
        <v>23</v>
      </c>
      <c r="I126">
        <v>1</v>
      </c>
      <c r="J126">
        <f>IF(AND(Table2[[#This Row],[BMI]]&gt;=23,Table2[[#This Row],[Outcome]]=1),1,0)</f>
        <v>1</v>
      </c>
      <c r="K126">
        <f>IF(AND(Table2[[#This Row],[BMI+Outcome]]=1,Table2[[#This Row],[Glucose]]&gt;=100),1,0)</f>
        <v>1</v>
      </c>
      <c r="L126">
        <f>IF(AND(Table2[[#This Row],[Outcome]]=1,Table2[[#This Row],[Glucose]]&gt;=100),1,0)</f>
        <v>1</v>
      </c>
    </row>
    <row r="127" spans="1:12" x14ac:dyDescent="0.25">
      <c r="A127">
        <v>1</v>
      </c>
      <c r="B127">
        <v>88</v>
      </c>
      <c r="C127">
        <v>30</v>
      </c>
      <c r="D127">
        <v>42</v>
      </c>
      <c r="E127">
        <v>99</v>
      </c>
      <c r="F127">
        <v>55</v>
      </c>
      <c r="G127">
        <v>0.67200000000000004</v>
      </c>
      <c r="H127">
        <v>26</v>
      </c>
      <c r="I127">
        <v>1</v>
      </c>
      <c r="J127">
        <f>IF(AND(Table2[[#This Row],[BMI]]&gt;=23,Table2[[#This Row],[Outcome]]=1),1,0)</f>
        <v>1</v>
      </c>
      <c r="K127">
        <f>IF(AND(Table2[[#This Row],[BMI+Outcome]]=1,Table2[[#This Row],[Glucose]]&gt;=100),1,0)</f>
        <v>0</v>
      </c>
      <c r="L127">
        <f>IF(AND(Table2[[#This Row],[Outcome]]=1,Table2[[#This Row],[Glucose]]&gt;=100),1,0)</f>
        <v>0</v>
      </c>
    </row>
    <row r="128" spans="1:12" x14ac:dyDescent="0.25">
      <c r="A128">
        <v>3</v>
      </c>
      <c r="B128">
        <v>120</v>
      </c>
      <c r="C128">
        <v>70</v>
      </c>
      <c r="D128">
        <v>30</v>
      </c>
      <c r="E128">
        <v>135</v>
      </c>
      <c r="F128">
        <v>43</v>
      </c>
      <c r="G128">
        <v>0.67200000000000004</v>
      </c>
      <c r="H128">
        <v>30</v>
      </c>
      <c r="I128">
        <v>0</v>
      </c>
      <c r="J128">
        <f>IF(AND(Table2[[#This Row],[BMI]]&gt;=23,Table2[[#This Row],[Outcome]]=1),1,0)</f>
        <v>0</v>
      </c>
      <c r="K128">
        <f>IF(AND(Table2[[#This Row],[BMI+Outcome]]=1,Table2[[#This Row],[Glucose]]&gt;=100),1,0)</f>
        <v>0</v>
      </c>
      <c r="L128">
        <f>IF(AND(Table2[[#This Row],[Outcome]]=1,Table2[[#This Row],[Glucose]]&gt;=100),1,0)</f>
        <v>0</v>
      </c>
    </row>
    <row r="129" spans="1:12" x14ac:dyDescent="0.25">
      <c r="A129">
        <v>1</v>
      </c>
      <c r="B129">
        <v>118</v>
      </c>
      <c r="C129">
        <v>58</v>
      </c>
      <c r="D129">
        <v>36</v>
      </c>
      <c r="E129">
        <v>94</v>
      </c>
      <c r="F129">
        <v>33</v>
      </c>
      <c r="G129">
        <v>0.67200000000000004</v>
      </c>
      <c r="H129">
        <v>23</v>
      </c>
      <c r="I129">
        <v>0</v>
      </c>
      <c r="J129">
        <f>IF(AND(Table2[[#This Row],[BMI]]&gt;=23,Table2[[#This Row],[Outcome]]=1),1,0)</f>
        <v>0</v>
      </c>
      <c r="K129">
        <f>IF(AND(Table2[[#This Row],[BMI+Outcome]]=1,Table2[[#This Row],[Glucose]]&gt;=100),1,0)</f>
        <v>0</v>
      </c>
      <c r="L129">
        <f>IF(AND(Table2[[#This Row],[Outcome]]=1,Table2[[#This Row],[Glucose]]&gt;=100),1,0)</f>
        <v>0</v>
      </c>
    </row>
    <row r="130" spans="1:12" x14ac:dyDescent="0.25">
      <c r="A130">
        <v>1</v>
      </c>
      <c r="B130">
        <v>117</v>
      </c>
      <c r="C130">
        <v>88</v>
      </c>
      <c r="D130">
        <v>24</v>
      </c>
      <c r="E130">
        <v>145</v>
      </c>
      <c r="F130">
        <v>34</v>
      </c>
      <c r="G130">
        <v>0.67200000000000004</v>
      </c>
      <c r="H130">
        <v>40</v>
      </c>
      <c r="I130">
        <v>1</v>
      </c>
      <c r="J130">
        <f>IF(AND(Table2[[#This Row],[BMI]]&gt;=23,Table2[[#This Row],[Outcome]]=1),1,0)</f>
        <v>1</v>
      </c>
      <c r="K130">
        <f>IF(AND(Table2[[#This Row],[BMI+Outcome]]=1,Table2[[#This Row],[Glucose]]&gt;=100),1,0)</f>
        <v>1</v>
      </c>
      <c r="L130">
        <f>IF(AND(Table2[[#This Row],[Outcome]]=1,Table2[[#This Row],[Glucose]]&gt;=100),1,0)</f>
        <v>1</v>
      </c>
    </row>
    <row r="131" spans="1:12" x14ac:dyDescent="0.25">
      <c r="A131">
        <v>4</v>
      </c>
      <c r="B131">
        <v>105</v>
      </c>
      <c r="C131">
        <v>84</v>
      </c>
      <c r="D131">
        <v>21</v>
      </c>
      <c r="E131">
        <v>80</v>
      </c>
      <c r="F131">
        <v>28</v>
      </c>
      <c r="G131">
        <v>0.67200000000000004</v>
      </c>
      <c r="H131">
        <v>62</v>
      </c>
      <c r="I131">
        <v>1</v>
      </c>
      <c r="J131">
        <f>IF(AND(Table2[[#This Row],[BMI]]&gt;=23,Table2[[#This Row],[Outcome]]=1),1,0)</f>
        <v>1</v>
      </c>
      <c r="K131">
        <f>IF(AND(Table2[[#This Row],[BMI+Outcome]]=1,Table2[[#This Row],[Glucose]]&gt;=100),1,0)</f>
        <v>1</v>
      </c>
      <c r="L131">
        <f>IF(AND(Table2[[#This Row],[Outcome]]=1,Table2[[#This Row],[Glucose]]&gt;=100),1,0)</f>
        <v>1</v>
      </c>
    </row>
    <row r="132" spans="1:12" x14ac:dyDescent="0.25">
      <c r="A132">
        <v>4</v>
      </c>
      <c r="B132">
        <v>173</v>
      </c>
      <c r="C132">
        <v>70</v>
      </c>
      <c r="D132">
        <v>14</v>
      </c>
      <c r="E132">
        <v>168</v>
      </c>
      <c r="F132">
        <v>30</v>
      </c>
      <c r="G132">
        <v>0.67200000000000004</v>
      </c>
      <c r="H132">
        <v>33</v>
      </c>
      <c r="I132">
        <v>1</v>
      </c>
      <c r="J132">
        <f>IF(AND(Table2[[#This Row],[BMI]]&gt;=23,Table2[[#This Row],[Outcome]]=1),1,0)</f>
        <v>1</v>
      </c>
      <c r="K132">
        <f>IF(AND(Table2[[#This Row],[BMI+Outcome]]=1,Table2[[#This Row],[Glucose]]&gt;=100),1,0)</f>
        <v>1</v>
      </c>
      <c r="L132">
        <f>IF(AND(Table2[[#This Row],[Outcome]]=1,Table2[[#This Row],[Glucose]]&gt;=100),1,0)</f>
        <v>1</v>
      </c>
    </row>
    <row r="133" spans="1:12" x14ac:dyDescent="0.25">
      <c r="A133">
        <v>9</v>
      </c>
      <c r="B133">
        <v>122</v>
      </c>
      <c r="C133">
        <v>56</v>
      </c>
      <c r="D133">
        <v>21</v>
      </c>
      <c r="E133">
        <v>80</v>
      </c>
      <c r="F133">
        <v>33</v>
      </c>
      <c r="G133">
        <v>0.67200000000000004</v>
      </c>
      <c r="H133">
        <v>33</v>
      </c>
      <c r="I133">
        <v>1</v>
      </c>
      <c r="J133">
        <f>IF(AND(Table2[[#This Row],[BMI]]&gt;=23,Table2[[#This Row],[Outcome]]=1),1,0)</f>
        <v>1</v>
      </c>
      <c r="K133">
        <f>IF(AND(Table2[[#This Row],[BMI+Outcome]]=1,Table2[[#This Row],[Glucose]]&gt;=100),1,0)</f>
        <v>1</v>
      </c>
      <c r="L133">
        <f>IF(AND(Table2[[#This Row],[Outcome]]=1,Table2[[#This Row],[Glucose]]&gt;=100),1,0)</f>
        <v>1</v>
      </c>
    </row>
    <row r="134" spans="1:12" x14ac:dyDescent="0.25">
      <c r="A134">
        <v>3</v>
      </c>
      <c r="B134">
        <v>170</v>
      </c>
      <c r="C134">
        <v>64</v>
      </c>
      <c r="D134">
        <v>37</v>
      </c>
      <c r="E134">
        <v>225</v>
      </c>
      <c r="F134">
        <v>34</v>
      </c>
      <c r="G134">
        <v>0.67200000000000004</v>
      </c>
      <c r="H134">
        <v>30</v>
      </c>
      <c r="I134">
        <v>1</v>
      </c>
      <c r="J134">
        <f>IF(AND(Table2[[#This Row],[BMI]]&gt;=23,Table2[[#This Row],[Outcome]]=1),1,0)</f>
        <v>1</v>
      </c>
      <c r="K134">
        <f>IF(AND(Table2[[#This Row],[BMI+Outcome]]=1,Table2[[#This Row],[Glucose]]&gt;=100),1,0)</f>
        <v>1</v>
      </c>
      <c r="L134">
        <f>IF(AND(Table2[[#This Row],[Outcome]]=1,Table2[[#This Row],[Glucose]]&gt;=100),1,0)</f>
        <v>1</v>
      </c>
    </row>
    <row r="135" spans="1:12" x14ac:dyDescent="0.25">
      <c r="A135">
        <v>8</v>
      </c>
      <c r="B135">
        <v>84</v>
      </c>
      <c r="C135">
        <v>74</v>
      </c>
      <c r="D135">
        <v>31</v>
      </c>
      <c r="E135">
        <v>80</v>
      </c>
      <c r="F135">
        <v>38</v>
      </c>
      <c r="G135">
        <v>0.67200000000000004</v>
      </c>
      <c r="H135">
        <v>39</v>
      </c>
      <c r="I135">
        <v>0</v>
      </c>
      <c r="J135">
        <f>IF(AND(Table2[[#This Row],[BMI]]&gt;=23,Table2[[#This Row],[Outcome]]=1),1,0)</f>
        <v>0</v>
      </c>
      <c r="K135">
        <f>IF(AND(Table2[[#This Row],[BMI+Outcome]]=1,Table2[[#This Row],[Glucose]]&gt;=100),1,0)</f>
        <v>0</v>
      </c>
      <c r="L135">
        <f>IF(AND(Table2[[#This Row],[Outcome]]=1,Table2[[#This Row],[Glucose]]&gt;=100),1,0)</f>
        <v>0</v>
      </c>
    </row>
    <row r="136" spans="1:12" x14ac:dyDescent="0.25">
      <c r="A136">
        <v>2</v>
      </c>
      <c r="B136">
        <v>96</v>
      </c>
      <c r="C136">
        <v>68</v>
      </c>
      <c r="D136">
        <v>13</v>
      </c>
      <c r="E136">
        <v>49</v>
      </c>
      <c r="F136">
        <v>21</v>
      </c>
      <c r="G136">
        <v>0.67200000000000004</v>
      </c>
      <c r="H136">
        <v>26</v>
      </c>
      <c r="I136">
        <v>0</v>
      </c>
      <c r="J136">
        <f>IF(AND(Table2[[#This Row],[BMI]]&gt;=23,Table2[[#This Row],[Outcome]]=1),1,0)</f>
        <v>0</v>
      </c>
      <c r="K136">
        <f>IF(AND(Table2[[#This Row],[BMI+Outcome]]=1,Table2[[#This Row],[Glucose]]&gt;=100),1,0)</f>
        <v>0</v>
      </c>
      <c r="L136">
        <f>IF(AND(Table2[[#This Row],[Outcome]]=1,Table2[[#This Row],[Glucose]]&gt;=100),1,0)</f>
        <v>0</v>
      </c>
    </row>
    <row r="137" spans="1:12" x14ac:dyDescent="0.25">
      <c r="A137">
        <v>2</v>
      </c>
      <c r="B137">
        <v>125</v>
      </c>
      <c r="C137">
        <v>60</v>
      </c>
      <c r="D137">
        <v>20</v>
      </c>
      <c r="E137">
        <v>140</v>
      </c>
      <c r="F137">
        <v>34</v>
      </c>
      <c r="G137">
        <v>0.67200000000000004</v>
      </c>
      <c r="H137">
        <v>31</v>
      </c>
      <c r="I137">
        <v>0</v>
      </c>
      <c r="J137">
        <f>IF(AND(Table2[[#This Row],[BMI]]&gt;=23,Table2[[#This Row],[Outcome]]=1),1,0)</f>
        <v>0</v>
      </c>
      <c r="K137">
        <f>IF(AND(Table2[[#This Row],[BMI+Outcome]]=1,Table2[[#This Row],[Glucose]]&gt;=100),1,0)</f>
        <v>0</v>
      </c>
      <c r="L137">
        <f>IF(AND(Table2[[#This Row],[Outcome]]=1,Table2[[#This Row],[Glucose]]&gt;=100),1,0)</f>
        <v>0</v>
      </c>
    </row>
    <row r="138" spans="1:12" x14ac:dyDescent="0.25">
      <c r="A138">
        <v>4</v>
      </c>
      <c r="B138">
        <v>100</v>
      </c>
      <c r="C138">
        <v>70</v>
      </c>
      <c r="D138">
        <v>26</v>
      </c>
      <c r="E138">
        <v>50</v>
      </c>
      <c r="F138">
        <v>31</v>
      </c>
      <c r="G138">
        <v>0.67200000000000004</v>
      </c>
      <c r="H138">
        <v>21</v>
      </c>
      <c r="I138">
        <v>0</v>
      </c>
      <c r="J138">
        <f>IF(AND(Table2[[#This Row],[BMI]]&gt;=23,Table2[[#This Row],[Outcome]]=1),1,0)</f>
        <v>0</v>
      </c>
      <c r="K138">
        <f>IF(AND(Table2[[#This Row],[BMI+Outcome]]=1,Table2[[#This Row],[Glucose]]&gt;=100),1,0)</f>
        <v>0</v>
      </c>
      <c r="L138">
        <f>IF(AND(Table2[[#This Row],[Outcome]]=1,Table2[[#This Row],[Glucose]]&gt;=100),1,0)</f>
        <v>0</v>
      </c>
    </row>
    <row r="139" spans="1:12" x14ac:dyDescent="0.25">
      <c r="A139">
        <v>4</v>
      </c>
      <c r="B139">
        <v>93</v>
      </c>
      <c r="C139">
        <v>60</v>
      </c>
      <c r="D139">
        <v>25</v>
      </c>
      <c r="E139">
        <v>92</v>
      </c>
      <c r="F139">
        <v>29</v>
      </c>
      <c r="G139">
        <v>0.67200000000000004</v>
      </c>
      <c r="H139">
        <v>22</v>
      </c>
      <c r="I139">
        <v>0</v>
      </c>
      <c r="J139">
        <f>IF(AND(Table2[[#This Row],[BMI]]&gt;=23,Table2[[#This Row],[Outcome]]=1),1,0)</f>
        <v>0</v>
      </c>
      <c r="K139">
        <f>IF(AND(Table2[[#This Row],[BMI+Outcome]]=1,Table2[[#This Row],[Glucose]]&gt;=100),1,0)</f>
        <v>0</v>
      </c>
      <c r="L139">
        <f>IF(AND(Table2[[#This Row],[Outcome]]=1,Table2[[#This Row],[Glucose]]&gt;=100),1,0)</f>
        <v>0</v>
      </c>
    </row>
    <row r="140" spans="1:12" x14ac:dyDescent="0.25">
      <c r="A140">
        <v>4</v>
      </c>
      <c r="B140">
        <v>129</v>
      </c>
      <c r="C140">
        <v>80</v>
      </c>
      <c r="D140">
        <v>21</v>
      </c>
      <c r="E140">
        <v>80</v>
      </c>
      <c r="F140">
        <v>31</v>
      </c>
      <c r="G140">
        <v>0.67200000000000004</v>
      </c>
      <c r="H140">
        <v>29</v>
      </c>
      <c r="I140">
        <v>0</v>
      </c>
      <c r="J140">
        <f>IF(AND(Table2[[#This Row],[BMI]]&gt;=23,Table2[[#This Row],[Outcome]]=1),1,0)</f>
        <v>0</v>
      </c>
      <c r="K140">
        <f>IF(AND(Table2[[#This Row],[BMI+Outcome]]=1,Table2[[#This Row],[Glucose]]&gt;=100),1,0)</f>
        <v>0</v>
      </c>
      <c r="L140">
        <f>IF(AND(Table2[[#This Row],[Outcome]]=1,Table2[[#This Row],[Glucose]]&gt;=100),1,0)</f>
        <v>0</v>
      </c>
    </row>
    <row r="141" spans="1:12" x14ac:dyDescent="0.25">
      <c r="A141">
        <v>5</v>
      </c>
      <c r="B141">
        <v>105</v>
      </c>
      <c r="C141">
        <v>72</v>
      </c>
      <c r="D141">
        <v>29</v>
      </c>
      <c r="E141">
        <v>325</v>
      </c>
      <c r="F141">
        <v>37</v>
      </c>
      <c r="G141">
        <v>0.67200000000000004</v>
      </c>
      <c r="H141">
        <v>28</v>
      </c>
      <c r="I141">
        <v>0</v>
      </c>
      <c r="J141">
        <f>IF(AND(Table2[[#This Row],[BMI]]&gt;=23,Table2[[#This Row],[Outcome]]=1),1,0)</f>
        <v>0</v>
      </c>
      <c r="K141">
        <f>IF(AND(Table2[[#This Row],[BMI+Outcome]]=1,Table2[[#This Row],[Glucose]]&gt;=100),1,0)</f>
        <v>0</v>
      </c>
      <c r="L141">
        <f>IF(AND(Table2[[#This Row],[Outcome]]=1,Table2[[#This Row],[Glucose]]&gt;=100),1,0)</f>
        <v>0</v>
      </c>
    </row>
    <row r="142" spans="1:12" x14ac:dyDescent="0.25">
      <c r="A142">
        <v>3</v>
      </c>
      <c r="B142">
        <v>128</v>
      </c>
      <c r="C142">
        <v>78</v>
      </c>
      <c r="D142">
        <v>21</v>
      </c>
      <c r="E142">
        <v>80</v>
      </c>
      <c r="F142">
        <v>21</v>
      </c>
      <c r="G142">
        <v>0.67200000000000004</v>
      </c>
      <c r="H142">
        <v>55</v>
      </c>
      <c r="I142">
        <v>0</v>
      </c>
      <c r="J142">
        <f>IF(AND(Table2[[#This Row],[BMI]]&gt;=23,Table2[[#This Row],[Outcome]]=1),1,0)</f>
        <v>0</v>
      </c>
      <c r="K142">
        <f>IF(AND(Table2[[#This Row],[BMI+Outcome]]=1,Table2[[#This Row],[Glucose]]&gt;=100),1,0)</f>
        <v>0</v>
      </c>
      <c r="L142">
        <f>IF(AND(Table2[[#This Row],[Outcome]]=1,Table2[[#This Row],[Glucose]]&gt;=100),1,0)</f>
        <v>0</v>
      </c>
    </row>
    <row r="143" spans="1:12" x14ac:dyDescent="0.25">
      <c r="A143">
        <v>5</v>
      </c>
      <c r="B143">
        <v>106</v>
      </c>
      <c r="C143">
        <v>82</v>
      </c>
      <c r="D143">
        <v>30</v>
      </c>
      <c r="E143">
        <v>80</v>
      </c>
      <c r="F143">
        <v>40</v>
      </c>
      <c r="G143">
        <v>0.67200000000000004</v>
      </c>
      <c r="H143">
        <v>38</v>
      </c>
      <c r="I143">
        <v>0</v>
      </c>
      <c r="J143">
        <f>IF(AND(Table2[[#This Row],[BMI]]&gt;=23,Table2[[#This Row],[Outcome]]=1),1,0)</f>
        <v>0</v>
      </c>
      <c r="K143">
        <f>IF(AND(Table2[[#This Row],[BMI+Outcome]]=1,Table2[[#This Row],[Glucose]]&gt;=100),1,0)</f>
        <v>0</v>
      </c>
      <c r="L143">
        <f>IF(AND(Table2[[#This Row],[Outcome]]=1,Table2[[#This Row],[Glucose]]&gt;=100),1,0)</f>
        <v>0</v>
      </c>
    </row>
    <row r="144" spans="1:12" x14ac:dyDescent="0.25">
      <c r="A144">
        <v>2</v>
      </c>
      <c r="B144">
        <v>108</v>
      </c>
      <c r="C144">
        <v>52</v>
      </c>
      <c r="D144">
        <v>26</v>
      </c>
      <c r="E144">
        <v>63</v>
      </c>
      <c r="F144">
        <v>32</v>
      </c>
      <c r="G144">
        <v>0.67200000000000004</v>
      </c>
      <c r="H144">
        <v>22</v>
      </c>
      <c r="I144">
        <v>0</v>
      </c>
      <c r="J144">
        <f>IF(AND(Table2[[#This Row],[BMI]]&gt;=23,Table2[[#This Row],[Outcome]]=1),1,0)</f>
        <v>0</v>
      </c>
      <c r="K144">
        <f>IF(AND(Table2[[#This Row],[BMI+Outcome]]=1,Table2[[#This Row],[Glucose]]&gt;=100),1,0)</f>
        <v>0</v>
      </c>
      <c r="L144">
        <f>IF(AND(Table2[[#This Row],[Outcome]]=1,Table2[[#This Row],[Glucose]]&gt;=100),1,0)</f>
        <v>0</v>
      </c>
    </row>
    <row r="145" spans="1:12" x14ac:dyDescent="0.25">
      <c r="A145">
        <v>10</v>
      </c>
      <c r="B145">
        <v>108</v>
      </c>
      <c r="C145">
        <v>66</v>
      </c>
      <c r="D145">
        <v>21</v>
      </c>
      <c r="E145">
        <v>80</v>
      </c>
      <c r="F145">
        <v>32</v>
      </c>
      <c r="G145">
        <v>0.67200000000000004</v>
      </c>
      <c r="H145">
        <v>42</v>
      </c>
      <c r="I145">
        <v>1</v>
      </c>
      <c r="J145">
        <f>IF(AND(Table2[[#This Row],[BMI]]&gt;=23,Table2[[#This Row],[Outcome]]=1),1,0)</f>
        <v>1</v>
      </c>
      <c r="K145">
        <f>IF(AND(Table2[[#This Row],[BMI+Outcome]]=1,Table2[[#This Row],[Glucose]]&gt;=100),1,0)</f>
        <v>1</v>
      </c>
      <c r="L145">
        <f>IF(AND(Table2[[#This Row],[Outcome]]=1,Table2[[#This Row],[Glucose]]&gt;=100),1,0)</f>
        <v>1</v>
      </c>
    </row>
    <row r="146" spans="1:12" x14ac:dyDescent="0.25">
      <c r="A146">
        <v>4</v>
      </c>
      <c r="B146">
        <v>154</v>
      </c>
      <c r="C146">
        <v>62</v>
      </c>
      <c r="D146">
        <v>31</v>
      </c>
      <c r="E146">
        <v>284</v>
      </c>
      <c r="F146">
        <v>33</v>
      </c>
      <c r="G146">
        <v>0.67200000000000004</v>
      </c>
      <c r="H146">
        <v>23</v>
      </c>
      <c r="I146">
        <v>0</v>
      </c>
      <c r="J146">
        <f>IF(AND(Table2[[#This Row],[BMI]]&gt;=23,Table2[[#This Row],[Outcome]]=1),1,0)</f>
        <v>0</v>
      </c>
      <c r="K146">
        <f>IF(AND(Table2[[#This Row],[BMI+Outcome]]=1,Table2[[#This Row],[Glucose]]&gt;=100),1,0)</f>
        <v>0</v>
      </c>
      <c r="L146">
        <f>IF(AND(Table2[[#This Row],[Outcome]]=1,Table2[[#This Row],[Glucose]]&gt;=100),1,0)</f>
        <v>0</v>
      </c>
    </row>
    <row r="147" spans="1:12" x14ac:dyDescent="0.25">
      <c r="A147">
        <v>4</v>
      </c>
      <c r="B147">
        <v>102</v>
      </c>
      <c r="C147">
        <v>75</v>
      </c>
      <c r="D147">
        <v>23</v>
      </c>
      <c r="E147">
        <v>80</v>
      </c>
      <c r="F147">
        <v>32</v>
      </c>
      <c r="G147">
        <v>0.67200000000000004</v>
      </c>
      <c r="H147">
        <v>21</v>
      </c>
      <c r="I147">
        <v>0</v>
      </c>
      <c r="J147">
        <f>IF(AND(Table2[[#This Row],[BMI]]&gt;=23,Table2[[#This Row],[Outcome]]=1),1,0)</f>
        <v>0</v>
      </c>
      <c r="K147">
        <f>IF(AND(Table2[[#This Row],[BMI+Outcome]]=1,Table2[[#This Row],[Glucose]]&gt;=100),1,0)</f>
        <v>0</v>
      </c>
      <c r="L147">
        <f>IF(AND(Table2[[#This Row],[Outcome]]=1,Table2[[#This Row],[Glucose]]&gt;=100),1,0)</f>
        <v>0</v>
      </c>
    </row>
    <row r="148" spans="1:12" x14ac:dyDescent="0.25">
      <c r="A148">
        <v>9</v>
      </c>
      <c r="B148">
        <v>57</v>
      </c>
      <c r="C148">
        <v>80</v>
      </c>
      <c r="D148">
        <v>37</v>
      </c>
      <c r="E148">
        <v>80</v>
      </c>
      <c r="F148">
        <v>33</v>
      </c>
      <c r="G148">
        <v>0.67200000000000004</v>
      </c>
      <c r="H148">
        <v>41</v>
      </c>
      <c r="I148">
        <v>0</v>
      </c>
      <c r="J148">
        <f>IF(AND(Table2[[#This Row],[BMI]]&gt;=23,Table2[[#This Row],[Outcome]]=1),1,0)</f>
        <v>0</v>
      </c>
      <c r="K148">
        <f>IF(AND(Table2[[#This Row],[BMI+Outcome]]=1,Table2[[#This Row],[Glucose]]&gt;=100),1,0)</f>
        <v>0</v>
      </c>
      <c r="L148">
        <f>IF(AND(Table2[[#This Row],[Outcome]]=1,Table2[[#This Row],[Glucose]]&gt;=100),1,0)</f>
        <v>0</v>
      </c>
    </row>
    <row r="149" spans="1:12" x14ac:dyDescent="0.25">
      <c r="A149">
        <v>2</v>
      </c>
      <c r="B149">
        <v>106</v>
      </c>
      <c r="C149">
        <v>64</v>
      </c>
      <c r="D149">
        <v>35</v>
      </c>
      <c r="E149">
        <v>119</v>
      </c>
      <c r="F149">
        <v>30</v>
      </c>
      <c r="G149">
        <v>0.67200000000000004</v>
      </c>
      <c r="H149">
        <v>34</v>
      </c>
      <c r="I149">
        <v>0</v>
      </c>
      <c r="J149">
        <f>IF(AND(Table2[[#This Row],[BMI]]&gt;=23,Table2[[#This Row],[Outcome]]=1),1,0)</f>
        <v>0</v>
      </c>
      <c r="K149">
        <f>IF(AND(Table2[[#This Row],[BMI+Outcome]]=1,Table2[[#This Row],[Glucose]]&gt;=100),1,0)</f>
        <v>0</v>
      </c>
      <c r="L149">
        <f>IF(AND(Table2[[#This Row],[Outcome]]=1,Table2[[#This Row],[Glucose]]&gt;=100),1,0)</f>
        <v>0</v>
      </c>
    </row>
    <row r="150" spans="1:12" x14ac:dyDescent="0.25">
      <c r="A150">
        <v>5</v>
      </c>
      <c r="B150">
        <v>147</v>
      </c>
      <c r="C150">
        <v>78</v>
      </c>
      <c r="D150">
        <v>21</v>
      </c>
      <c r="E150">
        <v>80</v>
      </c>
      <c r="F150">
        <v>34</v>
      </c>
      <c r="G150">
        <v>0.67200000000000004</v>
      </c>
      <c r="H150">
        <v>65</v>
      </c>
      <c r="I150">
        <v>0</v>
      </c>
      <c r="J150">
        <f>IF(AND(Table2[[#This Row],[BMI]]&gt;=23,Table2[[#This Row],[Outcome]]=1),1,0)</f>
        <v>0</v>
      </c>
      <c r="K150">
        <f>IF(AND(Table2[[#This Row],[BMI+Outcome]]=1,Table2[[#This Row],[Glucose]]&gt;=100),1,0)</f>
        <v>0</v>
      </c>
      <c r="L150">
        <f>IF(AND(Table2[[#This Row],[Outcome]]=1,Table2[[#This Row],[Glucose]]&gt;=100),1,0)</f>
        <v>0</v>
      </c>
    </row>
    <row r="151" spans="1:12" x14ac:dyDescent="0.25">
      <c r="A151">
        <v>2</v>
      </c>
      <c r="B151">
        <v>90</v>
      </c>
      <c r="C151">
        <v>70</v>
      </c>
      <c r="D151">
        <v>17</v>
      </c>
      <c r="E151">
        <v>80</v>
      </c>
      <c r="F151">
        <v>27</v>
      </c>
      <c r="G151">
        <v>0.67200000000000004</v>
      </c>
      <c r="H151">
        <v>22</v>
      </c>
      <c r="I151">
        <v>0</v>
      </c>
      <c r="J151">
        <f>IF(AND(Table2[[#This Row],[BMI]]&gt;=23,Table2[[#This Row],[Outcome]]=1),1,0)</f>
        <v>0</v>
      </c>
      <c r="K151">
        <f>IF(AND(Table2[[#This Row],[BMI+Outcome]]=1,Table2[[#This Row],[Glucose]]&gt;=100),1,0)</f>
        <v>0</v>
      </c>
      <c r="L151">
        <f>IF(AND(Table2[[#This Row],[Outcome]]=1,Table2[[#This Row],[Glucose]]&gt;=100),1,0)</f>
        <v>0</v>
      </c>
    </row>
    <row r="152" spans="1:12" x14ac:dyDescent="0.25">
      <c r="A152">
        <v>1</v>
      </c>
      <c r="B152">
        <v>136</v>
      </c>
      <c r="C152">
        <v>74</v>
      </c>
      <c r="D152">
        <v>50</v>
      </c>
      <c r="E152">
        <v>204</v>
      </c>
      <c r="F152">
        <v>37</v>
      </c>
      <c r="G152">
        <v>0.67200000000000004</v>
      </c>
      <c r="H152">
        <v>24</v>
      </c>
      <c r="I152">
        <v>0</v>
      </c>
      <c r="J152">
        <f>IF(AND(Table2[[#This Row],[BMI]]&gt;=23,Table2[[#This Row],[Outcome]]=1),1,0)</f>
        <v>0</v>
      </c>
      <c r="K152">
        <f>IF(AND(Table2[[#This Row],[BMI+Outcome]]=1,Table2[[#This Row],[Glucose]]&gt;=100),1,0)</f>
        <v>0</v>
      </c>
      <c r="L152">
        <f>IF(AND(Table2[[#This Row],[Outcome]]=1,Table2[[#This Row],[Glucose]]&gt;=100),1,0)</f>
        <v>0</v>
      </c>
    </row>
    <row r="153" spans="1:12" x14ac:dyDescent="0.25">
      <c r="A153">
        <v>4</v>
      </c>
      <c r="B153">
        <v>114</v>
      </c>
      <c r="C153">
        <v>65</v>
      </c>
      <c r="D153">
        <v>21</v>
      </c>
      <c r="E153">
        <v>80</v>
      </c>
      <c r="F153">
        <v>22</v>
      </c>
      <c r="G153">
        <v>0.67200000000000004</v>
      </c>
      <c r="H153">
        <v>37</v>
      </c>
      <c r="I153">
        <v>0</v>
      </c>
      <c r="J153">
        <f>IF(AND(Table2[[#This Row],[BMI]]&gt;=23,Table2[[#This Row],[Outcome]]=1),1,0)</f>
        <v>0</v>
      </c>
      <c r="K153">
        <f>IF(AND(Table2[[#This Row],[BMI+Outcome]]=1,Table2[[#This Row],[Glucose]]&gt;=100),1,0)</f>
        <v>0</v>
      </c>
      <c r="L153">
        <f>IF(AND(Table2[[#This Row],[Outcome]]=1,Table2[[#This Row],[Glucose]]&gt;=100),1,0)</f>
        <v>0</v>
      </c>
    </row>
    <row r="154" spans="1:12" x14ac:dyDescent="0.25">
      <c r="A154">
        <v>9</v>
      </c>
      <c r="B154">
        <v>156</v>
      </c>
      <c r="C154">
        <v>86</v>
      </c>
      <c r="D154">
        <v>28</v>
      </c>
      <c r="E154">
        <v>155</v>
      </c>
      <c r="F154">
        <v>34</v>
      </c>
      <c r="G154">
        <v>0.67200000000000004</v>
      </c>
      <c r="H154">
        <v>42</v>
      </c>
      <c r="I154">
        <v>1</v>
      </c>
      <c r="J154">
        <f>IF(AND(Table2[[#This Row],[BMI]]&gt;=23,Table2[[#This Row],[Outcome]]=1),1,0)</f>
        <v>1</v>
      </c>
      <c r="K154">
        <f>IF(AND(Table2[[#This Row],[BMI+Outcome]]=1,Table2[[#This Row],[Glucose]]&gt;=100),1,0)</f>
        <v>1</v>
      </c>
      <c r="L154">
        <f>IF(AND(Table2[[#This Row],[Outcome]]=1,Table2[[#This Row],[Glucose]]&gt;=100),1,0)</f>
        <v>1</v>
      </c>
    </row>
    <row r="155" spans="1:12" x14ac:dyDescent="0.25">
      <c r="A155">
        <v>1</v>
      </c>
      <c r="B155">
        <v>153</v>
      </c>
      <c r="C155">
        <v>82</v>
      </c>
      <c r="D155">
        <v>42</v>
      </c>
      <c r="E155">
        <v>485</v>
      </c>
      <c r="F155">
        <v>41</v>
      </c>
      <c r="G155">
        <v>0.67200000000000004</v>
      </c>
      <c r="H155">
        <v>23</v>
      </c>
      <c r="I155">
        <v>0</v>
      </c>
      <c r="J155">
        <f>IF(AND(Table2[[#This Row],[BMI]]&gt;=23,Table2[[#This Row],[Outcome]]=1),1,0)</f>
        <v>0</v>
      </c>
      <c r="K155">
        <f>IF(AND(Table2[[#This Row],[BMI+Outcome]]=1,Table2[[#This Row],[Glucose]]&gt;=100),1,0)</f>
        <v>0</v>
      </c>
      <c r="L155">
        <f>IF(AND(Table2[[#This Row],[Outcome]]=1,Table2[[#This Row],[Glucose]]&gt;=100),1,0)</f>
        <v>0</v>
      </c>
    </row>
    <row r="156" spans="1:12" x14ac:dyDescent="0.25">
      <c r="A156">
        <v>8</v>
      </c>
      <c r="B156">
        <v>188</v>
      </c>
      <c r="C156">
        <v>78</v>
      </c>
      <c r="D156">
        <v>21</v>
      </c>
      <c r="E156">
        <v>80</v>
      </c>
      <c r="F156">
        <v>48</v>
      </c>
      <c r="G156">
        <v>0.67200000000000004</v>
      </c>
      <c r="H156">
        <v>43</v>
      </c>
      <c r="I156">
        <v>1</v>
      </c>
      <c r="J156">
        <f>IF(AND(Table2[[#This Row],[BMI]]&gt;=23,Table2[[#This Row],[Outcome]]=1),1,0)</f>
        <v>1</v>
      </c>
      <c r="K156">
        <f>IF(AND(Table2[[#This Row],[BMI+Outcome]]=1,Table2[[#This Row],[Glucose]]&gt;=100),1,0)</f>
        <v>1</v>
      </c>
      <c r="L156">
        <f>IF(AND(Table2[[#This Row],[Outcome]]=1,Table2[[#This Row],[Glucose]]&gt;=100),1,0)</f>
        <v>1</v>
      </c>
    </row>
    <row r="157" spans="1:12" x14ac:dyDescent="0.25">
      <c r="A157">
        <v>7</v>
      </c>
      <c r="B157">
        <v>152</v>
      </c>
      <c r="C157">
        <v>88</v>
      </c>
      <c r="D157">
        <v>44</v>
      </c>
      <c r="E157">
        <v>80</v>
      </c>
      <c r="F157">
        <v>50</v>
      </c>
      <c r="G157">
        <v>0.67200000000000004</v>
      </c>
      <c r="H157">
        <v>36</v>
      </c>
      <c r="I157">
        <v>1</v>
      </c>
      <c r="J157">
        <f>IF(AND(Table2[[#This Row],[BMI]]&gt;=23,Table2[[#This Row],[Outcome]]=1),1,0)</f>
        <v>1</v>
      </c>
      <c r="K157">
        <f>IF(AND(Table2[[#This Row],[BMI+Outcome]]=1,Table2[[#This Row],[Glucose]]&gt;=100),1,0)</f>
        <v>1</v>
      </c>
      <c r="L157">
        <f>IF(AND(Table2[[#This Row],[Outcome]]=1,Table2[[#This Row],[Glucose]]&gt;=100),1,0)</f>
        <v>1</v>
      </c>
    </row>
    <row r="158" spans="1:12" x14ac:dyDescent="0.25">
      <c r="A158">
        <v>2</v>
      </c>
      <c r="B158">
        <v>99</v>
      </c>
      <c r="C158">
        <v>52</v>
      </c>
      <c r="D158">
        <v>15</v>
      </c>
      <c r="E158">
        <v>94</v>
      </c>
      <c r="F158">
        <v>25</v>
      </c>
      <c r="G158">
        <v>0.67200000000000004</v>
      </c>
      <c r="H158">
        <v>21</v>
      </c>
      <c r="I158">
        <v>0</v>
      </c>
      <c r="J158">
        <f>IF(AND(Table2[[#This Row],[BMI]]&gt;=23,Table2[[#This Row],[Outcome]]=1),1,0)</f>
        <v>0</v>
      </c>
      <c r="K158">
        <f>IF(AND(Table2[[#This Row],[BMI+Outcome]]=1,Table2[[#This Row],[Glucose]]&gt;=100),1,0)</f>
        <v>0</v>
      </c>
      <c r="L158">
        <f>IF(AND(Table2[[#This Row],[Outcome]]=1,Table2[[#This Row],[Glucose]]&gt;=100),1,0)</f>
        <v>0</v>
      </c>
    </row>
    <row r="159" spans="1:12" x14ac:dyDescent="0.25">
      <c r="A159">
        <v>1</v>
      </c>
      <c r="B159">
        <v>109</v>
      </c>
      <c r="C159">
        <v>56</v>
      </c>
      <c r="D159">
        <v>21</v>
      </c>
      <c r="E159">
        <v>135</v>
      </c>
      <c r="F159">
        <v>25</v>
      </c>
      <c r="G159">
        <v>0.67200000000000004</v>
      </c>
      <c r="H159">
        <v>23</v>
      </c>
      <c r="I159">
        <v>0</v>
      </c>
      <c r="J159">
        <f>IF(AND(Table2[[#This Row],[BMI]]&gt;=23,Table2[[#This Row],[Outcome]]=1),1,0)</f>
        <v>0</v>
      </c>
      <c r="K159">
        <f>IF(AND(Table2[[#This Row],[BMI+Outcome]]=1,Table2[[#This Row],[Glucose]]&gt;=100),1,0)</f>
        <v>0</v>
      </c>
      <c r="L159">
        <f>IF(AND(Table2[[#This Row],[Outcome]]=1,Table2[[#This Row],[Glucose]]&gt;=100),1,0)</f>
        <v>0</v>
      </c>
    </row>
    <row r="160" spans="1:12" x14ac:dyDescent="0.25">
      <c r="A160">
        <v>2</v>
      </c>
      <c r="B160">
        <v>88</v>
      </c>
      <c r="C160">
        <v>74</v>
      </c>
      <c r="D160">
        <v>19</v>
      </c>
      <c r="E160">
        <v>53</v>
      </c>
      <c r="F160">
        <v>29</v>
      </c>
      <c r="G160">
        <v>0.67200000000000004</v>
      </c>
      <c r="H160">
        <v>22</v>
      </c>
      <c r="I160">
        <v>0</v>
      </c>
      <c r="J160">
        <f>IF(AND(Table2[[#This Row],[BMI]]&gt;=23,Table2[[#This Row],[Outcome]]=1),1,0)</f>
        <v>0</v>
      </c>
      <c r="K160">
        <f>IF(AND(Table2[[#This Row],[BMI+Outcome]]=1,Table2[[#This Row],[Glucose]]&gt;=100),1,0)</f>
        <v>0</v>
      </c>
      <c r="L160">
        <f>IF(AND(Table2[[#This Row],[Outcome]]=1,Table2[[#This Row],[Glucose]]&gt;=100),1,0)</f>
        <v>0</v>
      </c>
    </row>
    <row r="161" spans="1:12" x14ac:dyDescent="0.25">
      <c r="A161">
        <v>17</v>
      </c>
      <c r="B161">
        <v>163</v>
      </c>
      <c r="C161">
        <v>72</v>
      </c>
      <c r="D161">
        <v>41</v>
      </c>
      <c r="E161">
        <v>114</v>
      </c>
      <c r="F161">
        <v>41</v>
      </c>
      <c r="G161">
        <v>0.67200000000000004</v>
      </c>
      <c r="H161">
        <v>47</v>
      </c>
      <c r="I161">
        <v>1</v>
      </c>
      <c r="J161">
        <f>IF(AND(Table2[[#This Row],[BMI]]&gt;=23,Table2[[#This Row],[Outcome]]=1),1,0)</f>
        <v>1</v>
      </c>
      <c r="K161">
        <f>IF(AND(Table2[[#This Row],[BMI+Outcome]]=1,Table2[[#This Row],[Glucose]]&gt;=100),1,0)</f>
        <v>1</v>
      </c>
      <c r="L161">
        <f>IF(AND(Table2[[#This Row],[Outcome]]=1,Table2[[#This Row],[Glucose]]&gt;=100),1,0)</f>
        <v>1</v>
      </c>
    </row>
    <row r="162" spans="1:12" x14ac:dyDescent="0.25">
      <c r="A162">
        <v>4</v>
      </c>
      <c r="B162">
        <v>151</v>
      </c>
      <c r="C162">
        <v>90</v>
      </c>
      <c r="D162">
        <v>38</v>
      </c>
      <c r="E162">
        <v>80</v>
      </c>
      <c r="F162">
        <v>30</v>
      </c>
      <c r="G162">
        <v>0.67200000000000004</v>
      </c>
      <c r="H162">
        <v>36</v>
      </c>
      <c r="I162">
        <v>0</v>
      </c>
      <c r="J162">
        <f>IF(AND(Table2[[#This Row],[BMI]]&gt;=23,Table2[[#This Row],[Outcome]]=1),1,0)</f>
        <v>0</v>
      </c>
      <c r="K162">
        <f>IF(AND(Table2[[#This Row],[BMI+Outcome]]=1,Table2[[#This Row],[Glucose]]&gt;=100),1,0)</f>
        <v>0</v>
      </c>
      <c r="L162">
        <f>IF(AND(Table2[[#This Row],[Outcome]]=1,Table2[[#This Row],[Glucose]]&gt;=100),1,0)</f>
        <v>0</v>
      </c>
    </row>
    <row r="163" spans="1:12" x14ac:dyDescent="0.25">
      <c r="A163">
        <v>7</v>
      </c>
      <c r="B163">
        <v>102</v>
      </c>
      <c r="C163">
        <v>74</v>
      </c>
      <c r="D163">
        <v>40</v>
      </c>
      <c r="E163">
        <v>105</v>
      </c>
      <c r="F163">
        <v>37</v>
      </c>
      <c r="G163">
        <v>0.67200000000000004</v>
      </c>
      <c r="H163">
        <v>45</v>
      </c>
      <c r="I163">
        <v>0</v>
      </c>
      <c r="J163">
        <f>IF(AND(Table2[[#This Row],[BMI]]&gt;=23,Table2[[#This Row],[Outcome]]=1),1,0)</f>
        <v>0</v>
      </c>
      <c r="K163">
        <f>IF(AND(Table2[[#This Row],[BMI+Outcome]]=1,Table2[[#This Row],[Glucose]]&gt;=100),1,0)</f>
        <v>0</v>
      </c>
      <c r="L163">
        <f>IF(AND(Table2[[#This Row],[Outcome]]=1,Table2[[#This Row],[Glucose]]&gt;=100),1,0)</f>
        <v>0</v>
      </c>
    </row>
    <row r="164" spans="1:12" x14ac:dyDescent="0.25">
      <c r="A164">
        <v>4</v>
      </c>
      <c r="B164">
        <v>114</v>
      </c>
      <c r="C164">
        <v>80</v>
      </c>
      <c r="D164">
        <v>34</v>
      </c>
      <c r="E164">
        <v>285</v>
      </c>
      <c r="F164">
        <v>44</v>
      </c>
      <c r="G164">
        <v>0.67200000000000004</v>
      </c>
      <c r="H164">
        <v>27</v>
      </c>
      <c r="I164">
        <v>0</v>
      </c>
      <c r="J164">
        <f>IF(AND(Table2[[#This Row],[BMI]]&gt;=23,Table2[[#This Row],[Outcome]]=1),1,0)</f>
        <v>0</v>
      </c>
      <c r="K164">
        <f>IF(AND(Table2[[#This Row],[BMI+Outcome]]=1,Table2[[#This Row],[Glucose]]&gt;=100),1,0)</f>
        <v>0</v>
      </c>
      <c r="L164">
        <f>IF(AND(Table2[[#This Row],[Outcome]]=1,Table2[[#This Row],[Glucose]]&gt;=100),1,0)</f>
        <v>0</v>
      </c>
    </row>
    <row r="165" spans="1:12" x14ac:dyDescent="0.25">
      <c r="A165">
        <v>2</v>
      </c>
      <c r="B165">
        <v>100</v>
      </c>
      <c r="C165">
        <v>64</v>
      </c>
      <c r="D165">
        <v>23</v>
      </c>
      <c r="E165">
        <v>80</v>
      </c>
      <c r="F165">
        <v>30</v>
      </c>
      <c r="G165">
        <v>0.67200000000000004</v>
      </c>
      <c r="H165">
        <v>21</v>
      </c>
      <c r="I165">
        <v>0</v>
      </c>
      <c r="J165">
        <f>IF(AND(Table2[[#This Row],[BMI]]&gt;=23,Table2[[#This Row],[Outcome]]=1),1,0)</f>
        <v>0</v>
      </c>
      <c r="K165">
        <f>IF(AND(Table2[[#This Row],[BMI+Outcome]]=1,Table2[[#This Row],[Glucose]]&gt;=100),1,0)</f>
        <v>0</v>
      </c>
      <c r="L165">
        <f>IF(AND(Table2[[#This Row],[Outcome]]=1,Table2[[#This Row],[Glucose]]&gt;=100),1,0)</f>
        <v>0</v>
      </c>
    </row>
    <row r="166" spans="1:12" x14ac:dyDescent="0.25">
      <c r="A166">
        <v>4</v>
      </c>
      <c r="B166">
        <v>131</v>
      </c>
      <c r="C166">
        <v>88</v>
      </c>
      <c r="D166">
        <v>21</v>
      </c>
      <c r="E166">
        <v>80</v>
      </c>
      <c r="F166">
        <v>32</v>
      </c>
      <c r="G166">
        <v>0.67200000000000004</v>
      </c>
      <c r="H166">
        <v>32</v>
      </c>
      <c r="I166">
        <v>1</v>
      </c>
      <c r="J166">
        <f>IF(AND(Table2[[#This Row],[BMI]]&gt;=23,Table2[[#This Row],[Outcome]]=1),1,0)</f>
        <v>1</v>
      </c>
      <c r="K166">
        <f>IF(AND(Table2[[#This Row],[BMI+Outcome]]=1,Table2[[#This Row],[Glucose]]&gt;=100),1,0)</f>
        <v>1</v>
      </c>
      <c r="L166">
        <f>IF(AND(Table2[[#This Row],[Outcome]]=1,Table2[[#This Row],[Glucose]]&gt;=100),1,0)</f>
        <v>1</v>
      </c>
    </row>
    <row r="167" spans="1:12" x14ac:dyDescent="0.25">
      <c r="A167">
        <v>6</v>
      </c>
      <c r="B167">
        <v>104</v>
      </c>
      <c r="C167">
        <v>74</v>
      </c>
      <c r="D167">
        <v>18</v>
      </c>
      <c r="E167">
        <v>156</v>
      </c>
      <c r="F167">
        <v>30</v>
      </c>
      <c r="G167">
        <v>0.67200000000000004</v>
      </c>
      <c r="H167">
        <v>41</v>
      </c>
      <c r="I167">
        <v>1</v>
      </c>
      <c r="J167">
        <f>IF(AND(Table2[[#This Row],[BMI]]&gt;=23,Table2[[#This Row],[Outcome]]=1),1,0)</f>
        <v>1</v>
      </c>
      <c r="K167">
        <f>IF(AND(Table2[[#This Row],[BMI+Outcome]]=1,Table2[[#This Row],[Glucose]]&gt;=100),1,0)</f>
        <v>1</v>
      </c>
      <c r="L167">
        <f>IF(AND(Table2[[#This Row],[Outcome]]=1,Table2[[#This Row],[Glucose]]&gt;=100),1,0)</f>
        <v>1</v>
      </c>
    </row>
    <row r="168" spans="1:12" x14ac:dyDescent="0.25">
      <c r="A168">
        <v>3</v>
      </c>
      <c r="B168">
        <v>148</v>
      </c>
      <c r="C168">
        <v>66</v>
      </c>
      <c r="D168">
        <v>25</v>
      </c>
      <c r="E168">
        <v>80</v>
      </c>
      <c r="F168">
        <v>32</v>
      </c>
      <c r="G168">
        <v>0.67200000000000004</v>
      </c>
      <c r="H168">
        <v>22</v>
      </c>
      <c r="I168">
        <v>0</v>
      </c>
      <c r="J168">
        <f>IF(AND(Table2[[#This Row],[BMI]]&gt;=23,Table2[[#This Row],[Outcome]]=1),1,0)</f>
        <v>0</v>
      </c>
      <c r="K168">
        <f>IF(AND(Table2[[#This Row],[BMI+Outcome]]=1,Table2[[#This Row],[Glucose]]&gt;=100),1,0)</f>
        <v>0</v>
      </c>
      <c r="L168">
        <f>IF(AND(Table2[[#This Row],[Outcome]]=1,Table2[[#This Row],[Glucose]]&gt;=100),1,0)</f>
        <v>0</v>
      </c>
    </row>
    <row r="169" spans="1:12" x14ac:dyDescent="0.25">
      <c r="A169">
        <v>4</v>
      </c>
      <c r="B169">
        <v>120</v>
      </c>
      <c r="C169">
        <v>68</v>
      </c>
      <c r="D169">
        <v>21</v>
      </c>
      <c r="E169">
        <v>80</v>
      </c>
      <c r="F169">
        <v>30</v>
      </c>
      <c r="G169">
        <v>0.67200000000000004</v>
      </c>
      <c r="H169">
        <v>34</v>
      </c>
      <c r="I169">
        <v>0</v>
      </c>
      <c r="J169">
        <f>IF(AND(Table2[[#This Row],[BMI]]&gt;=23,Table2[[#This Row],[Outcome]]=1),1,0)</f>
        <v>0</v>
      </c>
      <c r="K169">
        <f>IF(AND(Table2[[#This Row],[BMI+Outcome]]=1,Table2[[#This Row],[Glucose]]&gt;=100),1,0)</f>
        <v>0</v>
      </c>
      <c r="L169">
        <f>IF(AND(Table2[[#This Row],[Outcome]]=1,Table2[[#This Row],[Glucose]]&gt;=100),1,0)</f>
        <v>0</v>
      </c>
    </row>
    <row r="170" spans="1:12" x14ac:dyDescent="0.25">
      <c r="A170">
        <v>4</v>
      </c>
      <c r="B170">
        <v>110</v>
      </c>
      <c r="C170">
        <v>66</v>
      </c>
      <c r="D170">
        <v>21</v>
      </c>
      <c r="E170">
        <v>80</v>
      </c>
      <c r="F170">
        <v>32</v>
      </c>
      <c r="G170">
        <v>0.67200000000000004</v>
      </c>
      <c r="H170">
        <v>29</v>
      </c>
      <c r="I170">
        <v>0</v>
      </c>
      <c r="J170">
        <f>IF(AND(Table2[[#This Row],[BMI]]&gt;=23,Table2[[#This Row],[Outcome]]=1),1,0)</f>
        <v>0</v>
      </c>
      <c r="K170">
        <f>IF(AND(Table2[[#This Row],[BMI+Outcome]]=1,Table2[[#This Row],[Glucose]]&gt;=100),1,0)</f>
        <v>0</v>
      </c>
      <c r="L170">
        <f>IF(AND(Table2[[#This Row],[Outcome]]=1,Table2[[#This Row],[Glucose]]&gt;=100),1,0)</f>
        <v>0</v>
      </c>
    </row>
    <row r="171" spans="1:12" x14ac:dyDescent="0.25">
      <c r="A171">
        <v>3</v>
      </c>
      <c r="B171">
        <v>111</v>
      </c>
      <c r="C171">
        <v>90</v>
      </c>
      <c r="D171">
        <v>12</v>
      </c>
      <c r="E171">
        <v>78</v>
      </c>
      <c r="F171">
        <v>28</v>
      </c>
      <c r="G171">
        <v>0.67200000000000004</v>
      </c>
      <c r="H171">
        <v>29</v>
      </c>
      <c r="I171">
        <v>0</v>
      </c>
      <c r="J171">
        <f>IF(AND(Table2[[#This Row],[BMI]]&gt;=23,Table2[[#This Row],[Outcome]]=1),1,0)</f>
        <v>0</v>
      </c>
      <c r="K171">
        <f>IF(AND(Table2[[#This Row],[BMI+Outcome]]=1,Table2[[#This Row],[Glucose]]&gt;=100),1,0)</f>
        <v>0</v>
      </c>
      <c r="L171">
        <f>IF(AND(Table2[[#This Row],[Outcome]]=1,Table2[[#This Row],[Glucose]]&gt;=100),1,0)</f>
        <v>0</v>
      </c>
    </row>
    <row r="172" spans="1:12" x14ac:dyDescent="0.25">
      <c r="A172">
        <v>6</v>
      </c>
      <c r="B172">
        <v>102</v>
      </c>
      <c r="C172">
        <v>82</v>
      </c>
      <c r="D172">
        <v>21</v>
      </c>
      <c r="E172">
        <v>80</v>
      </c>
      <c r="F172">
        <v>31</v>
      </c>
      <c r="G172">
        <v>0.67200000000000004</v>
      </c>
      <c r="H172">
        <v>36</v>
      </c>
      <c r="I172">
        <v>1</v>
      </c>
      <c r="J172">
        <f>IF(AND(Table2[[#This Row],[BMI]]&gt;=23,Table2[[#This Row],[Outcome]]=1),1,0)</f>
        <v>1</v>
      </c>
      <c r="K172">
        <f>IF(AND(Table2[[#This Row],[BMI+Outcome]]=1,Table2[[#This Row],[Glucose]]&gt;=100),1,0)</f>
        <v>1</v>
      </c>
      <c r="L172">
        <f>IF(AND(Table2[[#This Row],[Outcome]]=1,Table2[[#This Row],[Glucose]]&gt;=100),1,0)</f>
        <v>1</v>
      </c>
    </row>
    <row r="173" spans="1:12" x14ac:dyDescent="0.25">
      <c r="A173">
        <v>6</v>
      </c>
      <c r="B173">
        <v>134</v>
      </c>
      <c r="C173">
        <v>70</v>
      </c>
      <c r="D173">
        <v>23</v>
      </c>
      <c r="E173">
        <v>130</v>
      </c>
      <c r="F173">
        <v>35</v>
      </c>
      <c r="G173">
        <v>0.67200000000000004</v>
      </c>
      <c r="H173">
        <v>29</v>
      </c>
      <c r="I173">
        <v>1</v>
      </c>
      <c r="J173">
        <f>IF(AND(Table2[[#This Row],[BMI]]&gt;=23,Table2[[#This Row],[Outcome]]=1),1,0)</f>
        <v>1</v>
      </c>
      <c r="K173">
        <f>IF(AND(Table2[[#This Row],[BMI+Outcome]]=1,Table2[[#This Row],[Glucose]]&gt;=100),1,0)</f>
        <v>1</v>
      </c>
      <c r="L173">
        <f>IF(AND(Table2[[#This Row],[Outcome]]=1,Table2[[#This Row],[Glucose]]&gt;=100),1,0)</f>
        <v>1</v>
      </c>
    </row>
    <row r="174" spans="1:12" x14ac:dyDescent="0.25">
      <c r="A174">
        <v>2</v>
      </c>
      <c r="B174">
        <v>87</v>
      </c>
      <c r="C174">
        <v>69</v>
      </c>
      <c r="D174">
        <v>23</v>
      </c>
      <c r="E174">
        <v>80</v>
      </c>
      <c r="F174">
        <v>29</v>
      </c>
      <c r="G174">
        <v>0.67200000000000004</v>
      </c>
      <c r="H174">
        <v>25</v>
      </c>
      <c r="I174">
        <v>0</v>
      </c>
      <c r="J174">
        <f>IF(AND(Table2[[#This Row],[BMI]]&gt;=23,Table2[[#This Row],[Outcome]]=1),1,0)</f>
        <v>0</v>
      </c>
      <c r="K174">
        <f>IF(AND(Table2[[#This Row],[BMI+Outcome]]=1,Table2[[#This Row],[Glucose]]&gt;=100),1,0)</f>
        <v>0</v>
      </c>
      <c r="L174">
        <f>IF(AND(Table2[[#This Row],[Outcome]]=1,Table2[[#This Row],[Glucose]]&gt;=100),1,0)</f>
        <v>0</v>
      </c>
    </row>
    <row r="175" spans="1:12" x14ac:dyDescent="0.25">
      <c r="A175">
        <v>1</v>
      </c>
      <c r="B175">
        <v>79</v>
      </c>
      <c r="C175">
        <v>60</v>
      </c>
      <c r="D175">
        <v>42</v>
      </c>
      <c r="E175">
        <v>48</v>
      </c>
      <c r="F175">
        <v>44</v>
      </c>
      <c r="G175">
        <v>0.67200000000000004</v>
      </c>
      <c r="H175">
        <v>23</v>
      </c>
      <c r="I175">
        <v>0</v>
      </c>
      <c r="J175">
        <f>IF(AND(Table2[[#This Row],[BMI]]&gt;=23,Table2[[#This Row],[Outcome]]=1),1,0)</f>
        <v>0</v>
      </c>
      <c r="K175">
        <f>IF(AND(Table2[[#This Row],[BMI+Outcome]]=1,Table2[[#This Row],[Glucose]]&gt;=100),1,0)</f>
        <v>0</v>
      </c>
      <c r="L175">
        <f>IF(AND(Table2[[#This Row],[Outcome]]=1,Table2[[#This Row],[Glucose]]&gt;=100),1,0)</f>
        <v>0</v>
      </c>
    </row>
    <row r="176" spans="1:12" x14ac:dyDescent="0.25">
      <c r="A176">
        <v>2</v>
      </c>
      <c r="B176">
        <v>75</v>
      </c>
      <c r="C176">
        <v>64</v>
      </c>
      <c r="D176">
        <v>24</v>
      </c>
      <c r="E176">
        <v>55</v>
      </c>
      <c r="F176">
        <v>30</v>
      </c>
      <c r="G176">
        <v>0.67200000000000004</v>
      </c>
      <c r="H176">
        <v>33</v>
      </c>
      <c r="I176">
        <v>0</v>
      </c>
      <c r="J176">
        <f>IF(AND(Table2[[#This Row],[BMI]]&gt;=23,Table2[[#This Row],[Outcome]]=1),1,0)</f>
        <v>0</v>
      </c>
      <c r="K176">
        <f>IF(AND(Table2[[#This Row],[BMI+Outcome]]=1,Table2[[#This Row],[Glucose]]&gt;=100),1,0)</f>
        <v>0</v>
      </c>
      <c r="L176">
        <f>IF(AND(Table2[[#This Row],[Outcome]]=1,Table2[[#This Row],[Glucose]]&gt;=100),1,0)</f>
        <v>0</v>
      </c>
    </row>
    <row r="177" spans="1:12" x14ac:dyDescent="0.25">
      <c r="A177">
        <v>8</v>
      </c>
      <c r="B177">
        <v>179</v>
      </c>
      <c r="C177">
        <v>72</v>
      </c>
      <c r="D177">
        <v>42</v>
      </c>
      <c r="E177">
        <v>130</v>
      </c>
      <c r="F177">
        <v>33</v>
      </c>
      <c r="G177">
        <v>0.67200000000000004</v>
      </c>
      <c r="H177">
        <v>36</v>
      </c>
      <c r="I177">
        <v>1</v>
      </c>
      <c r="J177">
        <f>IF(AND(Table2[[#This Row],[BMI]]&gt;=23,Table2[[#This Row],[Outcome]]=1),1,0)</f>
        <v>1</v>
      </c>
      <c r="K177">
        <f>IF(AND(Table2[[#This Row],[BMI+Outcome]]=1,Table2[[#This Row],[Glucose]]&gt;=100),1,0)</f>
        <v>1</v>
      </c>
      <c r="L177">
        <f>IF(AND(Table2[[#This Row],[Outcome]]=1,Table2[[#This Row],[Glucose]]&gt;=100),1,0)</f>
        <v>1</v>
      </c>
    </row>
    <row r="178" spans="1:12" x14ac:dyDescent="0.25">
      <c r="A178">
        <v>6</v>
      </c>
      <c r="B178">
        <v>85</v>
      </c>
      <c r="C178">
        <v>78</v>
      </c>
      <c r="D178">
        <v>21</v>
      </c>
      <c r="E178">
        <v>80</v>
      </c>
      <c r="F178">
        <v>31</v>
      </c>
      <c r="G178">
        <v>0.67200000000000004</v>
      </c>
      <c r="H178">
        <v>42</v>
      </c>
      <c r="I178">
        <v>0</v>
      </c>
      <c r="J178">
        <f>IF(AND(Table2[[#This Row],[BMI]]&gt;=23,Table2[[#This Row],[Outcome]]=1),1,0)</f>
        <v>0</v>
      </c>
      <c r="K178">
        <f>IF(AND(Table2[[#This Row],[BMI+Outcome]]=1,Table2[[#This Row],[Glucose]]&gt;=100),1,0)</f>
        <v>0</v>
      </c>
      <c r="L178">
        <f>IF(AND(Table2[[#This Row],[Outcome]]=1,Table2[[#This Row],[Glucose]]&gt;=100),1,0)</f>
        <v>0</v>
      </c>
    </row>
    <row r="179" spans="1:12" x14ac:dyDescent="0.25">
      <c r="A179">
        <v>4</v>
      </c>
      <c r="B179">
        <v>129</v>
      </c>
      <c r="C179">
        <v>110</v>
      </c>
      <c r="D179">
        <v>46</v>
      </c>
      <c r="E179">
        <v>130</v>
      </c>
      <c r="F179">
        <v>67</v>
      </c>
      <c r="G179">
        <v>0.67200000000000004</v>
      </c>
      <c r="H179">
        <v>26</v>
      </c>
      <c r="I179">
        <v>1</v>
      </c>
      <c r="J179">
        <f>IF(AND(Table2[[#This Row],[BMI]]&gt;=23,Table2[[#This Row],[Outcome]]=1),1,0)</f>
        <v>1</v>
      </c>
      <c r="K179">
        <f>IF(AND(Table2[[#This Row],[BMI+Outcome]]=1,Table2[[#This Row],[Glucose]]&gt;=100),1,0)</f>
        <v>1</v>
      </c>
      <c r="L179">
        <f>IF(AND(Table2[[#This Row],[Outcome]]=1,Table2[[#This Row],[Glucose]]&gt;=100),1,0)</f>
        <v>1</v>
      </c>
    </row>
    <row r="180" spans="1:12" x14ac:dyDescent="0.25">
      <c r="A180">
        <v>5</v>
      </c>
      <c r="B180">
        <v>143</v>
      </c>
      <c r="C180">
        <v>78</v>
      </c>
      <c r="D180">
        <v>21</v>
      </c>
      <c r="E180">
        <v>80</v>
      </c>
      <c r="F180">
        <v>45</v>
      </c>
      <c r="G180">
        <v>0.67200000000000004</v>
      </c>
      <c r="H180">
        <v>47</v>
      </c>
      <c r="I180">
        <v>0</v>
      </c>
      <c r="J180">
        <f>IF(AND(Table2[[#This Row],[BMI]]&gt;=23,Table2[[#This Row],[Outcome]]=1),1,0)</f>
        <v>0</v>
      </c>
      <c r="K180">
        <f>IF(AND(Table2[[#This Row],[BMI+Outcome]]=1,Table2[[#This Row],[Glucose]]&gt;=100),1,0)</f>
        <v>0</v>
      </c>
      <c r="L180">
        <f>IF(AND(Table2[[#This Row],[Outcome]]=1,Table2[[#This Row],[Glucose]]&gt;=100),1,0)</f>
        <v>0</v>
      </c>
    </row>
    <row r="181" spans="1:12" x14ac:dyDescent="0.25">
      <c r="A181">
        <v>5</v>
      </c>
      <c r="B181">
        <v>130</v>
      </c>
      <c r="C181">
        <v>82</v>
      </c>
      <c r="D181">
        <v>21</v>
      </c>
      <c r="E181">
        <v>80</v>
      </c>
      <c r="F181">
        <v>39</v>
      </c>
      <c r="G181">
        <v>0.67200000000000004</v>
      </c>
      <c r="H181">
        <v>37</v>
      </c>
      <c r="I181">
        <v>1</v>
      </c>
      <c r="J181">
        <f>IF(AND(Table2[[#This Row],[BMI]]&gt;=23,Table2[[#This Row],[Outcome]]=1),1,0)</f>
        <v>1</v>
      </c>
      <c r="K181">
        <f>IF(AND(Table2[[#This Row],[BMI+Outcome]]=1,Table2[[#This Row],[Glucose]]&gt;=100),1,0)</f>
        <v>1</v>
      </c>
      <c r="L181">
        <f>IF(AND(Table2[[#This Row],[Outcome]]=1,Table2[[#This Row],[Glucose]]&gt;=100),1,0)</f>
        <v>1</v>
      </c>
    </row>
    <row r="182" spans="1:12" x14ac:dyDescent="0.25">
      <c r="A182">
        <v>6</v>
      </c>
      <c r="B182">
        <v>87</v>
      </c>
      <c r="C182">
        <v>80</v>
      </c>
      <c r="D182">
        <v>21</v>
      </c>
      <c r="E182">
        <v>80</v>
      </c>
      <c r="F182">
        <v>23</v>
      </c>
      <c r="G182">
        <v>0.67200000000000004</v>
      </c>
      <c r="H182">
        <v>32</v>
      </c>
      <c r="I182">
        <v>0</v>
      </c>
      <c r="J182">
        <f>IF(AND(Table2[[#This Row],[BMI]]&gt;=23,Table2[[#This Row],[Outcome]]=1),1,0)</f>
        <v>0</v>
      </c>
      <c r="K182">
        <f>IF(AND(Table2[[#This Row],[BMI+Outcome]]=1,Table2[[#This Row],[Glucose]]&gt;=100),1,0)</f>
        <v>0</v>
      </c>
      <c r="L182">
        <f>IF(AND(Table2[[#This Row],[Outcome]]=1,Table2[[#This Row],[Glucose]]&gt;=100),1,0)</f>
        <v>0</v>
      </c>
    </row>
    <row r="183" spans="1:12" x14ac:dyDescent="0.25">
      <c r="A183">
        <v>4</v>
      </c>
      <c r="B183">
        <v>119</v>
      </c>
      <c r="C183">
        <v>64</v>
      </c>
      <c r="D183">
        <v>18</v>
      </c>
      <c r="E183">
        <v>92</v>
      </c>
      <c r="F183">
        <v>35</v>
      </c>
      <c r="G183">
        <v>0.67200000000000004</v>
      </c>
      <c r="H183">
        <v>23</v>
      </c>
      <c r="I183">
        <v>0</v>
      </c>
      <c r="J183">
        <f>IF(AND(Table2[[#This Row],[BMI]]&gt;=23,Table2[[#This Row],[Outcome]]=1),1,0)</f>
        <v>0</v>
      </c>
      <c r="K183">
        <f>IF(AND(Table2[[#This Row],[BMI+Outcome]]=1,Table2[[#This Row],[Glucose]]&gt;=100),1,0)</f>
        <v>0</v>
      </c>
      <c r="L183">
        <f>IF(AND(Table2[[#This Row],[Outcome]]=1,Table2[[#This Row],[Glucose]]&gt;=100),1,0)</f>
        <v>0</v>
      </c>
    </row>
    <row r="184" spans="1:12" x14ac:dyDescent="0.25">
      <c r="A184">
        <v>1</v>
      </c>
      <c r="B184">
        <v>121</v>
      </c>
      <c r="C184">
        <v>74</v>
      </c>
      <c r="D184">
        <v>20</v>
      </c>
      <c r="E184">
        <v>23</v>
      </c>
      <c r="F184">
        <v>28</v>
      </c>
      <c r="G184">
        <v>0.67200000000000004</v>
      </c>
      <c r="H184">
        <v>21</v>
      </c>
      <c r="I184">
        <v>0</v>
      </c>
      <c r="J184">
        <f>IF(AND(Table2[[#This Row],[BMI]]&gt;=23,Table2[[#This Row],[Outcome]]=1),1,0)</f>
        <v>0</v>
      </c>
      <c r="K184">
        <f>IF(AND(Table2[[#This Row],[BMI+Outcome]]=1,Table2[[#This Row],[Glucose]]&gt;=100),1,0)</f>
        <v>0</v>
      </c>
      <c r="L184">
        <f>IF(AND(Table2[[#This Row],[Outcome]]=1,Table2[[#This Row],[Glucose]]&gt;=100),1,0)</f>
        <v>0</v>
      </c>
    </row>
    <row r="185" spans="1:12" x14ac:dyDescent="0.25">
      <c r="A185">
        <v>5</v>
      </c>
      <c r="B185">
        <v>73</v>
      </c>
      <c r="C185">
        <v>60</v>
      </c>
      <c r="D185">
        <v>21</v>
      </c>
      <c r="E185">
        <v>80</v>
      </c>
      <c r="F185">
        <v>27</v>
      </c>
      <c r="G185">
        <v>0.67200000000000004</v>
      </c>
      <c r="H185">
        <v>27</v>
      </c>
      <c r="I185">
        <v>0</v>
      </c>
      <c r="J185">
        <f>IF(AND(Table2[[#This Row],[BMI]]&gt;=23,Table2[[#This Row],[Outcome]]=1),1,0)</f>
        <v>0</v>
      </c>
      <c r="K185">
        <f>IF(AND(Table2[[#This Row],[BMI+Outcome]]=1,Table2[[#This Row],[Glucose]]&gt;=100),1,0)</f>
        <v>0</v>
      </c>
      <c r="L185">
        <f>IF(AND(Table2[[#This Row],[Outcome]]=1,Table2[[#This Row],[Glucose]]&gt;=100),1,0)</f>
        <v>0</v>
      </c>
    </row>
    <row r="186" spans="1:12" x14ac:dyDescent="0.25">
      <c r="A186">
        <v>4</v>
      </c>
      <c r="B186">
        <v>141</v>
      </c>
      <c r="C186">
        <v>74</v>
      </c>
      <c r="D186">
        <v>21</v>
      </c>
      <c r="E186">
        <v>80</v>
      </c>
      <c r="F186">
        <v>28</v>
      </c>
      <c r="G186">
        <v>0.67200000000000004</v>
      </c>
      <c r="H186">
        <v>40</v>
      </c>
      <c r="I186">
        <v>0</v>
      </c>
      <c r="J186">
        <f>IF(AND(Table2[[#This Row],[BMI]]&gt;=23,Table2[[#This Row],[Outcome]]=1),1,0)</f>
        <v>0</v>
      </c>
      <c r="K186">
        <f>IF(AND(Table2[[#This Row],[BMI+Outcome]]=1,Table2[[#This Row],[Glucose]]&gt;=100),1,0)</f>
        <v>0</v>
      </c>
      <c r="L186">
        <f>IF(AND(Table2[[#This Row],[Outcome]]=1,Table2[[#This Row],[Glucose]]&gt;=100),1,0)</f>
        <v>0</v>
      </c>
    </row>
    <row r="187" spans="1:12" x14ac:dyDescent="0.25">
      <c r="A187">
        <v>7</v>
      </c>
      <c r="B187">
        <v>194</v>
      </c>
      <c r="C187">
        <v>68</v>
      </c>
      <c r="D187">
        <v>28</v>
      </c>
      <c r="E187">
        <v>80</v>
      </c>
      <c r="F187">
        <v>36</v>
      </c>
      <c r="G187">
        <v>0.67200000000000004</v>
      </c>
      <c r="H187">
        <v>41</v>
      </c>
      <c r="I187">
        <v>1</v>
      </c>
      <c r="J187">
        <f>IF(AND(Table2[[#This Row],[BMI]]&gt;=23,Table2[[#This Row],[Outcome]]=1),1,0)</f>
        <v>1</v>
      </c>
      <c r="K187">
        <f>IF(AND(Table2[[#This Row],[BMI+Outcome]]=1,Table2[[#This Row],[Glucose]]&gt;=100),1,0)</f>
        <v>1</v>
      </c>
      <c r="L187">
        <f>IF(AND(Table2[[#This Row],[Outcome]]=1,Table2[[#This Row],[Glucose]]&gt;=100),1,0)</f>
        <v>1</v>
      </c>
    </row>
    <row r="188" spans="1:12" x14ac:dyDescent="0.25">
      <c r="A188">
        <v>8</v>
      </c>
      <c r="B188">
        <v>181</v>
      </c>
      <c r="C188">
        <v>68</v>
      </c>
      <c r="D188">
        <v>36</v>
      </c>
      <c r="E188">
        <v>495</v>
      </c>
      <c r="F188">
        <v>30</v>
      </c>
      <c r="G188">
        <v>0.67200000000000004</v>
      </c>
      <c r="H188">
        <v>60</v>
      </c>
      <c r="I188">
        <v>1</v>
      </c>
      <c r="J188">
        <f>IF(AND(Table2[[#This Row],[BMI]]&gt;=23,Table2[[#This Row],[Outcome]]=1),1,0)</f>
        <v>1</v>
      </c>
      <c r="K188">
        <f>IF(AND(Table2[[#This Row],[BMI+Outcome]]=1,Table2[[#This Row],[Glucose]]&gt;=100),1,0)</f>
        <v>1</v>
      </c>
      <c r="L188">
        <f>IF(AND(Table2[[#This Row],[Outcome]]=1,Table2[[#This Row],[Glucose]]&gt;=100),1,0)</f>
        <v>1</v>
      </c>
    </row>
    <row r="189" spans="1:12" x14ac:dyDescent="0.25">
      <c r="A189">
        <v>1</v>
      </c>
      <c r="B189">
        <v>128</v>
      </c>
      <c r="C189">
        <v>98</v>
      </c>
      <c r="D189">
        <v>41</v>
      </c>
      <c r="E189">
        <v>58</v>
      </c>
      <c r="F189">
        <v>32</v>
      </c>
      <c r="G189">
        <v>0.67200000000000004</v>
      </c>
      <c r="H189">
        <v>33</v>
      </c>
      <c r="I189">
        <v>1</v>
      </c>
      <c r="J189">
        <f>IF(AND(Table2[[#This Row],[BMI]]&gt;=23,Table2[[#This Row],[Outcome]]=1),1,0)</f>
        <v>1</v>
      </c>
      <c r="K189">
        <f>IF(AND(Table2[[#This Row],[BMI+Outcome]]=1,Table2[[#This Row],[Glucose]]&gt;=100),1,0)</f>
        <v>1</v>
      </c>
      <c r="L189">
        <f>IF(AND(Table2[[#This Row],[Outcome]]=1,Table2[[#This Row],[Glucose]]&gt;=100),1,0)</f>
        <v>1</v>
      </c>
    </row>
    <row r="190" spans="1:12" x14ac:dyDescent="0.25">
      <c r="A190">
        <v>8</v>
      </c>
      <c r="B190">
        <v>109</v>
      </c>
      <c r="C190">
        <v>76</v>
      </c>
      <c r="D190">
        <v>39</v>
      </c>
      <c r="E190">
        <v>114</v>
      </c>
      <c r="F190">
        <v>28</v>
      </c>
      <c r="G190">
        <v>0.67200000000000004</v>
      </c>
      <c r="H190">
        <v>31</v>
      </c>
      <c r="I190">
        <v>1</v>
      </c>
      <c r="J190">
        <f>IF(AND(Table2[[#This Row],[BMI]]&gt;=23,Table2[[#This Row],[Outcome]]=1),1,0)</f>
        <v>1</v>
      </c>
      <c r="K190">
        <f>IF(AND(Table2[[#This Row],[BMI+Outcome]]=1,Table2[[#This Row],[Glucose]]&gt;=100),1,0)</f>
        <v>1</v>
      </c>
      <c r="L190">
        <f>IF(AND(Table2[[#This Row],[Outcome]]=1,Table2[[#This Row],[Glucose]]&gt;=100),1,0)</f>
        <v>1</v>
      </c>
    </row>
    <row r="191" spans="1:12" x14ac:dyDescent="0.25">
      <c r="A191">
        <v>5</v>
      </c>
      <c r="B191">
        <v>139</v>
      </c>
      <c r="C191">
        <v>80</v>
      </c>
      <c r="D191">
        <v>35</v>
      </c>
      <c r="E191">
        <v>160</v>
      </c>
      <c r="F191">
        <v>32</v>
      </c>
      <c r="G191">
        <v>0.67200000000000004</v>
      </c>
      <c r="H191">
        <v>25</v>
      </c>
      <c r="I191">
        <v>1</v>
      </c>
      <c r="J191">
        <f>IF(AND(Table2[[#This Row],[BMI]]&gt;=23,Table2[[#This Row],[Outcome]]=1),1,0)</f>
        <v>1</v>
      </c>
      <c r="K191">
        <f>IF(AND(Table2[[#This Row],[BMI+Outcome]]=1,Table2[[#This Row],[Glucose]]&gt;=100),1,0)</f>
        <v>1</v>
      </c>
      <c r="L191">
        <f>IF(AND(Table2[[#This Row],[Outcome]]=1,Table2[[#This Row],[Glucose]]&gt;=100),1,0)</f>
        <v>1</v>
      </c>
    </row>
    <row r="192" spans="1:12" x14ac:dyDescent="0.25">
      <c r="A192">
        <v>3</v>
      </c>
      <c r="B192">
        <v>111</v>
      </c>
      <c r="C192">
        <v>62</v>
      </c>
      <c r="D192">
        <v>21</v>
      </c>
      <c r="E192">
        <v>80</v>
      </c>
      <c r="F192">
        <v>23</v>
      </c>
      <c r="G192">
        <v>0.67200000000000004</v>
      </c>
      <c r="H192">
        <v>21</v>
      </c>
      <c r="I192">
        <v>0</v>
      </c>
      <c r="J192">
        <f>IF(AND(Table2[[#This Row],[BMI]]&gt;=23,Table2[[#This Row],[Outcome]]=1),1,0)</f>
        <v>0</v>
      </c>
      <c r="K192">
        <f>IF(AND(Table2[[#This Row],[BMI+Outcome]]=1,Table2[[#This Row],[Glucose]]&gt;=100),1,0)</f>
        <v>0</v>
      </c>
      <c r="L192">
        <f>IF(AND(Table2[[#This Row],[Outcome]]=1,Table2[[#This Row],[Glucose]]&gt;=100),1,0)</f>
        <v>0</v>
      </c>
    </row>
    <row r="193" spans="1:12" x14ac:dyDescent="0.25">
      <c r="A193">
        <v>9</v>
      </c>
      <c r="B193">
        <v>123</v>
      </c>
      <c r="C193">
        <v>70</v>
      </c>
      <c r="D193">
        <v>44</v>
      </c>
      <c r="E193">
        <v>94</v>
      </c>
      <c r="F193">
        <v>33</v>
      </c>
      <c r="G193">
        <v>0.67200000000000004</v>
      </c>
      <c r="H193">
        <v>40</v>
      </c>
      <c r="I193">
        <v>0</v>
      </c>
      <c r="J193">
        <f>IF(AND(Table2[[#This Row],[BMI]]&gt;=23,Table2[[#This Row],[Outcome]]=1),1,0)</f>
        <v>0</v>
      </c>
      <c r="K193">
        <f>IF(AND(Table2[[#This Row],[BMI+Outcome]]=1,Table2[[#This Row],[Glucose]]&gt;=100),1,0)</f>
        <v>0</v>
      </c>
      <c r="L193">
        <f>IF(AND(Table2[[#This Row],[Outcome]]=1,Table2[[#This Row],[Glucose]]&gt;=100),1,0)</f>
        <v>0</v>
      </c>
    </row>
    <row r="194" spans="1:12" x14ac:dyDescent="0.25">
      <c r="A194">
        <v>7</v>
      </c>
      <c r="B194">
        <v>159</v>
      </c>
      <c r="C194">
        <v>66</v>
      </c>
      <c r="D194">
        <v>21</v>
      </c>
      <c r="E194">
        <v>80</v>
      </c>
      <c r="F194">
        <v>30</v>
      </c>
      <c r="G194">
        <v>0.67200000000000004</v>
      </c>
      <c r="H194">
        <v>36</v>
      </c>
      <c r="I194">
        <v>1</v>
      </c>
      <c r="J194">
        <f>IF(AND(Table2[[#This Row],[BMI]]&gt;=23,Table2[[#This Row],[Outcome]]=1),1,0)</f>
        <v>1</v>
      </c>
      <c r="K194">
        <f>IF(AND(Table2[[#This Row],[BMI+Outcome]]=1,Table2[[#This Row],[Glucose]]&gt;=100),1,0)</f>
        <v>1</v>
      </c>
      <c r="L194">
        <f>IF(AND(Table2[[#This Row],[Outcome]]=1,Table2[[#This Row],[Glucose]]&gt;=100),1,0)</f>
        <v>1</v>
      </c>
    </row>
    <row r="195" spans="1:12" x14ac:dyDescent="0.25">
      <c r="A195">
        <v>11</v>
      </c>
      <c r="B195">
        <v>135</v>
      </c>
      <c r="C195">
        <v>69</v>
      </c>
      <c r="D195">
        <v>21</v>
      </c>
      <c r="E195">
        <v>80</v>
      </c>
      <c r="F195">
        <v>52</v>
      </c>
      <c r="G195">
        <v>0.67200000000000004</v>
      </c>
      <c r="H195">
        <v>40</v>
      </c>
      <c r="I195">
        <v>1</v>
      </c>
      <c r="J195">
        <f>IF(AND(Table2[[#This Row],[BMI]]&gt;=23,Table2[[#This Row],[Outcome]]=1),1,0)</f>
        <v>1</v>
      </c>
      <c r="K195">
        <f>IF(AND(Table2[[#This Row],[BMI+Outcome]]=1,Table2[[#This Row],[Glucose]]&gt;=100),1,0)</f>
        <v>1</v>
      </c>
      <c r="L195">
        <f>IF(AND(Table2[[#This Row],[Outcome]]=1,Table2[[#This Row],[Glucose]]&gt;=100),1,0)</f>
        <v>1</v>
      </c>
    </row>
    <row r="196" spans="1:12" x14ac:dyDescent="0.25">
      <c r="A196">
        <v>8</v>
      </c>
      <c r="B196">
        <v>85</v>
      </c>
      <c r="C196">
        <v>55</v>
      </c>
      <c r="D196">
        <v>20</v>
      </c>
      <c r="E196">
        <v>80</v>
      </c>
      <c r="F196">
        <v>24</v>
      </c>
      <c r="G196">
        <v>0.67200000000000004</v>
      </c>
      <c r="H196">
        <v>42</v>
      </c>
      <c r="I196">
        <v>0</v>
      </c>
      <c r="J196">
        <f>IF(AND(Table2[[#This Row],[BMI]]&gt;=23,Table2[[#This Row],[Outcome]]=1),1,0)</f>
        <v>0</v>
      </c>
      <c r="K196">
        <f>IF(AND(Table2[[#This Row],[BMI+Outcome]]=1,Table2[[#This Row],[Glucose]]&gt;=100),1,0)</f>
        <v>0</v>
      </c>
      <c r="L196">
        <f>IF(AND(Table2[[#This Row],[Outcome]]=1,Table2[[#This Row],[Glucose]]&gt;=100),1,0)</f>
        <v>0</v>
      </c>
    </row>
    <row r="197" spans="1:12" x14ac:dyDescent="0.25">
      <c r="A197">
        <v>5</v>
      </c>
      <c r="B197">
        <v>158</v>
      </c>
      <c r="C197">
        <v>84</v>
      </c>
      <c r="D197">
        <v>41</v>
      </c>
      <c r="E197">
        <v>210</v>
      </c>
      <c r="F197">
        <v>39</v>
      </c>
      <c r="G197">
        <v>0.67200000000000004</v>
      </c>
      <c r="H197">
        <v>29</v>
      </c>
      <c r="I197">
        <v>1</v>
      </c>
      <c r="J197">
        <f>IF(AND(Table2[[#This Row],[BMI]]&gt;=23,Table2[[#This Row],[Outcome]]=1),1,0)</f>
        <v>1</v>
      </c>
      <c r="K197">
        <f>IF(AND(Table2[[#This Row],[BMI+Outcome]]=1,Table2[[#This Row],[Glucose]]&gt;=100),1,0)</f>
        <v>1</v>
      </c>
      <c r="L197">
        <f>IF(AND(Table2[[#This Row],[Outcome]]=1,Table2[[#This Row],[Glucose]]&gt;=100),1,0)</f>
        <v>1</v>
      </c>
    </row>
    <row r="198" spans="1:12" x14ac:dyDescent="0.25">
      <c r="A198">
        <v>1</v>
      </c>
      <c r="B198">
        <v>105</v>
      </c>
      <c r="C198">
        <v>58</v>
      </c>
      <c r="D198">
        <v>21</v>
      </c>
      <c r="E198">
        <v>80</v>
      </c>
      <c r="F198">
        <v>24</v>
      </c>
      <c r="G198">
        <v>0.67200000000000004</v>
      </c>
      <c r="H198">
        <v>21</v>
      </c>
      <c r="I198">
        <v>0</v>
      </c>
      <c r="J198">
        <f>IF(AND(Table2[[#This Row],[BMI]]&gt;=23,Table2[[#This Row],[Outcome]]=1),1,0)</f>
        <v>0</v>
      </c>
      <c r="K198">
        <f>IF(AND(Table2[[#This Row],[BMI+Outcome]]=1,Table2[[#This Row],[Glucose]]&gt;=100),1,0)</f>
        <v>0</v>
      </c>
      <c r="L198">
        <f>IF(AND(Table2[[#This Row],[Outcome]]=1,Table2[[#This Row],[Glucose]]&gt;=100),1,0)</f>
        <v>0</v>
      </c>
    </row>
    <row r="199" spans="1:12" x14ac:dyDescent="0.25">
      <c r="A199">
        <v>3</v>
      </c>
      <c r="B199">
        <v>107</v>
      </c>
      <c r="C199">
        <v>62</v>
      </c>
      <c r="D199">
        <v>13</v>
      </c>
      <c r="E199">
        <v>48</v>
      </c>
      <c r="F199">
        <v>23</v>
      </c>
      <c r="G199">
        <v>0.67200000000000004</v>
      </c>
      <c r="H199">
        <v>23</v>
      </c>
      <c r="I199">
        <v>1</v>
      </c>
      <c r="J199">
        <f>IF(AND(Table2[[#This Row],[BMI]]&gt;=23,Table2[[#This Row],[Outcome]]=1),1,0)</f>
        <v>1</v>
      </c>
      <c r="K199">
        <f>IF(AND(Table2[[#This Row],[BMI+Outcome]]=1,Table2[[#This Row],[Glucose]]&gt;=100),1,0)</f>
        <v>1</v>
      </c>
      <c r="L199">
        <f>IF(AND(Table2[[#This Row],[Outcome]]=1,Table2[[#This Row],[Glucose]]&gt;=100),1,0)</f>
        <v>1</v>
      </c>
    </row>
    <row r="200" spans="1:12" x14ac:dyDescent="0.25">
      <c r="A200">
        <v>4</v>
      </c>
      <c r="B200">
        <v>109</v>
      </c>
      <c r="C200">
        <v>64</v>
      </c>
      <c r="D200">
        <v>44</v>
      </c>
      <c r="E200">
        <v>99</v>
      </c>
      <c r="F200">
        <v>35</v>
      </c>
      <c r="G200">
        <v>0.67200000000000004</v>
      </c>
      <c r="H200">
        <v>26</v>
      </c>
      <c r="I200">
        <v>1</v>
      </c>
      <c r="J200">
        <f>IF(AND(Table2[[#This Row],[BMI]]&gt;=23,Table2[[#This Row],[Outcome]]=1),1,0)</f>
        <v>1</v>
      </c>
      <c r="K200">
        <f>IF(AND(Table2[[#This Row],[BMI+Outcome]]=1,Table2[[#This Row],[Glucose]]&gt;=100),1,0)</f>
        <v>1</v>
      </c>
      <c r="L200">
        <f>IF(AND(Table2[[#This Row],[Outcome]]=1,Table2[[#This Row],[Glucose]]&gt;=100),1,0)</f>
        <v>1</v>
      </c>
    </row>
    <row r="201" spans="1:12" x14ac:dyDescent="0.25">
      <c r="A201">
        <v>4</v>
      </c>
      <c r="B201">
        <v>148</v>
      </c>
      <c r="C201">
        <v>60</v>
      </c>
      <c r="D201">
        <v>27</v>
      </c>
      <c r="E201">
        <v>318</v>
      </c>
      <c r="F201">
        <v>31</v>
      </c>
      <c r="G201">
        <v>0.67200000000000004</v>
      </c>
      <c r="H201">
        <v>29</v>
      </c>
      <c r="I201">
        <v>1</v>
      </c>
      <c r="J201">
        <f>IF(AND(Table2[[#This Row],[BMI]]&gt;=23,Table2[[#This Row],[Outcome]]=1),1,0)</f>
        <v>1</v>
      </c>
      <c r="K201">
        <f>IF(AND(Table2[[#This Row],[BMI+Outcome]]=1,Table2[[#This Row],[Glucose]]&gt;=100),1,0)</f>
        <v>1</v>
      </c>
      <c r="L201">
        <f>IF(AND(Table2[[#This Row],[Outcome]]=1,Table2[[#This Row],[Glucose]]&gt;=100),1,0)</f>
        <v>1</v>
      </c>
    </row>
    <row r="202" spans="1:12" x14ac:dyDescent="0.25">
      <c r="A202">
        <v>4</v>
      </c>
      <c r="B202">
        <v>113</v>
      </c>
      <c r="C202">
        <v>80</v>
      </c>
      <c r="D202">
        <v>16</v>
      </c>
      <c r="E202">
        <v>80</v>
      </c>
      <c r="F202">
        <v>31</v>
      </c>
      <c r="G202">
        <v>0.67200000000000004</v>
      </c>
      <c r="H202">
        <v>21</v>
      </c>
      <c r="I202">
        <v>0</v>
      </c>
      <c r="J202">
        <f>IF(AND(Table2[[#This Row],[BMI]]&gt;=23,Table2[[#This Row],[Outcome]]=1),1,0)</f>
        <v>0</v>
      </c>
      <c r="K202">
        <f>IF(AND(Table2[[#This Row],[BMI+Outcome]]=1,Table2[[#This Row],[Glucose]]&gt;=100),1,0)</f>
        <v>0</v>
      </c>
      <c r="L202">
        <f>IF(AND(Table2[[#This Row],[Outcome]]=1,Table2[[#This Row],[Glucose]]&gt;=100),1,0)</f>
        <v>0</v>
      </c>
    </row>
    <row r="203" spans="1:12" x14ac:dyDescent="0.25">
      <c r="A203">
        <v>1</v>
      </c>
      <c r="B203">
        <v>138</v>
      </c>
      <c r="C203">
        <v>82</v>
      </c>
      <c r="D203">
        <v>21</v>
      </c>
      <c r="E203">
        <v>80</v>
      </c>
      <c r="F203">
        <v>40</v>
      </c>
      <c r="G203">
        <v>0.67200000000000004</v>
      </c>
      <c r="H203">
        <v>28</v>
      </c>
      <c r="I203">
        <v>0</v>
      </c>
      <c r="J203">
        <f>IF(AND(Table2[[#This Row],[BMI]]&gt;=23,Table2[[#This Row],[Outcome]]=1),1,0)</f>
        <v>0</v>
      </c>
      <c r="K203">
        <f>IF(AND(Table2[[#This Row],[BMI+Outcome]]=1,Table2[[#This Row],[Glucose]]&gt;=100),1,0)</f>
        <v>0</v>
      </c>
      <c r="L203">
        <f>IF(AND(Table2[[#This Row],[Outcome]]=1,Table2[[#This Row],[Glucose]]&gt;=100),1,0)</f>
        <v>0</v>
      </c>
    </row>
    <row r="204" spans="1:12" x14ac:dyDescent="0.25">
      <c r="A204">
        <v>4</v>
      </c>
      <c r="B204">
        <v>108</v>
      </c>
      <c r="C204">
        <v>68</v>
      </c>
      <c r="D204">
        <v>20</v>
      </c>
      <c r="E204">
        <v>80</v>
      </c>
      <c r="F204">
        <v>27</v>
      </c>
      <c r="G204">
        <v>0.67200000000000004</v>
      </c>
      <c r="H204">
        <v>32</v>
      </c>
      <c r="I204">
        <v>0</v>
      </c>
      <c r="J204">
        <f>IF(AND(Table2[[#This Row],[BMI]]&gt;=23,Table2[[#This Row],[Outcome]]=1),1,0)</f>
        <v>0</v>
      </c>
      <c r="K204">
        <f>IF(AND(Table2[[#This Row],[BMI+Outcome]]=1,Table2[[#This Row],[Glucose]]&gt;=100),1,0)</f>
        <v>0</v>
      </c>
      <c r="L204">
        <f>IF(AND(Table2[[#This Row],[Outcome]]=1,Table2[[#This Row],[Glucose]]&gt;=100),1,0)</f>
        <v>0</v>
      </c>
    </row>
    <row r="205" spans="1:12" x14ac:dyDescent="0.25">
      <c r="A205">
        <v>2</v>
      </c>
      <c r="B205">
        <v>99</v>
      </c>
      <c r="C205">
        <v>70</v>
      </c>
      <c r="D205">
        <v>16</v>
      </c>
      <c r="E205">
        <v>44</v>
      </c>
      <c r="F205">
        <v>20</v>
      </c>
      <c r="G205">
        <v>0.67200000000000004</v>
      </c>
      <c r="H205">
        <v>27</v>
      </c>
      <c r="I205">
        <v>0</v>
      </c>
      <c r="J205">
        <f>IF(AND(Table2[[#This Row],[BMI]]&gt;=23,Table2[[#This Row],[Outcome]]=1),1,0)</f>
        <v>0</v>
      </c>
      <c r="K205">
        <f>IF(AND(Table2[[#This Row],[BMI+Outcome]]=1,Table2[[#This Row],[Glucose]]&gt;=100),1,0)</f>
        <v>0</v>
      </c>
      <c r="L205">
        <f>IF(AND(Table2[[#This Row],[Outcome]]=1,Table2[[#This Row],[Glucose]]&gt;=100),1,0)</f>
        <v>0</v>
      </c>
    </row>
    <row r="206" spans="1:12" x14ac:dyDescent="0.25">
      <c r="A206">
        <v>6</v>
      </c>
      <c r="B206">
        <v>103</v>
      </c>
      <c r="C206">
        <v>72</v>
      </c>
      <c r="D206">
        <v>32</v>
      </c>
      <c r="E206">
        <v>190</v>
      </c>
      <c r="F206">
        <v>38</v>
      </c>
      <c r="G206">
        <v>0.67200000000000004</v>
      </c>
      <c r="H206">
        <v>55</v>
      </c>
      <c r="I206">
        <v>0</v>
      </c>
      <c r="J206">
        <f>IF(AND(Table2[[#This Row],[BMI]]&gt;=23,Table2[[#This Row],[Outcome]]=1),1,0)</f>
        <v>0</v>
      </c>
      <c r="K206">
        <f>IF(AND(Table2[[#This Row],[BMI+Outcome]]=1,Table2[[#This Row],[Glucose]]&gt;=100),1,0)</f>
        <v>0</v>
      </c>
      <c r="L206">
        <f>IF(AND(Table2[[#This Row],[Outcome]]=1,Table2[[#This Row],[Glucose]]&gt;=100),1,0)</f>
        <v>0</v>
      </c>
    </row>
    <row r="207" spans="1:12" x14ac:dyDescent="0.25">
      <c r="A207">
        <v>5</v>
      </c>
      <c r="B207">
        <v>111</v>
      </c>
      <c r="C207">
        <v>72</v>
      </c>
      <c r="D207">
        <v>28</v>
      </c>
      <c r="E207">
        <v>80</v>
      </c>
      <c r="F207">
        <v>24</v>
      </c>
      <c r="G207">
        <v>0.67200000000000004</v>
      </c>
      <c r="H207">
        <v>27</v>
      </c>
      <c r="I207">
        <v>0</v>
      </c>
      <c r="J207">
        <f>IF(AND(Table2[[#This Row],[BMI]]&gt;=23,Table2[[#This Row],[Outcome]]=1),1,0)</f>
        <v>0</v>
      </c>
      <c r="K207">
        <f>IF(AND(Table2[[#This Row],[BMI+Outcome]]=1,Table2[[#This Row],[Glucose]]&gt;=100),1,0)</f>
        <v>0</v>
      </c>
      <c r="L207">
        <f>IF(AND(Table2[[#This Row],[Outcome]]=1,Table2[[#This Row],[Glucose]]&gt;=100),1,0)</f>
        <v>0</v>
      </c>
    </row>
    <row r="208" spans="1:12" x14ac:dyDescent="0.25">
      <c r="A208">
        <v>8</v>
      </c>
      <c r="B208">
        <v>196</v>
      </c>
      <c r="C208">
        <v>76</v>
      </c>
      <c r="D208">
        <v>29</v>
      </c>
      <c r="E208">
        <v>280</v>
      </c>
      <c r="F208">
        <v>38</v>
      </c>
      <c r="G208">
        <v>0.67200000000000004</v>
      </c>
      <c r="H208">
        <v>57</v>
      </c>
      <c r="I208">
        <v>1</v>
      </c>
      <c r="J208">
        <f>IF(AND(Table2[[#This Row],[BMI]]&gt;=23,Table2[[#This Row],[Outcome]]=1),1,0)</f>
        <v>1</v>
      </c>
      <c r="K208">
        <f>IF(AND(Table2[[#This Row],[BMI+Outcome]]=1,Table2[[#This Row],[Glucose]]&gt;=100),1,0)</f>
        <v>1</v>
      </c>
      <c r="L208">
        <f>IF(AND(Table2[[#This Row],[Outcome]]=1,Table2[[#This Row],[Glucose]]&gt;=100),1,0)</f>
        <v>1</v>
      </c>
    </row>
    <row r="209" spans="1:12" x14ac:dyDescent="0.25">
      <c r="A209">
        <v>5</v>
      </c>
      <c r="B209">
        <v>162</v>
      </c>
      <c r="C209">
        <v>104</v>
      </c>
      <c r="D209">
        <v>21</v>
      </c>
      <c r="E209">
        <v>80</v>
      </c>
      <c r="F209">
        <v>38</v>
      </c>
      <c r="G209">
        <v>0.67200000000000004</v>
      </c>
      <c r="H209">
        <v>52</v>
      </c>
      <c r="I209">
        <v>1</v>
      </c>
      <c r="J209">
        <f>IF(AND(Table2[[#This Row],[BMI]]&gt;=23,Table2[[#This Row],[Outcome]]=1),1,0)</f>
        <v>1</v>
      </c>
      <c r="K209">
        <f>IF(AND(Table2[[#This Row],[BMI+Outcome]]=1,Table2[[#This Row],[Glucose]]&gt;=100),1,0)</f>
        <v>1</v>
      </c>
      <c r="L209">
        <f>IF(AND(Table2[[#This Row],[Outcome]]=1,Table2[[#This Row],[Glucose]]&gt;=100),1,0)</f>
        <v>1</v>
      </c>
    </row>
    <row r="210" spans="1:12" x14ac:dyDescent="0.25">
      <c r="A210">
        <v>1</v>
      </c>
      <c r="B210">
        <v>96</v>
      </c>
      <c r="C210">
        <v>64</v>
      </c>
      <c r="D210">
        <v>27</v>
      </c>
      <c r="E210">
        <v>87</v>
      </c>
      <c r="F210">
        <v>33</v>
      </c>
      <c r="G210">
        <v>0.67200000000000004</v>
      </c>
      <c r="H210">
        <v>21</v>
      </c>
      <c r="I210">
        <v>0</v>
      </c>
      <c r="J210">
        <f>IF(AND(Table2[[#This Row],[BMI]]&gt;=23,Table2[[#This Row],[Outcome]]=1),1,0)</f>
        <v>0</v>
      </c>
      <c r="K210">
        <f>IF(AND(Table2[[#This Row],[BMI+Outcome]]=1,Table2[[#This Row],[Glucose]]&gt;=100),1,0)</f>
        <v>0</v>
      </c>
      <c r="L210">
        <f>IF(AND(Table2[[#This Row],[Outcome]]=1,Table2[[#This Row],[Glucose]]&gt;=100),1,0)</f>
        <v>0</v>
      </c>
    </row>
    <row r="211" spans="1:12" x14ac:dyDescent="0.25">
      <c r="A211">
        <v>7</v>
      </c>
      <c r="B211">
        <v>184</v>
      </c>
      <c r="C211">
        <v>84</v>
      </c>
      <c r="D211">
        <v>33</v>
      </c>
      <c r="E211">
        <v>80</v>
      </c>
      <c r="F211">
        <v>36</v>
      </c>
      <c r="G211">
        <v>0.67200000000000004</v>
      </c>
      <c r="H211">
        <v>41</v>
      </c>
      <c r="I211">
        <v>1</v>
      </c>
      <c r="J211">
        <f>IF(AND(Table2[[#This Row],[BMI]]&gt;=23,Table2[[#This Row],[Outcome]]=1),1,0)</f>
        <v>1</v>
      </c>
      <c r="K211">
        <f>IF(AND(Table2[[#This Row],[BMI+Outcome]]=1,Table2[[#This Row],[Glucose]]&gt;=100),1,0)</f>
        <v>1</v>
      </c>
      <c r="L211">
        <f>IF(AND(Table2[[#This Row],[Outcome]]=1,Table2[[#This Row],[Glucose]]&gt;=100),1,0)</f>
        <v>1</v>
      </c>
    </row>
    <row r="212" spans="1:12" x14ac:dyDescent="0.25">
      <c r="A212">
        <v>2</v>
      </c>
      <c r="B212">
        <v>81</v>
      </c>
      <c r="C212">
        <v>60</v>
      </c>
      <c r="D212">
        <v>22</v>
      </c>
      <c r="E212">
        <v>80</v>
      </c>
      <c r="F212">
        <v>28</v>
      </c>
      <c r="G212">
        <v>0.67200000000000004</v>
      </c>
      <c r="H212">
        <v>25</v>
      </c>
      <c r="I212">
        <v>0</v>
      </c>
      <c r="J212">
        <f>IF(AND(Table2[[#This Row],[BMI]]&gt;=23,Table2[[#This Row],[Outcome]]=1),1,0)</f>
        <v>0</v>
      </c>
      <c r="K212">
        <f>IF(AND(Table2[[#This Row],[BMI+Outcome]]=1,Table2[[#This Row],[Glucose]]&gt;=100),1,0)</f>
        <v>0</v>
      </c>
      <c r="L212">
        <f>IF(AND(Table2[[#This Row],[Outcome]]=1,Table2[[#This Row],[Glucose]]&gt;=100),1,0)</f>
        <v>0</v>
      </c>
    </row>
    <row r="213" spans="1:12" x14ac:dyDescent="0.25">
      <c r="A213">
        <v>4</v>
      </c>
      <c r="B213">
        <v>147</v>
      </c>
      <c r="C213">
        <v>85</v>
      </c>
      <c r="D213">
        <v>54</v>
      </c>
      <c r="E213">
        <v>80</v>
      </c>
      <c r="F213">
        <v>43</v>
      </c>
      <c r="G213">
        <v>0.67200000000000004</v>
      </c>
      <c r="H213">
        <v>24</v>
      </c>
      <c r="I213">
        <v>0</v>
      </c>
      <c r="J213">
        <f>IF(AND(Table2[[#This Row],[BMI]]&gt;=23,Table2[[#This Row],[Outcome]]=1),1,0)</f>
        <v>0</v>
      </c>
      <c r="K213">
        <f>IF(AND(Table2[[#This Row],[BMI+Outcome]]=1,Table2[[#This Row],[Glucose]]&gt;=100),1,0)</f>
        <v>0</v>
      </c>
      <c r="L213">
        <f>IF(AND(Table2[[#This Row],[Outcome]]=1,Table2[[#This Row],[Glucose]]&gt;=100),1,0)</f>
        <v>0</v>
      </c>
    </row>
    <row r="214" spans="1:12" x14ac:dyDescent="0.25">
      <c r="A214">
        <v>7</v>
      </c>
      <c r="B214">
        <v>179</v>
      </c>
      <c r="C214">
        <v>95</v>
      </c>
      <c r="D214">
        <v>31</v>
      </c>
      <c r="E214">
        <v>80</v>
      </c>
      <c r="F214">
        <v>34</v>
      </c>
      <c r="G214">
        <v>0.67200000000000004</v>
      </c>
      <c r="H214">
        <v>60</v>
      </c>
      <c r="I214">
        <v>0</v>
      </c>
      <c r="J214">
        <f>IF(AND(Table2[[#This Row],[BMI]]&gt;=23,Table2[[#This Row],[Outcome]]=1),1,0)</f>
        <v>0</v>
      </c>
      <c r="K214">
        <f>IF(AND(Table2[[#This Row],[BMI+Outcome]]=1,Table2[[#This Row],[Glucose]]&gt;=100),1,0)</f>
        <v>0</v>
      </c>
      <c r="L214">
        <f>IF(AND(Table2[[#This Row],[Outcome]]=1,Table2[[#This Row],[Glucose]]&gt;=100),1,0)</f>
        <v>0</v>
      </c>
    </row>
    <row r="215" spans="1:12" x14ac:dyDescent="0.25">
      <c r="A215">
        <v>4</v>
      </c>
      <c r="B215">
        <v>140</v>
      </c>
      <c r="C215">
        <v>65</v>
      </c>
      <c r="D215">
        <v>26</v>
      </c>
      <c r="E215">
        <v>130</v>
      </c>
      <c r="F215">
        <v>43</v>
      </c>
      <c r="G215">
        <v>0.67200000000000004</v>
      </c>
      <c r="H215">
        <v>24</v>
      </c>
      <c r="I215">
        <v>1</v>
      </c>
      <c r="J215">
        <f>IF(AND(Table2[[#This Row],[BMI]]&gt;=23,Table2[[#This Row],[Outcome]]=1),1,0)</f>
        <v>1</v>
      </c>
      <c r="K215">
        <f>IF(AND(Table2[[#This Row],[BMI+Outcome]]=1,Table2[[#This Row],[Glucose]]&gt;=100),1,0)</f>
        <v>1</v>
      </c>
      <c r="L215">
        <f>IF(AND(Table2[[#This Row],[Outcome]]=1,Table2[[#This Row],[Glucose]]&gt;=100),1,0)</f>
        <v>1</v>
      </c>
    </row>
    <row r="216" spans="1:12" x14ac:dyDescent="0.25">
      <c r="A216">
        <v>9</v>
      </c>
      <c r="B216">
        <v>112</v>
      </c>
      <c r="C216">
        <v>82</v>
      </c>
      <c r="D216">
        <v>32</v>
      </c>
      <c r="E216">
        <v>175</v>
      </c>
      <c r="F216">
        <v>34</v>
      </c>
      <c r="G216">
        <v>0.67200000000000004</v>
      </c>
      <c r="H216">
        <v>36</v>
      </c>
      <c r="I216">
        <v>1</v>
      </c>
      <c r="J216">
        <f>IF(AND(Table2[[#This Row],[BMI]]&gt;=23,Table2[[#This Row],[Outcome]]=1),1,0)</f>
        <v>1</v>
      </c>
      <c r="K216">
        <f>IF(AND(Table2[[#This Row],[BMI+Outcome]]=1,Table2[[#This Row],[Glucose]]&gt;=100),1,0)</f>
        <v>1</v>
      </c>
      <c r="L216">
        <f>IF(AND(Table2[[#This Row],[Outcome]]=1,Table2[[#This Row],[Glucose]]&gt;=100),1,0)</f>
        <v>1</v>
      </c>
    </row>
    <row r="217" spans="1:12" x14ac:dyDescent="0.25">
      <c r="A217">
        <v>12</v>
      </c>
      <c r="B217">
        <v>151</v>
      </c>
      <c r="C217">
        <v>70</v>
      </c>
      <c r="D217">
        <v>40</v>
      </c>
      <c r="E217">
        <v>271</v>
      </c>
      <c r="F217">
        <v>42</v>
      </c>
      <c r="G217">
        <v>0.67200000000000004</v>
      </c>
      <c r="H217">
        <v>38</v>
      </c>
      <c r="I217">
        <v>1</v>
      </c>
      <c r="J217">
        <f>IF(AND(Table2[[#This Row],[BMI]]&gt;=23,Table2[[#This Row],[Outcome]]=1),1,0)</f>
        <v>1</v>
      </c>
      <c r="K217">
        <f>IF(AND(Table2[[#This Row],[BMI+Outcome]]=1,Table2[[#This Row],[Glucose]]&gt;=100),1,0)</f>
        <v>1</v>
      </c>
      <c r="L217">
        <f>IF(AND(Table2[[#This Row],[Outcome]]=1,Table2[[#This Row],[Glucose]]&gt;=100),1,0)</f>
        <v>1</v>
      </c>
    </row>
    <row r="218" spans="1:12" x14ac:dyDescent="0.25">
      <c r="A218">
        <v>5</v>
      </c>
      <c r="B218">
        <v>109</v>
      </c>
      <c r="C218">
        <v>62</v>
      </c>
      <c r="D218">
        <v>41</v>
      </c>
      <c r="E218">
        <v>129</v>
      </c>
      <c r="F218">
        <v>36</v>
      </c>
      <c r="G218">
        <v>0.67200000000000004</v>
      </c>
      <c r="H218">
        <v>25</v>
      </c>
      <c r="I218">
        <v>1</v>
      </c>
      <c r="J218">
        <f>IF(AND(Table2[[#This Row],[BMI]]&gt;=23,Table2[[#This Row],[Outcome]]=1),1,0)</f>
        <v>1</v>
      </c>
      <c r="K218">
        <f>IF(AND(Table2[[#This Row],[BMI+Outcome]]=1,Table2[[#This Row],[Glucose]]&gt;=100),1,0)</f>
        <v>1</v>
      </c>
      <c r="L218">
        <f>IF(AND(Table2[[#This Row],[Outcome]]=1,Table2[[#This Row],[Glucose]]&gt;=100),1,0)</f>
        <v>1</v>
      </c>
    </row>
    <row r="219" spans="1:12" x14ac:dyDescent="0.25">
      <c r="A219">
        <v>6</v>
      </c>
      <c r="B219">
        <v>125</v>
      </c>
      <c r="C219">
        <v>68</v>
      </c>
      <c r="D219">
        <v>30</v>
      </c>
      <c r="E219">
        <v>120</v>
      </c>
      <c r="F219">
        <v>30</v>
      </c>
      <c r="G219">
        <v>0.67200000000000004</v>
      </c>
      <c r="H219">
        <v>32</v>
      </c>
      <c r="I219">
        <v>0</v>
      </c>
      <c r="J219">
        <f>IF(AND(Table2[[#This Row],[BMI]]&gt;=23,Table2[[#This Row],[Outcome]]=1),1,0)</f>
        <v>0</v>
      </c>
      <c r="K219">
        <f>IF(AND(Table2[[#This Row],[BMI+Outcome]]=1,Table2[[#This Row],[Glucose]]&gt;=100),1,0)</f>
        <v>0</v>
      </c>
      <c r="L219">
        <f>IF(AND(Table2[[#This Row],[Outcome]]=1,Table2[[#This Row],[Glucose]]&gt;=100),1,0)</f>
        <v>0</v>
      </c>
    </row>
    <row r="220" spans="1:12" x14ac:dyDescent="0.25">
      <c r="A220">
        <v>5</v>
      </c>
      <c r="B220">
        <v>85</v>
      </c>
      <c r="C220">
        <v>74</v>
      </c>
      <c r="D220">
        <v>22</v>
      </c>
      <c r="E220">
        <v>80</v>
      </c>
      <c r="F220">
        <v>29</v>
      </c>
      <c r="G220">
        <v>0.67200000000000004</v>
      </c>
      <c r="H220">
        <v>32</v>
      </c>
      <c r="I220">
        <v>1</v>
      </c>
      <c r="J220">
        <f>IF(AND(Table2[[#This Row],[BMI]]&gt;=23,Table2[[#This Row],[Outcome]]=1),1,0)</f>
        <v>1</v>
      </c>
      <c r="K220">
        <f>IF(AND(Table2[[#This Row],[BMI+Outcome]]=1,Table2[[#This Row],[Glucose]]&gt;=100),1,0)</f>
        <v>0</v>
      </c>
      <c r="L220">
        <f>IF(AND(Table2[[#This Row],[Outcome]]=1,Table2[[#This Row],[Glucose]]&gt;=100),1,0)</f>
        <v>0</v>
      </c>
    </row>
    <row r="221" spans="1:12" x14ac:dyDescent="0.25">
      <c r="A221">
        <v>5</v>
      </c>
      <c r="B221">
        <v>112</v>
      </c>
      <c r="C221">
        <v>66</v>
      </c>
      <c r="D221">
        <v>21</v>
      </c>
      <c r="E221">
        <v>80</v>
      </c>
      <c r="F221">
        <v>38</v>
      </c>
      <c r="G221">
        <v>0.67200000000000004</v>
      </c>
      <c r="H221">
        <v>41</v>
      </c>
      <c r="I221">
        <v>1</v>
      </c>
      <c r="J221">
        <f>IF(AND(Table2[[#This Row],[BMI]]&gt;=23,Table2[[#This Row],[Outcome]]=1),1,0)</f>
        <v>1</v>
      </c>
      <c r="K221">
        <f>IF(AND(Table2[[#This Row],[BMI+Outcome]]=1,Table2[[#This Row],[Glucose]]&gt;=100),1,0)</f>
        <v>1</v>
      </c>
      <c r="L221">
        <f>IF(AND(Table2[[#This Row],[Outcome]]=1,Table2[[#This Row],[Glucose]]&gt;=100),1,0)</f>
        <v>1</v>
      </c>
    </row>
    <row r="222" spans="1:12" x14ac:dyDescent="0.25">
      <c r="A222">
        <v>4</v>
      </c>
      <c r="B222">
        <v>177</v>
      </c>
      <c r="C222">
        <v>60</v>
      </c>
      <c r="D222">
        <v>29</v>
      </c>
      <c r="E222">
        <v>478</v>
      </c>
      <c r="F222">
        <v>35</v>
      </c>
      <c r="G222">
        <v>0.67200000000000004</v>
      </c>
      <c r="H222">
        <v>21</v>
      </c>
      <c r="I222">
        <v>1</v>
      </c>
      <c r="J222">
        <f>IF(AND(Table2[[#This Row],[BMI]]&gt;=23,Table2[[#This Row],[Outcome]]=1),1,0)</f>
        <v>1</v>
      </c>
      <c r="K222">
        <f>IF(AND(Table2[[#This Row],[BMI+Outcome]]=1,Table2[[#This Row],[Glucose]]&gt;=100),1,0)</f>
        <v>1</v>
      </c>
      <c r="L222">
        <f>IF(AND(Table2[[#This Row],[Outcome]]=1,Table2[[#This Row],[Glucose]]&gt;=100),1,0)</f>
        <v>1</v>
      </c>
    </row>
    <row r="223" spans="1:12" x14ac:dyDescent="0.25">
      <c r="A223">
        <v>2</v>
      </c>
      <c r="B223">
        <v>158</v>
      </c>
      <c r="C223">
        <v>90</v>
      </c>
      <c r="D223">
        <v>21</v>
      </c>
      <c r="E223">
        <v>80</v>
      </c>
      <c r="F223">
        <v>32</v>
      </c>
      <c r="G223">
        <v>0.67200000000000004</v>
      </c>
      <c r="H223">
        <v>66</v>
      </c>
      <c r="I223">
        <v>1</v>
      </c>
      <c r="J223">
        <f>IF(AND(Table2[[#This Row],[BMI]]&gt;=23,Table2[[#This Row],[Outcome]]=1),1,0)</f>
        <v>1</v>
      </c>
      <c r="K223">
        <f>IF(AND(Table2[[#This Row],[BMI+Outcome]]=1,Table2[[#This Row],[Glucose]]&gt;=100),1,0)</f>
        <v>1</v>
      </c>
      <c r="L223">
        <f>IF(AND(Table2[[#This Row],[Outcome]]=1,Table2[[#This Row],[Glucose]]&gt;=100),1,0)</f>
        <v>1</v>
      </c>
    </row>
    <row r="224" spans="1:12" x14ac:dyDescent="0.25">
      <c r="A224">
        <v>7</v>
      </c>
      <c r="B224">
        <v>119</v>
      </c>
      <c r="C224">
        <v>69</v>
      </c>
      <c r="D224">
        <v>21</v>
      </c>
      <c r="E224">
        <v>80</v>
      </c>
      <c r="F224">
        <v>25</v>
      </c>
      <c r="G224">
        <v>0.67200000000000004</v>
      </c>
      <c r="H224">
        <v>37</v>
      </c>
      <c r="I224">
        <v>0</v>
      </c>
      <c r="J224">
        <f>IF(AND(Table2[[#This Row],[BMI]]&gt;=23,Table2[[#This Row],[Outcome]]=1),1,0)</f>
        <v>0</v>
      </c>
      <c r="K224">
        <f>IF(AND(Table2[[#This Row],[BMI+Outcome]]=1,Table2[[#This Row],[Glucose]]&gt;=100),1,0)</f>
        <v>0</v>
      </c>
      <c r="L224">
        <f>IF(AND(Table2[[#This Row],[Outcome]]=1,Table2[[#This Row],[Glucose]]&gt;=100),1,0)</f>
        <v>0</v>
      </c>
    </row>
    <row r="225" spans="1:12" x14ac:dyDescent="0.25">
      <c r="A225">
        <v>7</v>
      </c>
      <c r="B225">
        <v>142</v>
      </c>
      <c r="C225">
        <v>60</v>
      </c>
      <c r="D225">
        <v>33</v>
      </c>
      <c r="E225">
        <v>190</v>
      </c>
      <c r="F225">
        <v>29</v>
      </c>
      <c r="G225">
        <v>0.67200000000000004</v>
      </c>
      <c r="H225">
        <v>61</v>
      </c>
      <c r="I225">
        <v>0</v>
      </c>
      <c r="J225">
        <f>IF(AND(Table2[[#This Row],[BMI]]&gt;=23,Table2[[#This Row],[Outcome]]=1),1,0)</f>
        <v>0</v>
      </c>
      <c r="K225">
        <f>IF(AND(Table2[[#This Row],[BMI+Outcome]]=1,Table2[[#This Row],[Glucose]]&gt;=100),1,0)</f>
        <v>0</v>
      </c>
      <c r="L225">
        <f>IF(AND(Table2[[#This Row],[Outcome]]=1,Table2[[#This Row],[Glucose]]&gt;=100),1,0)</f>
        <v>0</v>
      </c>
    </row>
    <row r="226" spans="1:12" x14ac:dyDescent="0.25">
      <c r="A226">
        <v>1</v>
      </c>
      <c r="B226">
        <v>100</v>
      </c>
      <c r="C226">
        <v>66</v>
      </c>
      <c r="D226">
        <v>15</v>
      </c>
      <c r="E226">
        <v>56</v>
      </c>
      <c r="F226">
        <v>24</v>
      </c>
      <c r="G226">
        <v>0.67200000000000004</v>
      </c>
      <c r="H226">
        <v>26</v>
      </c>
      <c r="I226">
        <v>0</v>
      </c>
      <c r="J226">
        <f>IF(AND(Table2[[#This Row],[BMI]]&gt;=23,Table2[[#This Row],[Outcome]]=1),1,0)</f>
        <v>0</v>
      </c>
      <c r="K226">
        <f>IF(AND(Table2[[#This Row],[BMI+Outcome]]=1,Table2[[#This Row],[Glucose]]&gt;=100),1,0)</f>
        <v>0</v>
      </c>
      <c r="L226">
        <f>IF(AND(Table2[[#This Row],[Outcome]]=1,Table2[[#This Row],[Glucose]]&gt;=100),1,0)</f>
        <v>0</v>
      </c>
    </row>
    <row r="227" spans="1:12" x14ac:dyDescent="0.25">
      <c r="A227">
        <v>1</v>
      </c>
      <c r="B227">
        <v>87</v>
      </c>
      <c r="C227">
        <v>78</v>
      </c>
      <c r="D227">
        <v>27</v>
      </c>
      <c r="E227">
        <v>32</v>
      </c>
      <c r="F227">
        <v>35</v>
      </c>
      <c r="G227">
        <v>0.67200000000000004</v>
      </c>
      <c r="H227">
        <v>22</v>
      </c>
      <c r="I227">
        <v>0</v>
      </c>
      <c r="J227">
        <f>IF(AND(Table2[[#This Row],[BMI]]&gt;=23,Table2[[#This Row],[Outcome]]=1),1,0)</f>
        <v>0</v>
      </c>
      <c r="K227">
        <f>IF(AND(Table2[[#This Row],[BMI+Outcome]]=1,Table2[[#This Row],[Glucose]]&gt;=100),1,0)</f>
        <v>0</v>
      </c>
      <c r="L227">
        <f>IF(AND(Table2[[#This Row],[Outcome]]=1,Table2[[#This Row],[Glucose]]&gt;=100),1,0)</f>
        <v>0</v>
      </c>
    </row>
    <row r="228" spans="1:12" x14ac:dyDescent="0.25">
      <c r="A228">
        <v>4</v>
      </c>
      <c r="B228">
        <v>101</v>
      </c>
      <c r="C228">
        <v>76</v>
      </c>
      <c r="D228">
        <v>21</v>
      </c>
      <c r="E228">
        <v>80</v>
      </c>
      <c r="F228">
        <v>36</v>
      </c>
      <c r="G228">
        <v>0.67200000000000004</v>
      </c>
      <c r="H228">
        <v>26</v>
      </c>
      <c r="I228">
        <v>0</v>
      </c>
      <c r="J228">
        <f>IF(AND(Table2[[#This Row],[BMI]]&gt;=23,Table2[[#This Row],[Outcome]]=1),1,0)</f>
        <v>0</v>
      </c>
      <c r="K228">
        <f>IF(AND(Table2[[#This Row],[BMI+Outcome]]=1,Table2[[#This Row],[Glucose]]&gt;=100),1,0)</f>
        <v>0</v>
      </c>
      <c r="L228">
        <f>IF(AND(Table2[[#This Row],[Outcome]]=1,Table2[[#This Row],[Glucose]]&gt;=100),1,0)</f>
        <v>0</v>
      </c>
    </row>
    <row r="229" spans="1:12" x14ac:dyDescent="0.25">
      <c r="A229">
        <v>3</v>
      </c>
      <c r="B229">
        <v>162</v>
      </c>
      <c r="C229">
        <v>52</v>
      </c>
      <c r="D229">
        <v>38</v>
      </c>
      <c r="E229">
        <v>80</v>
      </c>
      <c r="F229">
        <v>37</v>
      </c>
      <c r="G229">
        <v>0.67200000000000004</v>
      </c>
      <c r="H229">
        <v>24</v>
      </c>
      <c r="I229">
        <v>1</v>
      </c>
      <c r="J229">
        <f>IF(AND(Table2[[#This Row],[BMI]]&gt;=23,Table2[[#This Row],[Outcome]]=1),1,0)</f>
        <v>1</v>
      </c>
      <c r="K229">
        <f>IF(AND(Table2[[#This Row],[BMI+Outcome]]=1,Table2[[#This Row],[Glucose]]&gt;=100),1,0)</f>
        <v>1</v>
      </c>
      <c r="L229">
        <f>IF(AND(Table2[[#This Row],[Outcome]]=1,Table2[[#This Row],[Glucose]]&gt;=100),1,0)</f>
        <v>1</v>
      </c>
    </row>
    <row r="230" spans="1:12" x14ac:dyDescent="0.25">
      <c r="A230">
        <v>4</v>
      </c>
      <c r="B230">
        <v>197</v>
      </c>
      <c r="C230">
        <v>70</v>
      </c>
      <c r="D230">
        <v>39</v>
      </c>
      <c r="E230">
        <v>744</v>
      </c>
      <c r="F230">
        <v>37</v>
      </c>
      <c r="G230">
        <v>0.67200000000000004</v>
      </c>
      <c r="H230">
        <v>31</v>
      </c>
      <c r="I230">
        <v>0</v>
      </c>
      <c r="J230">
        <f>IF(AND(Table2[[#This Row],[BMI]]&gt;=23,Table2[[#This Row],[Outcome]]=1),1,0)</f>
        <v>0</v>
      </c>
      <c r="K230">
        <f>IF(AND(Table2[[#This Row],[BMI+Outcome]]=1,Table2[[#This Row],[Glucose]]&gt;=100),1,0)</f>
        <v>0</v>
      </c>
      <c r="L230">
        <f>IF(AND(Table2[[#This Row],[Outcome]]=1,Table2[[#This Row],[Glucose]]&gt;=100),1,0)</f>
        <v>0</v>
      </c>
    </row>
    <row r="231" spans="1:12" x14ac:dyDescent="0.25">
      <c r="A231">
        <v>4</v>
      </c>
      <c r="B231">
        <v>117</v>
      </c>
      <c r="C231">
        <v>80</v>
      </c>
      <c r="D231">
        <v>31</v>
      </c>
      <c r="E231">
        <v>53</v>
      </c>
      <c r="F231">
        <v>45</v>
      </c>
      <c r="G231">
        <v>0.67200000000000004</v>
      </c>
      <c r="H231">
        <v>24</v>
      </c>
      <c r="I231">
        <v>0</v>
      </c>
      <c r="J231">
        <f>IF(AND(Table2[[#This Row],[BMI]]&gt;=23,Table2[[#This Row],[Outcome]]=1),1,0)</f>
        <v>0</v>
      </c>
      <c r="K231">
        <f>IF(AND(Table2[[#This Row],[BMI+Outcome]]=1,Table2[[#This Row],[Glucose]]&gt;=100),1,0)</f>
        <v>0</v>
      </c>
      <c r="L231">
        <f>IF(AND(Table2[[#This Row],[Outcome]]=1,Table2[[#This Row],[Glucose]]&gt;=100),1,0)</f>
        <v>0</v>
      </c>
    </row>
    <row r="232" spans="1:12" x14ac:dyDescent="0.25">
      <c r="A232">
        <v>4</v>
      </c>
      <c r="B232">
        <v>142</v>
      </c>
      <c r="C232">
        <v>86</v>
      </c>
      <c r="D232">
        <v>21</v>
      </c>
      <c r="E232">
        <v>80</v>
      </c>
      <c r="F232">
        <v>44</v>
      </c>
      <c r="G232">
        <v>0.67200000000000004</v>
      </c>
      <c r="H232">
        <v>22</v>
      </c>
      <c r="I232">
        <v>1</v>
      </c>
      <c r="J232">
        <f>IF(AND(Table2[[#This Row],[BMI]]&gt;=23,Table2[[#This Row],[Outcome]]=1),1,0)</f>
        <v>1</v>
      </c>
      <c r="K232">
        <f>IF(AND(Table2[[#This Row],[BMI+Outcome]]=1,Table2[[#This Row],[Glucose]]&gt;=100),1,0)</f>
        <v>1</v>
      </c>
      <c r="L232">
        <f>IF(AND(Table2[[#This Row],[Outcome]]=1,Table2[[#This Row],[Glucose]]&gt;=100),1,0)</f>
        <v>1</v>
      </c>
    </row>
    <row r="233" spans="1:12" x14ac:dyDescent="0.25">
      <c r="A233">
        <v>6</v>
      </c>
      <c r="B233">
        <v>134</v>
      </c>
      <c r="C233">
        <v>80</v>
      </c>
      <c r="D233">
        <v>37</v>
      </c>
      <c r="E233">
        <v>370</v>
      </c>
      <c r="F233">
        <v>46</v>
      </c>
      <c r="G233">
        <v>0.67200000000000004</v>
      </c>
      <c r="H233">
        <v>46</v>
      </c>
      <c r="I233">
        <v>1</v>
      </c>
      <c r="J233">
        <f>IF(AND(Table2[[#This Row],[BMI]]&gt;=23,Table2[[#This Row],[Outcome]]=1),1,0)</f>
        <v>1</v>
      </c>
      <c r="K233">
        <f>IF(AND(Table2[[#This Row],[BMI+Outcome]]=1,Table2[[#This Row],[Glucose]]&gt;=100),1,0)</f>
        <v>1</v>
      </c>
      <c r="L233">
        <f>IF(AND(Table2[[#This Row],[Outcome]]=1,Table2[[#This Row],[Glucose]]&gt;=100),1,0)</f>
        <v>1</v>
      </c>
    </row>
    <row r="234" spans="1:12" x14ac:dyDescent="0.25">
      <c r="A234">
        <v>1</v>
      </c>
      <c r="B234">
        <v>79</v>
      </c>
      <c r="C234">
        <v>80</v>
      </c>
      <c r="D234">
        <v>25</v>
      </c>
      <c r="E234">
        <v>37</v>
      </c>
      <c r="F234">
        <v>25</v>
      </c>
      <c r="G234">
        <v>0.67200000000000004</v>
      </c>
      <c r="H234">
        <v>22</v>
      </c>
      <c r="I234">
        <v>0</v>
      </c>
      <c r="J234">
        <f>IF(AND(Table2[[#This Row],[BMI]]&gt;=23,Table2[[#This Row],[Outcome]]=1),1,0)</f>
        <v>0</v>
      </c>
      <c r="K234">
        <f>IF(AND(Table2[[#This Row],[BMI+Outcome]]=1,Table2[[#This Row],[Glucose]]&gt;=100),1,0)</f>
        <v>0</v>
      </c>
      <c r="L234">
        <f>IF(AND(Table2[[#This Row],[Outcome]]=1,Table2[[#This Row],[Glucose]]&gt;=100),1,0)</f>
        <v>0</v>
      </c>
    </row>
    <row r="235" spans="1:12" x14ac:dyDescent="0.25">
      <c r="A235">
        <v>4</v>
      </c>
      <c r="B235">
        <v>122</v>
      </c>
      <c r="C235">
        <v>68</v>
      </c>
      <c r="D235">
        <v>21</v>
      </c>
      <c r="E235">
        <v>80</v>
      </c>
      <c r="F235">
        <v>35</v>
      </c>
      <c r="G235">
        <v>0.67200000000000004</v>
      </c>
      <c r="H235">
        <v>29</v>
      </c>
      <c r="I235">
        <v>0</v>
      </c>
      <c r="J235">
        <f>IF(AND(Table2[[#This Row],[BMI]]&gt;=23,Table2[[#This Row],[Outcome]]=1),1,0)</f>
        <v>0</v>
      </c>
      <c r="K235">
        <f>IF(AND(Table2[[#This Row],[BMI+Outcome]]=1,Table2[[#This Row],[Glucose]]&gt;=100),1,0)</f>
        <v>0</v>
      </c>
      <c r="L235">
        <f>IF(AND(Table2[[#This Row],[Outcome]]=1,Table2[[#This Row],[Glucose]]&gt;=100),1,0)</f>
        <v>0</v>
      </c>
    </row>
    <row r="236" spans="1:12" x14ac:dyDescent="0.25">
      <c r="A236">
        <v>3</v>
      </c>
      <c r="B236">
        <v>74</v>
      </c>
      <c r="C236">
        <v>68</v>
      </c>
      <c r="D236">
        <v>28</v>
      </c>
      <c r="E236">
        <v>45</v>
      </c>
      <c r="F236">
        <v>30</v>
      </c>
      <c r="G236">
        <v>0.67200000000000004</v>
      </c>
      <c r="H236">
        <v>23</v>
      </c>
      <c r="I236">
        <v>0</v>
      </c>
      <c r="J236">
        <f>IF(AND(Table2[[#This Row],[BMI]]&gt;=23,Table2[[#This Row],[Outcome]]=1),1,0)</f>
        <v>0</v>
      </c>
      <c r="K236">
        <f>IF(AND(Table2[[#This Row],[BMI+Outcome]]=1,Table2[[#This Row],[Glucose]]&gt;=100),1,0)</f>
        <v>0</v>
      </c>
      <c r="L236">
        <f>IF(AND(Table2[[#This Row],[Outcome]]=1,Table2[[#This Row],[Glucose]]&gt;=100),1,0)</f>
        <v>0</v>
      </c>
    </row>
    <row r="237" spans="1:12" x14ac:dyDescent="0.25">
      <c r="A237">
        <v>4</v>
      </c>
      <c r="B237">
        <v>171</v>
      </c>
      <c r="C237">
        <v>72</v>
      </c>
      <c r="D237">
        <v>21</v>
      </c>
      <c r="E237">
        <v>80</v>
      </c>
      <c r="F237">
        <v>44</v>
      </c>
      <c r="G237">
        <v>0.67200000000000004</v>
      </c>
      <c r="H237">
        <v>26</v>
      </c>
      <c r="I237">
        <v>1</v>
      </c>
      <c r="J237">
        <f>IF(AND(Table2[[#This Row],[BMI]]&gt;=23,Table2[[#This Row],[Outcome]]=1),1,0)</f>
        <v>1</v>
      </c>
      <c r="K237">
        <f>IF(AND(Table2[[#This Row],[BMI+Outcome]]=1,Table2[[#This Row],[Glucose]]&gt;=100),1,0)</f>
        <v>1</v>
      </c>
      <c r="L237">
        <f>IF(AND(Table2[[#This Row],[Outcome]]=1,Table2[[#This Row],[Glucose]]&gt;=100),1,0)</f>
        <v>1</v>
      </c>
    </row>
    <row r="238" spans="1:12" x14ac:dyDescent="0.25">
      <c r="A238">
        <v>7</v>
      </c>
      <c r="B238">
        <v>181</v>
      </c>
      <c r="C238">
        <v>84</v>
      </c>
      <c r="D238">
        <v>21</v>
      </c>
      <c r="E238">
        <v>192</v>
      </c>
      <c r="F238">
        <v>36</v>
      </c>
      <c r="G238">
        <v>0.67200000000000004</v>
      </c>
      <c r="H238">
        <v>51</v>
      </c>
      <c r="I238">
        <v>1</v>
      </c>
      <c r="J238">
        <f>IF(AND(Table2[[#This Row],[BMI]]&gt;=23,Table2[[#This Row],[Outcome]]=1),1,0)</f>
        <v>1</v>
      </c>
      <c r="K238">
        <f>IF(AND(Table2[[#This Row],[BMI+Outcome]]=1,Table2[[#This Row],[Glucose]]&gt;=100),1,0)</f>
        <v>1</v>
      </c>
      <c r="L238">
        <f>IF(AND(Table2[[#This Row],[Outcome]]=1,Table2[[#This Row],[Glucose]]&gt;=100),1,0)</f>
        <v>1</v>
      </c>
    </row>
    <row r="239" spans="1:12" x14ac:dyDescent="0.25">
      <c r="A239">
        <v>4</v>
      </c>
      <c r="B239">
        <v>179</v>
      </c>
      <c r="C239">
        <v>90</v>
      </c>
      <c r="D239">
        <v>27</v>
      </c>
      <c r="E239">
        <v>80</v>
      </c>
      <c r="F239">
        <v>44</v>
      </c>
      <c r="G239">
        <v>0.67200000000000004</v>
      </c>
      <c r="H239">
        <v>23</v>
      </c>
      <c r="I239">
        <v>1</v>
      </c>
      <c r="J239">
        <f>IF(AND(Table2[[#This Row],[BMI]]&gt;=23,Table2[[#This Row],[Outcome]]=1),1,0)</f>
        <v>1</v>
      </c>
      <c r="K239">
        <f>IF(AND(Table2[[#This Row],[BMI+Outcome]]=1,Table2[[#This Row],[Glucose]]&gt;=100),1,0)</f>
        <v>1</v>
      </c>
      <c r="L239">
        <f>IF(AND(Table2[[#This Row],[Outcome]]=1,Table2[[#This Row],[Glucose]]&gt;=100),1,0)</f>
        <v>1</v>
      </c>
    </row>
    <row r="240" spans="1:12" x14ac:dyDescent="0.25">
      <c r="A240">
        <v>9</v>
      </c>
      <c r="B240">
        <v>164</v>
      </c>
      <c r="C240">
        <v>84</v>
      </c>
      <c r="D240">
        <v>21</v>
      </c>
      <c r="E240">
        <v>80</v>
      </c>
      <c r="F240">
        <v>31</v>
      </c>
      <c r="G240">
        <v>0.67200000000000004</v>
      </c>
      <c r="H240">
        <v>32</v>
      </c>
      <c r="I240">
        <v>1</v>
      </c>
      <c r="J240">
        <f>IF(AND(Table2[[#This Row],[BMI]]&gt;=23,Table2[[#This Row],[Outcome]]=1),1,0)</f>
        <v>1</v>
      </c>
      <c r="K240">
        <f>IF(AND(Table2[[#This Row],[BMI+Outcome]]=1,Table2[[#This Row],[Glucose]]&gt;=100),1,0)</f>
        <v>1</v>
      </c>
      <c r="L240">
        <f>IF(AND(Table2[[#This Row],[Outcome]]=1,Table2[[#This Row],[Glucose]]&gt;=100),1,0)</f>
        <v>1</v>
      </c>
    </row>
    <row r="241" spans="1:12" x14ac:dyDescent="0.25">
      <c r="A241">
        <v>4</v>
      </c>
      <c r="B241">
        <v>104</v>
      </c>
      <c r="C241">
        <v>76</v>
      </c>
      <c r="D241">
        <v>21</v>
      </c>
      <c r="E241">
        <v>80</v>
      </c>
      <c r="F241">
        <v>18</v>
      </c>
      <c r="G241">
        <v>0.67200000000000004</v>
      </c>
      <c r="H241">
        <v>27</v>
      </c>
      <c r="I241">
        <v>0</v>
      </c>
      <c r="J241">
        <f>IF(AND(Table2[[#This Row],[BMI]]&gt;=23,Table2[[#This Row],[Outcome]]=1),1,0)</f>
        <v>0</v>
      </c>
      <c r="K241">
        <f>IF(AND(Table2[[#This Row],[BMI+Outcome]]=1,Table2[[#This Row],[Glucose]]&gt;=100),1,0)</f>
        <v>0</v>
      </c>
      <c r="L241">
        <f>IF(AND(Table2[[#This Row],[Outcome]]=1,Table2[[#This Row],[Glucose]]&gt;=100),1,0)</f>
        <v>0</v>
      </c>
    </row>
    <row r="242" spans="1:12" x14ac:dyDescent="0.25">
      <c r="A242">
        <v>1</v>
      </c>
      <c r="B242">
        <v>91</v>
      </c>
      <c r="C242">
        <v>64</v>
      </c>
      <c r="D242">
        <v>24</v>
      </c>
      <c r="E242">
        <v>80</v>
      </c>
      <c r="F242">
        <v>29</v>
      </c>
      <c r="G242">
        <v>0.67200000000000004</v>
      </c>
      <c r="H242">
        <v>21</v>
      </c>
      <c r="I242">
        <v>0</v>
      </c>
      <c r="J242">
        <f>IF(AND(Table2[[#This Row],[BMI]]&gt;=23,Table2[[#This Row],[Outcome]]=1),1,0)</f>
        <v>0</v>
      </c>
      <c r="K242">
        <f>IF(AND(Table2[[#This Row],[BMI+Outcome]]=1,Table2[[#This Row],[Glucose]]&gt;=100),1,0)</f>
        <v>0</v>
      </c>
      <c r="L242">
        <f>IF(AND(Table2[[#This Row],[Outcome]]=1,Table2[[#This Row],[Glucose]]&gt;=100),1,0)</f>
        <v>0</v>
      </c>
    </row>
    <row r="243" spans="1:12" x14ac:dyDescent="0.25">
      <c r="A243">
        <v>4</v>
      </c>
      <c r="B243">
        <v>91</v>
      </c>
      <c r="C243">
        <v>70</v>
      </c>
      <c r="D243">
        <v>32</v>
      </c>
      <c r="E243">
        <v>88</v>
      </c>
      <c r="F243">
        <v>33</v>
      </c>
      <c r="G243">
        <v>0.67200000000000004</v>
      </c>
      <c r="H243">
        <v>22</v>
      </c>
      <c r="I243">
        <v>0</v>
      </c>
      <c r="J243">
        <f>IF(AND(Table2[[#This Row],[BMI]]&gt;=23,Table2[[#This Row],[Outcome]]=1),1,0)</f>
        <v>0</v>
      </c>
      <c r="K243">
        <f>IF(AND(Table2[[#This Row],[BMI+Outcome]]=1,Table2[[#This Row],[Glucose]]&gt;=100),1,0)</f>
        <v>0</v>
      </c>
      <c r="L243">
        <f>IF(AND(Table2[[#This Row],[Outcome]]=1,Table2[[#This Row],[Glucose]]&gt;=100),1,0)</f>
        <v>0</v>
      </c>
    </row>
    <row r="244" spans="1:12" x14ac:dyDescent="0.25">
      <c r="A244">
        <v>3</v>
      </c>
      <c r="B244">
        <v>139</v>
      </c>
      <c r="C244">
        <v>54</v>
      </c>
      <c r="D244">
        <v>21</v>
      </c>
      <c r="E244">
        <v>80</v>
      </c>
      <c r="F244">
        <v>26</v>
      </c>
      <c r="G244">
        <v>0.67200000000000004</v>
      </c>
      <c r="H244">
        <v>22</v>
      </c>
      <c r="I244">
        <v>1</v>
      </c>
      <c r="J244">
        <f>IF(AND(Table2[[#This Row],[BMI]]&gt;=23,Table2[[#This Row],[Outcome]]=1),1,0)</f>
        <v>1</v>
      </c>
      <c r="K244">
        <f>IF(AND(Table2[[#This Row],[BMI+Outcome]]=1,Table2[[#This Row],[Glucose]]&gt;=100),1,0)</f>
        <v>1</v>
      </c>
      <c r="L244">
        <f>IF(AND(Table2[[#This Row],[Outcome]]=1,Table2[[#This Row],[Glucose]]&gt;=100),1,0)</f>
        <v>1</v>
      </c>
    </row>
    <row r="245" spans="1:12" x14ac:dyDescent="0.25">
      <c r="A245">
        <v>6</v>
      </c>
      <c r="B245">
        <v>119</v>
      </c>
      <c r="C245">
        <v>50</v>
      </c>
      <c r="D245">
        <v>22</v>
      </c>
      <c r="E245">
        <v>176</v>
      </c>
      <c r="F245">
        <v>27</v>
      </c>
      <c r="G245">
        <v>0.67200000000000004</v>
      </c>
      <c r="H245">
        <v>33</v>
      </c>
      <c r="I245">
        <v>1</v>
      </c>
      <c r="J245">
        <f>IF(AND(Table2[[#This Row],[BMI]]&gt;=23,Table2[[#This Row],[Outcome]]=1),1,0)</f>
        <v>1</v>
      </c>
      <c r="K245">
        <f>IF(AND(Table2[[#This Row],[BMI+Outcome]]=1,Table2[[#This Row],[Glucose]]&gt;=100),1,0)</f>
        <v>1</v>
      </c>
      <c r="L245">
        <f>IF(AND(Table2[[#This Row],[Outcome]]=1,Table2[[#This Row],[Glucose]]&gt;=100),1,0)</f>
        <v>1</v>
      </c>
    </row>
    <row r="246" spans="1:12" x14ac:dyDescent="0.25">
      <c r="A246">
        <v>2</v>
      </c>
      <c r="B246">
        <v>146</v>
      </c>
      <c r="C246">
        <v>76</v>
      </c>
      <c r="D246">
        <v>35</v>
      </c>
      <c r="E246">
        <v>194</v>
      </c>
      <c r="F246">
        <v>38</v>
      </c>
      <c r="G246">
        <v>0.67200000000000004</v>
      </c>
      <c r="H246">
        <v>29</v>
      </c>
      <c r="I246">
        <v>0</v>
      </c>
      <c r="J246">
        <f>IF(AND(Table2[[#This Row],[BMI]]&gt;=23,Table2[[#This Row],[Outcome]]=1),1,0)</f>
        <v>0</v>
      </c>
      <c r="K246">
        <f>IF(AND(Table2[[#This Row],[BMI+Outcome]]=1,Table2[[#This Row],[Glucose]]&gt;=100),1,0)</f>
        <v>0</v>
      </c>
      <c r="L246">
        <f>IF(AND(Table2[[#This Row],[Outcome]]=1,Table2[[#This Row],[Glucose]]&gt;=100),1,0)</f>
        <v>0</v>
      </c>
    </row>
    <row r="247" spans="1:12" x14ac:dyDescent="0.25">
      <c r="A247">
        <v>9</v>
      </c>
      <c r="B247">
        <v>184</v>
      </c>
      <c r="C247">
        <v>85</v>
      </c>
      <c r="D247">
        <v>15</v>
      </c>
      <c r="E247">
        <v>80</v>
      </c>
      <c r="F247">
        <v>30</v>
      </c>
      <c r="G247">
        <v>0.67200000000000004</v>
      </c>
      <c r="H247">
        <v>49</v>
      </c>
      <c r="I247">
        <v>1</v>
      </c>
      <c r="J247">
        <f>IF(AND(Table2[[#This Row],[BMI]]&gt;=23,Table2[[#This Row],[Outcome]]=1),1,0)</f>
        <v>1</v>
      </c>
      <c r="K247">
        <f>IF(AND(Table2[[#This Row],[BMI+Outcome]]=1,Table2[[#This Row],[Glucose]]&gt;=100),1,0)</f>
        <v>1</v>
      </c>
      <c r="L247">
        <f>IF(AND(Table2[[#This Row],[Outcome]]=1,Table2[[#This Row],[Glucose]]&gt;=100),1,0)</f>
        <v>1</v>
      </c>
    </row>
    <row r="248" spans="1:12" x14ac:dyDescent="0.25">
      <c r="A248">
        <v>10</v>
      </c>
      <c r="B248">
        <v>122</v>
      </c>
      <c r="C248">
        <v>68</v>
      </c>
      <c r="D248">
        <v>21</v>
      </c>
      <c r="E248">
        <v>80</v>
      </c>
      <c r="F248">
        <v>31</v>
      </c>
      <c r="G248">
        <v>0.67200000000000004</v>
      </c>
      <c r="H248">
        <v>41</v>
      </c>
      <c r="I248">
        <v>0</v>
      </c>
      <c r="J248">
        <f>IF(AND(Table2[[#This Row],[BMI]]&gt;=23,Table2[[#This Row],[Outcome]]=1),1,0)</f>
        <v>0</v>
      </c>
      <c r="K248">
        <f>IF(AND(Table2[[#This Row],[BMI+Outcome]]=1,Table2[[#This Row],[Glucose]]&gt;=100),1,0)</f>
        <v>0</v>
      </c>
      <c r="L248">
        <f>IF(AND(Table2[[#This Row],[Outcome]]=1,Table2[[#This Row],[Glucose]]&gt;=100),1,0)</f>
        <v>0</v>
      </c>
    </row>
    <row r="249" spans="1:12" x14ac:dyDescent="0.25">
      <c r="A249">
        <v>4</v>
      </c>
      <c r="B249">
        <v>165</v>
      </c>
      <c r="C249">
        <v>90</v>
      </c>
      <c r="D249">
        <v>33</v>
      </c>
      <c r="E249">
        <v>680</v>
      </c>
      <c r="F249">
        <v>52</v>
      </c>
      <c r="G249">
        <v>0.67200000000000004</v>
      </c>
      <c r="H249">
        <v>23</v>
      </c>
      <c r="I249">
        <v>0</v>
      </c>
      <c r="J249">
        <f>IF(AND(Table2[[#This Row],[BMI]]&gt;=23,Table2[[#This Row],[Outcome]]=1),1,0)</f>
        <v>0</v>
      </c>
      <c r="K249">
        <f>IF(AND(Table2[[#This Row],[BMI+Outcome]]=1,Table2[[#This Row],[Glucose]]&gt;=100),1,0)</f>
        <v>0</v>
      </c>
      <c r="L249">
        <f>IF(AND(Table2[[#This Row],[Outcome]]=1,Table2[[#This Row],[Glucose]]&gt;=100),1,0)</f>
        <v>0</v>
      </c>
    </row>
    <row r="250" spans="1:12" x14ac:dyDescent="0.25">
      <c r="A250">
        <v>9</v>
      </c>
      <c r="B250">
        <v>124</v>
      </c>
      <c r="C250">
        <v>70</v>
      </c>
      <c r="D250">
        <v>33</v>
      </c>
      <c r="E250">
        <v>402</v>
      </c>
      <c r="F250">
        <v>35</v>
      </c>
      <c r="G250">
        <v>0.67200000000000004</v>
      </c>
      <c r="H250">
        <v>34</v>
      </c>
      <c r="I250">
        <v>0</v>
      </c>
      <c r="J250">
        <f>IF(AND(Table2[[#This Row],[BMI]]&gt;=23,Table2[[#This Row],[Outcome]]=1),1,0)</f>
        <v>0</v>
      </c>
      <c r="K250">
        <f>IF(AND(Table2[[#This Row],[BMI+Outcome]]=1,Table2[[#This Row],[Glucose]]&gt;=100),1,0)</f>
        <v>0</v>
      </c>
      <c r="L250">
        <f>IF(AND(Table2[[#This Row],[Outcome]]=1,Table2[[#This Row],[Glucose]]&gt;=100),1,0)</f>
        <v>0</v>
      </c>
    </row>
    <row r="251" spans="1:12" x14ac:dyDescent="0.25">
      <c r="A251">
        <v>1</v>
      </c>
      <c r="B251">
        <v>111</v>
      </c>
      <c r="C251">
        <v>86</v>
      </c>
      <c r="D251">
        <v>19</v>
      </c>
      <c r="E251">
        <v>80</v>
      </c>
      <c r="F251">
        <v>30</v>
      </c>
      <c r="G251">
        <v>0.67200000000000004</v>
      </c>
      <c r="H251">
        <v>23</v>
      </c>
      <c r="I251">
        <v>0</v>
      </c>
      <c r="J251">
        <f>IF(AND(Table2[[#This Row],[BMI]]&gt;=23,Table2[[#This Row],[Outcome]]=1),1,0)</f>
        <v>0</v>
      </c>
      <c r="K251">
        <f>IF(AND(Table2[[#This Row],[BMI+Outcome]]=1,Table2[[#This Row],[Glucose]]&gt;=100),1,0)</f>
        <v>0</v>
      </c>
      <c r="L251">
        <f>IF(AND(Table2[[#This Row],[Outcome]]=1,Table2[[#This Row],[Glucose]]&gt;=100),1,0)</f>
        <v>0</v>
      </c>
    </row>
    <row r="252" spans="1:12" x14ac:dyDescent="0.25">
      <c r="A252">
        <v>9</v>
      </c>
      <c r="B252">
        <v>106</v>
      </c>
      <c r="C252">
        <v>52</v>
      </c>
      <c r="D252">
        <v>21</v>
      </c>
      <c r="E252">
        <v>80</v>
      </c>
      <c r="F252">
        <v>31</v>
      </c>
      <c r="G252">
        <v>0.67200000000000004</v>
      </c>
      <c r="H252">
        <v>42</v>
      </c>
      <c r="I252">
        <v>0</v>
      </c>
      <c r="J252">
        <f>IF(AND(Table2[[#This Row],[BMI]]&gt;=23,Table2[[#This Row],[Outcome]]=1),1,0)</f>
        <v>0</v>
      </c>
      <c r="K252">
        <f>IF(AND(Table2[[#This Row],[BMI+Outcome]]=1,Table2[[#This Row],[Glucose]]&gt;=100),1,0)</f>
        <v>0</v>
      </c>
      <c r="L252">
        <f>IF(AND(Table2[[#This Row],[Outcome]]=1,Table2[[#This Row],[Glucose]]&gt;=100),1,0)</f>
        <v>0</v>
      </c>
    </row>
    <row r="253" spans="1:12" x14ac:dyDescent="0.25">
      <c r="A253">
        <v>2</v>
      </c>
      <c r="B253">
        <v>129</v>
      </c>
      <c r="C253">
        <v>84</v>
      </c>
      <c r="D253">
        <v>21</v>
      </c>
      <c r="E253">
        <v>80</v>
      </c>
      <c r="F253">
        <v>28</v>
      </c>
      <c r="G253">
        <v>0.67200000000000004</v>
      </c>
      <c r="H253">
        <v>27</v>
      </c>
      <c r="I253">
        <v>0</v>
      </c>
      <c r="J253">
        <f>IF(AND(Table2[[#This Row],[BMI]]&gt;=23,Table2[[#This Row],[Outcome]]=1),1,0)</f>
        <v>0</v>
      </c>
      <c r="K253">
        <f>IF(AND(Table2[[#This Row],[BMI+Outcome]]=1,Table2[[#This Row],[Glucose]]&gt;=100),1,0)</f>
        <v>0</v>
      </c>
      <c r="L253">
        <f>IF(AND(Table2[[#This Row],[Outcome]]=1,Table2[[#This Row],[Glucose]]&gt;=100),1,0)</f>
        <v>0</v>
      </c>
    </row>
    <row r="254" spans="1:12" x14ac:dyDescent="0.25">
      <c r="A254">
        <v>2</v>
      </c>
      <c r="B254">
        <v>90</v>
      </c>
      <c r="C254">
        <v>80</v>
      </c>
      <c r="D254">
        <v>14</v>
      </c>
      <c r="E254">
        <v>55</v>
      </c>
      <c r="F254">
        <v>24</v>
      </c>
      <c r="G254">
        <v>0.67200000000000004</v>
      </c>
      <c r="H254">
        <v>24</v>
      </c>
      <c r="I254">
        <v>0</v>
      </c>
      <c r="J254">
        <f>IF(AND(Table2[[#This Row],[BMI]]&gt;=23,Table2[[#This Row],[Outcome]]=1),1,0)</f>
        <v>0</v>
      </c>
      <c r="K254">
        <f>IF(AND(Table2[[#This Row],[BMI+Outcome]]=1,Table2[[#This Row],[Glucose]]&gt;=100),1,0)</f>
        <v>0</v>
      </c>
      <c r="L254">
        <f>IF(AND(Table2[[#This Row],[Outcome]]=1,Table2[[#This Row],[Glucose]]&gt;=100),1,0)</f>
        <v>0</v>
      </c>
    </row>
    <row r="255" spans="1:12" x14ac:dyDescent="0.25">
      <c r="A255">
        <v>4</v>
      </c>
      <c r="B255">
        <v>86</v>
      </c>
      <c r="C255">
        <v>68</v>
      </c>
      <c r="D255">
        <v>32</v>
      </c>
      <c r="E255">
        <v>80</v>
      </c>
      <c r="F255">
        <v>36</v>
      </c>
      <c r="G255">
        <v>0.67200000000000004</v>
      </c>
      <c r="H255">
        <v>25</v>
      </c>
      <c r="I255">
        <v>0</v>
      </c>
      <c r="J255">
        <f>IF(AND(Table2[[#This Row],[BMI]]&gt;=23,Table2[[#This Row],[Outcome]]=1),1,0)</f>
        <v>0</v>
      </c>
      <c r="K255">
        <f>IF(AND(Table2[[#This Row],[BMI+Outcome]]=1,Table2[[#This Row],[Glucose]]&gt;=100),1,0)</f>
        <v>0</v>
      </c>
      <c r="L255">
        <f>IF(AND(Table2[[#This Row],[Outcome]]=1,Table2[[#This Row],[Glucose]]&gt;=100),1,0)</f>
        <v>0</v>
      </c>
    </row>
    <row r="256" spans="1:12" x14ac:dyDescent="0.25">
      <c r="A256">
        <v>12</v>
      </c>
      <c r="B256">
        <v>92</v>
      </c>
      <c r="C256">
        <v>62</v>
      </c>
      <c r="D256">
        <v>7</v>
      </c>
      <c r="E256">
        <v>258</v>
      </c>
      <c r="F256">
        <v>28</v>
      </c>
      <c r="G256">
        <v>0.67200000000000004</v>
      </c>
      <c r="H256">
        <v>44</v>
      </c>
      <c r="I256">
        <v>1</v>
      </c>
      <c r="J256">
        <f>IF(AND(Table2[[#This Row],[BMI]]&gt;=23,Table2[[#This Row],[Outcome]]=1),1,0)</f>
        <v>1</v>
      </c>
      <c r="K256">
        <f>IF(AND(Table2[[#This Row],[BMI+Outcome]]=1,Table2[[#This Row],[Glucose]]&gt;=100),1,0)</f>
        <v>0</v>
      </c>
      <c r="L256">
        <f>IF(AND(Table2[[#This Row],[Outcome]]=1,Table2[[#This Row],[Glucose]]&gt;=100),1,0)</f>
        <v>0</v>
      </c>
    </row>
    <row r="257" spans="1:12" x14ac:dyDescent="0.25">
      <c r="A257">
        <v>1</v>
      </c>
      <c r="B257">
        <v>113</v>
      </c>
      <c r="C257">
        <v>64</v>
      </c>
      <c r="D257">
        <v>35</v>
      </c>
      <c r="E257">
        <v>80</v>
      </c>
      <c r="F257">
        <v>34</v>
      </c>
      <c r="G257">
        <v>0.67200000000000004</v>
      </c>
      <c r="H257">
        <v>21</v>
      </c>
      <c r="I257">
        <v>1</v>
      </c>
      <c r="J257">
        <f>IF(AND(Table2[[#This Row],[BMI]]&gt;=23,Table2[[#This Row],[Outcome]]=1),1,0)</f>
        <v>1</v>
      </c>
      <c r="K257">
        <f>IF(AND(Table2[[#This Row],[BMI+Outcome]]=1,Table2[[#This Row],[Glucose]]&gt;=100),1,0)</f>
        <v>1</v>
      </c>
      <c r="L257">
        <f>IF(AND(Table2[[#This Row],[Outcome]]=1,Table2[[#This Row],[Glucose]]&gt;=100),1,0)</f>
        <v>1</v>
      </c>
    </row>
    <row r="258" spans="1:12" x14ac:dyDescent="0.25">
      <c r="A258">
        <v>3</v>
      </c>
      <c r="B258">
        <v>111</v>
      </c>
      <c r="C258">
        <v>56</v>
      </c>
      <c r="D258">
        <v>39</v>
      </c>
      <c r="E258">
        <v>80</v>
      </c>
      <c r="F258">
        <v>30</v>
      </c>
      <c r="G258">
        <v>0.67200000000000004</v>
      </c>
      <c r="H258">
        <v>30</v>
      </c>
      <c r="I258">
        <v>0</v>
      </c>
      <c r="J258">
        <f>IF(AND(Table2[[#This Row],[BMI]]&gt;=23,Table2[[#This Row],[Outcome]]=1),1,0)</f>
        <v>0</v>
      </c>
      <c r="K258">
        <f>IF(AND(Table2[[#This Row],[BMI+Outcome]]=1,Table2[[#This Row],[Glucose]]&gt;=100),1,0)</f>
        <v>0</v>
      </c>
      <c r="L258">
        <f>IF(AND(Table2[[#This Row],[Outcome]]=1,Table2[[#This Row],[Glucose]]&gt;=100),1,0)</f>
        <v>0</v>
      </c>
    </row>
    <row r="259" spans="1:12" x14ac:dyDescent="0.25">
      <c r="A259">
        <v>2</v>
      </c>
      <c r="B259">
        <v>114</v>
      </c>
      <c r="C259">
        <v>68</v>
      </c>
      <c r="D259">
        <v>22</v>
      </c>
      <c r="E259">
        <v>80</v>
      </c>
      <c r="F259">
        <v>29</v>
      </c>
      <c r="G259">
        <v>0.67200000000000004</v>
      </c>
      <c r="H259">
        <v>25</v>
      </c>
      <c r="I259">
        <v>0</v>
      </c>
      <c r="J259">
        <f>IF(AND(Table2[[#This Row],[BMI]]&gt;=23,Table2[[#This Row],[Outcome]]=1),1,0)</f>
        <v>0</v>
      </c>
      <c r="K259">
        <f>IF(AND(Table2[[#This Row],[BMI+Outcome]]=1,Table2[[#This Row],[Glucose]]&gt;=100),1,0)</f>
        <v>0</v>
      </c>
      <c r="L259">
        <f>IF(AND(Table2[[#This Row],[Outcome]]=1,Table2[[#This Row],[Glucose]]&gt;=100),1,0)</f>
        <v>0</v>
      </c>
    </row>
    <row r="260" spans="1:12" x14ac:dyDescent="0.25">
      <c r="A260">
        <v>1</v>
      </c>
      <c r="B260">
        <v>193</v>
      </c>
      <c r="C260">
        <v>50</v>
      </c>
      <c r="D260">
        <v>16</v>
      </c>
      <c r="E260">
        <v>375</v>
      </c>
      <c r="F260">
        <v>26</v>
      </c>
      <c r="G260">
        <v>0.67200000000000004</v>
      </c>
      <c r="H260">
        <v>24</v>
      </c>
      <c r="I260">
        <v>0</v>
      </c>
      <c r="J260">
        <f>IF(AND(Table2[[#This Row],[BMI]]&gt;=23,Table2[[#This Row],[Outcome]]=1),1,0)</f>
        <v>0</v>
      </c>
      <c r="K260">
        <f>IF(AND(Table2[[#This Row],[BMI+Outcome]]=1,Table2[[#This Row],[Glucose]]&gt;=100),1,0)</f>
        <v>0</v>
      </c>
      <c r="L260">
        <f>IF(AND(Table2[[#This Row],[Outcome]]=1,Table2[[#This Row],[Glucose]]&gt;=100),1,0)</f>
        <v>0</v>
      </c>
    </row>
    <row r="261" spans="1:12" x14ac:dyDescent="0.25">
      <c r="A261">
        <v>11</v>
      </c>
      <c r="B261">
        <v>155</v>
      </c>
      <c r="C261">
        <v>76</v>
      </c>
      <c r="D261">
        <v>28</v>
      </c>
      <c r="E261">
        <v>150</v>
      </c>
      <c r="F261">
        <v>33</v>
      </c>
      <c r="G261">
        <v>0.67200000000000004</v>
      </c>
      <c r="H261">
        <v>51</v>
      </c>
      <c r="I261">
        <v>1</v>
      </c>
      <c r="J261">
        <f>IF(AND(Table2[[#This Row],[BMI]]&gt;=23,Table2[[#This Row],[Outcome]]=1),1,0)</f>
        <v>1</v>
      </c>
      <c r="K261">
        <f>IF(AND(Table2[[#This Row],[BMI+Outcome]]=1,Table2[[#This Row],[Glucose]]&gt;=100),1,0)</f>
        <v>1</v>
      </c>
      <c r="L261">
        <f>IF(AND(Table2[[#This Row],[Outcome]]=1,Table2[[#This Row],[Glucose]]&gt;=100),1,0)</f>
        <v>1</v>
      </c>
    </row>
    <row r="262" spans="1:12" x14ac:dyDescent="0.25">
      <c r="A262">
        <v>3</v>
      </c>
      <c r="B262">
        <v>191</v>
      </c>
      <c r="C262">
        <v>68</v>
      </c>
      <c r="D262">
        <v>15</v>
      </c>
      <c r="E262">
        <v>130</v>
      </c>
      <c r="F262">
        <v>31</v>
      </c>
      <c r="G262">
        <v>0.67200000000000004</v>
      </c>
      <c r="H262">
        <v>34</v>
      </c>
      <c r="I262">
        <v>0</v>
      </c>
      <c r="J262">
        <f>IF(AND(Table2[[#This Row],[BMI]]&gt;=23,Table2[[#This Row],[Outcome]]=1),1,0)</f>
        <v>0</v>
      </c>
      <c r="K262">
        <f>IF(AND(Table2[[#This Row],[BMI+Outcome]]=1,Table2[[#This Row],[Glucose]]&gt;=100),1,0)</f>
        <v>0</v>
      </c>
      <c r="L262">
        <f>IF(AND(Table2[[#This Row],[Outcome]]=1,Table2[[#This Row],[Glucose]]&gt;=100),1,0)</f>
        <v>0</v>
      </c>
    </row>
    <row r="263" spans="1:12" x14ac:dyDescent="0.25">
      <c r="A263">
        <v>3</v>
      </c>
      <c r="B263">
        <v>141</v>
      </c>
      <c r="C263">
        <v>69</v>
      </c>
      <c r="D263">
        <v>21</v>
      </c>
      <c r="E263">
        <v>80</v>
      </c>
      <c r="F263">
        <v>30</v>
      </c>
      <c r="G263">
        <v>0.67200000000000004</v>
      </c>
      <c r="H263">
        <v>27</v>
      </c>
      <c r="I263">
        <v>1</v>
      </c>
      <c r="J263">
        <f>IF(AND(Table2[[#This Row],[BMI]]&gt;=23,Table2[[#This Row],[Outcome]]=1),1,0)</f>
        <v>1</v>
      </c>
      <c r="K263">
        <f>IF(AND(Table2[[#This Row],[BMI+Outcome]]=1,Table2[[#This Row],[Glucose]]&gt;=100),1,0)</f>
        <v>1</v>
      </c>
      <c r="L263">
        <f>IF(AND(Table2[[#This Row],[Outcome]]=1,Table2[[#This Row],[Glucose]]&gt;=100),1,0)</f>
        <v>1</v>
      </c>
    </row>
    <row r="264" spans="1:12" x14ac:dyDescent="0.25">
      <c r="A264">
        <v>4</v>
      </c>
      <c r="B264">
        <v>95</v>
      </c>
      <c r="C264">
        <v>70</v>
      </c>
      <c r="D264">
        <v>32</v>
      </c>
      <c r="E264">
        <v>80</v>
      </c>
      <c r="F264">
        <v>32</v>
      </c>
      <c r="G264">
        <v>0.67200000000000004</v>
      </c>
      <c r="H264">
        <v>24</v>
      </c>
      <c r="I264">
        <v>0</v>
      </c>
      <c r="J264">
        <f>IF(AND(Table2[[#This Row],[BMI]]&gt;=23,Table2[[#This Row],[Outcome]]=1),1,0)</f>
        <v>0</v>
      </c>
      <c r="K264">
        <f>IF(AND(Table2[[#This Row],[BMI+Outcome]]=1,Table2[[#This Row],[Glucose]]&gt;=100),1,0)</f>
        <v>0</v>
      </c>
      <c r="L264">
        <f>IF(AND(Table2[[#This Row],[Outcome]]=1,Table2[[#This Row],[Glucose]]&gt;=100),1,0)</f>
        <v>0</v>
      </c>
    </row>
    <row r="265" spans="1:12" x14ac:dyDescent="0.25">
      <c r="A265">
        <v>3</v>
      </c>
      <c r="B265">
        <v>142</v>
      </c>
      <c r="C265">
        <v>80</v>
      </c>
      <c r="D265">
        <v>15</v>
      </c>
      <c r="E265">
        <v>80</v>
      </c>
      <c r="F265">
        <v>32</v>
      </c>
      <c r="G265">
        <v>0.67200000000000004</v>
      </c>
      <c r="H265">
        <v>63</v>
      </c>
      <c r="I265">
        <v>0</v>
      </c>
      <c r="J265">
        <f>IF(AND(Table2[[#This Row],[BMI]]&gt;=23,Table2[[#This Row],[Outcome]]=1),1,0)</f>
        <v>0</v>
      </c>
      <c r="K265">
        <f>IF(AND(Table2[[#This Row],[BMI+Outcome]]=1,Table2[[#This Row],[Glucose]]&gt;=100),1,0)</f>
        <v>0</v>
      </c>
      <c r="L265">
        <f>IF(AND(Table2[[#This Row],[Outcome]]=1,Table2[[#This Row],[Glucose]]&gt;=100),1,0)</f>
        <v>0</v>
      </c>
    </row>
    <row r="266" spans="1:12" x14ac:dyDescent="0.25">
      <c r="A266">
        <v>4</v>
      </c>
      <c r="B266">
        <v>123</v>
      </c>
      <c r="C266">
        <v>62</v>
      </c>
      <c r="D266">
        <v>21</v>
      </c>
      <c r="E266">
        <v>80</v>
      </c>
      <c r="F266">
        <v>32</v>
      </c>
      <c r="G266">
        <v>0.67200000000000004</v>
      </c>
      <c r="H266">
        <v>35</v>
      </c>
      <c r="I266">
        <v>1</v>
      </c>
      <c r="J266">
        <f>IF(AND(Table2[[#This Row],[BMI]]&gt;=23,Table2[[#This Row],[Outcome]]=1),1,0)</f>
        <v>1</v>
      </c>
      <c r="K266">
        <f>IF(AND(Table2[[#This Row],[BMI+Outcome]]=1,Table2[[#This Row],[Glucose]]&gt;=100),1,0)</f>
        <v>1</v>
      </c>
      <c r="L266">
        <f>IF(AND(Table2[[#This Row],[Outcome]]=1,Table2[[#This Row],[Glucose]]&gt;=100),1,0)</f>
        <v>1</v>
      </c>
    </row>
    <row r="267" spans="1:12" x14ac:dyDescent="0.25">
      <c r="A267">
        <v>5</v>
      </c>
      <c r="B267">
        <v>96</v>
      </c>
      <c r="C267">
        <v>74</v>
      </c>
      <c r="D267">
        <v>18</v>
      </c>
      <c r="E267">
        <v>67</v>
      </c>
      <c r="F267">
        <v>34</v>
      </c>
      <c r="G267">
        <v>0.67200000000000004</v>
      </c>
      <c r="H267">
        <v>43</v>
      </c>
      <c r="I267">
        <v>0</v>
      </c>
      <c r="J267">
        <f>IF(AND(Table2[[#This Row],[BMI]]&gt;=23,Table2[[#This Row],[Outcome]]=1),1,0)</f>
        <v>0</v>
      </c>
      <c r="K267">
        <f>IF(AND(Table2[[#This Row],[BMI+Outcome]]=1,Table2[[#This Row],[Glucose]]&gt;=100),1,0)</f>
        <v>0</v>
      </c>
      <c r="L267">
        <f>IF(AND(Table2[[#This Row],[Outcome]]=1,Table2[[#This Row],[Glucose]]&gt;=100),1,0)</f>
        <v>0</v>
      </c>
    </row>
    <row r="268" spans="1:12" x14ac:dyDescent="0.25">
      <c r="A268">
        <v>4</v>
      </c>
      <c r="B268">
        <v>138</v>
      </c>
      <c r="C268">
        <v>69</v>
      </c>
      <c r="D268">
        <v>21</v>
      </c>
      <c r="E268">
        <v>80</v>
      </c>
      <c r="F268">
        <v>36</v>
      </c>
      <c r="G268">
        <v>0.67200000000000004</v>
      </c>
      <c r="H268">
        <v>25</v>
      </c>
      <c r="I268">
        <v>1</v>
      </c>
      <c r="J268">
        <f>IF(AND(Table2[[#This Row],[BMI]]&gt;=23,Table2[[#This Row],[Outcome]]=1),1,0)</f>
        <v>1</v>
      </c>
      <c r="K268">
        <f>IF(AND(Table2[[#This Row],[BMI+Outcome]]=1,Table2[[#This Row],[Glucose]]&gt;=100),1,0)</f>
        <v>1</v>
      </c>
      <c r="L268">
        <f>IF(AND(Table2[[#This Row],[Outcome]]=1,Table2[[#This Row],[Glucose]]&gt;=100),1,0)</f>
        <v>1</v>
      </c>
    </row>
    <row r="269" spans="1:12" x14ac:dyDescent="0.25">
      <c r="A269">
        <v>2</v>
      </c>
      <c r="B269">
        <v>128</v>
      </c>
      <c r="C269">
        <v>64</v>
      </c>
      <c r="D269">
        <v>42</v>
      </c>
      <c r="E269">
        <v>80</v>
      </c>
      <c r="F269">
        <v>40</v>
      </c>
      <c r="G269">
        <v>0.67200000000000004</v>
      </c>
      <c r="H269">
        <v>24</v>
      </c>
      <c r="I269">
        <v>0</v>
      </c>
      <c r="J269">
        <f>IF(AND(Table2[[#This Row],[BMI]]&gt;=23,Table2[[#This Row],[Outcome]]=1),1,0)</f>
        <v>0</v>
      </c>
      <c r="K269">
        <f>IF(AND(Table2[[#This Row],[BMI+Outcome]]=1,Table2[[#This Row],[Glucose]]&gt;=100),1,0)</f>
        <v>0</v>
      </c>
      <c r="L269">
        <f>IF(AND(Table2[[#This Row],[Outcome]]=1,Table2[[#This Row],[Glucose]]&gt;=100),1,0)</f>
        <v>0</v>
      </c>
    </row>
    <row r="270" spans="1:12" x14ac:dyDescent="0.25">
      <c r="A270">
        <v>4</v>
      </c>
      <c r="B270">
        <v>102</v>
      </c>
      <c r="C270">
        <v>52</v>
      </c>
      <c r="D270">
        <v>21</v>
      </c>
      <c r="E270">
        <v>80</v>
      </c>
      <c r="F270">
        <v>25</v>
      </c>
      <c r="G270">
        <v>0.67200000000000004</v>
      </c>
      <c r="H270">
        <v>21</v>
      </c>
      <c r="I270">
        <v>0</v>
      </c>
      <c r="J270">
        <f>IF(AND(Table2[[#This Row],[BMI]]&gt;=23,Table2[[#This Row],[Outcome]]=1),1,0)</f>
        <v>0</v>
      </c>
      <c r="K270">
        <f>IF(AND(Table2[[#This Row],[BMI+Outcome]]=1,Table2[[#This Row],[Glucose]]&gt;=100),1,0)</f>
        <v>0</v>
      </c>
      <c r="L270">
        <f>IF(AND(Table2[[#This Row],[Outcome]]=1,Table2[[#This Row],[Glucose]]&gt;=100),1,0)</f>
        <v>0</v>
      </c>
    </row>
    <row r="271" spans="1:12" x14ac:dyDescent="0.25">
      <c r="A271">
        <v>2</v>
      </c>
      <c r="B271">
        <v>146</v>
      </c>
      <c r="C271">
        <v>69</v>
      </c>
      <c r="D271">
        <v>21</v>
      </c>
      <c r="E271">
        <v>80</v>
      </c>
      <c r="F271">
        <v>28</v>
      </c>
      <c r="G271">
        <v>0.67200000000000004</v>
      </c>
      <c r="H271">
        <v>28</v>
      </c>
      <c r="I271">
        <v>1</v>
      </c>
      <c r="J271">
        <f>IF(AND(Table2[[#This Row],[BMI]]&gt;=23,Table2[[#This Row],[Outcome]]=1),1,0)</f>
        <v>1</v>
      </c>
      <c r="K271">
        <f>IF(AND(Table2[[#This Row],[BMI+Outcome]]=1,Table2[[#This Row],[Glucose]]&gt;=100),1,0)</f>
        <v>1</v>
      </c>
      <c r="L271">
        <f>IF(AND(Table2[[#This Row],[Outcome]]=1,Table2[[#This Row],[Glucose]]&gt;=100),1,0)</f>
        <v>1</v>
      </c>
    </row>
    <row r="272" spans="1:12" x14ac:dyDescent="0.25">
      <c r="A272">
        <v>10</v>
      </c>
      <c r="B272">
        <v>101</v>
      </c>
      <c r="C272">
        <v>86</v>
      </c>
      <c r="D272">
        <v>37</v>
      </c>
      <c r="E272">
        <v>80</v>
      </c>
      <c r="F272">
        <v>46</v>
      </c>
      <c r="G272">
        <v>0.67200000000000004</v>
      </c>
      <c r="H272">
        <v>38</v>
      </c>
      <c r="I272">
        <v>1</v>
      </c>
      <c r="J272">
        <f>IF(AND(Table2[[#This Row],[BMI]]&gt;=23,Table2[[#This Row],[Outcome]]=1),1,0)</f>
        <v>1</v>
      </c>
      <c r="K272">
        <f>IF(AND(Table2[[#This Row],[BMI+Outcome]]=1,Table2[[#This Row],[Glucose]]&gt;=100),1,0)</f>
        <v>1</v>
      </c>
      <c r="L272">
        <f>IF(AND(Table2[[#This Row],[Outcome]]=1,Table2[[#This Row],[Glucose]]&gt;=100),1,0)</f>
        <v>1</v>
      </c>
    </row>
    <row r="273" spans="1:12" x14ac:dyDescent="0.25">
      <c r="A273">
        <v>2</v>
      </c>
      <c r="B273">
        <v>108</v>
      </c>
      <c r="C273">
        <v>62</v>
      </c>
      <c r="D273">
        <v>32</v>
      </c>
      <c r="E273">
        <v>56</v>
      </c>
      <c r="F273">
        <v>25</v>
      </c>
      <c r="G273">
        <v>0.67200000000000004</v>
      </c>
      <c r="H273">
        <v>21</v>
      </c>
      <c r="I273">
        <v>0</v>
      </c>
      <c r="J273">
        <f>IF(AND(Table2[[#This Row],[BMI]]&gt;=23,Table2[[#This Row],[Outcome]]=1),1,0)</f>
        <v>0</v>
      </c>
      <c r="K273">
        <f>IF(AND(Table2[[#This Row],[BMI+Outcome]]=1,Table2[[#This Row],[Glucose]]&gt;=100),1,0)</f>
        <v>0</v>
      </c>
      <c r="L273">
        <f>IF(AND(Table2[[#This Row],[Outcome]]=1,Table2[[#This Row],[Glucose]]&gt;=100),1,0)</f>
        <v>0</v>
      </c>
    </row>
    <row r="274" spans="1:12" x14ac:dyDescent="0.25">
      <c r="A274">
        <v>3</v>
      </c>
      <c r="B274">
        <v>122</v>
      </c>
      <c r="C274">
        <v>78</v>
      </c>
      <c r="D274">
        <v>21</v>
      </c>
      <c r="E274">
        <v>80</v>
      </c>
      <c r="F274">
        <v>23</v>
      </c>
      <c r="G274">
        <v>0.67200000000000004</v>
      </c>
      <c r="H274">
        <v>40</v>
      </c>
      <c r="I274">
        <v>0</v>
      </c>
      <c r="J274">
        <f>IF(AND(Table2[[#This Row],[BMI]]&gt;=23,Table2[[#This Row],[Outcome]]=1),1,0)</f>
        <v>0</v>
      </c>
      <c r="K274">
        <f>IF(AND(Table2[[#This Row],[BMI+Outcome]]=1,Table2[[#This Row],[Glucose]]&gt;=100),1,0)</f>
        <v>0</v>
      </c>
      <c r="L274">
        <f>IF(AND(Table2[[#This Row],[Outcome]]=1,Table2[[#This Row],[Glucose]]&gt;=100),1,0)</f>
        <v>0</v>
      </c>
    </row>
    <row r="275" spans="1:12" x14ac:dyDescent="0.25">
      <c r="A275">
        <v>1</v>
      </c>
      <c r="B275">
        <v>71</v>
      </c>
      <c r="C275">
        <v>78</v>
      </c>
      <c r="D275">
        <v>50</v>
      </c>
      <c r="E275">
        <v>45</v>
      </c>
      <c r="F275">
        <v>33</v>
      </c>
      <c r="G275">
        <v>0.67200000000000004</v>
      </c>
      <c r="H275">
        <v>21</v>
      </c>
      <c r="I275">
        <v>0</v>
      </c>
      <c r="J275">
        <f>IF(AND(Table2[[#This Row],[BMI]]&gt;=23,Table2[[#This Row],[Outcome]]=1),1,0)</f>
        <v>0</v>
      </c>
      <c r="K275">
        <f>IF(AND(Table2[[#This Row],[BMI+Outcome]]=1,Table2[[#This Row],[Glucose]]&gt;=100),1,0)</f>
        <v>0</v>
      </c>
      <c r="L275">
        <f>IF(AND(Table2[[#This Row],[Outcome]]=1,Table2[[#This Row],[Glucose]]&gt;=100),1,0)</f>
        <v>0</v>
      </c>
    </row>
    <row r="276" spans="1:12" x14ac:dyDescent="0.25">
      <c r="A276">
        <v>13</v>
      </c>
      <c r="B276">
        <v>106</v>
      </c>
      <c r="C276">
        <v>70</v>
      </c>
      <c r="D276">
        <v>21</v>
      </c>
      <c r="E276">
        <v>80</v>
      </c>
      <c r="F276">
        <v>34</v>
      </c>
      <c r="G276">
        <v>0.67200000000000004</v>
      </c>
      <c r="H276">
        <v>52</v>
      </c>
      <c r="I276">
        <v>0</v>
      </c>
      <c r="J276">
        <f>IF(AND(Table2[[#This Row],[BMI]]&gt;=23,Table2[[#This Row],[Outcome]]=1),1,0)</f>
        <v>0</v>
      </c>
      <c r="K276">
        <f>IF(AND(Table2[[#This Row],[BMI+Outcome]]=1,Table2[[#This Row],[Glucose]]&gt;=100),1,0)</f>
        <v>0</v>
      </c>
      <c r="L276">
        <f>IF(AND(Table2[[#This Row],[Outcome]]=1,Table2[[#This Row],[Glucose]]&gt;=100),1,0)</f>
        <v>0</v>
      </c>
    </row>
    <row r="277" spans="1:12" x14ac:dyDescent="0.25">
      <c r="A277">
        <v>2</v>
      </c>
      <c r="B277">
        <v>100</v>
      </c>
      <c r="C277">
        <v>70</v>
      </c>
      <c r="D277">
        <v>52</v>
      </c>
      <c r="E277">
        <v>57</v>
      </c>
      <c r="F277">
        <v>40</v>
      </c>
      <c r="G277">
        <v>0.67200000000000004</v>
      </c>
      <c r="H277">
        <v>25</v>
      </c>
      <c r="I277">
        <v>0</v>
      </c>
      <c r="J277">
        <f>IF(AND(Table2[[#This Row],[BMI]]&gt;=23,Table2[[#This Row],[Outcome]]=1),1,0)</f>
        <v>0</v>
      </c>
      <c r="K277">
        <f>IF(AND(Table2[[#This Row],[BMI+Outcome]]=1,Table2[[#This Row],[Glucose]]&gt;=100),1,0)</f>
        <v>0</v>
      </c>
      <c r="L277">
        <f>IF(AND(Table2[[#This Row],[Outcome]]=1,Table2[[#This Row],[Glucose]]&gt;=100),1,0)</f>
        <v>0</v>
      </c>
    </row>
    <row r="278" spans="1:12" x14ac:dyDescent="0.25">
      <c r="A278">
        <v>7</v>
      </c>
      <c r="B278">
        <v>106</v>
      </c>
      <c r="C278">
        <v>60</v>
      </c>
      <c r="D278">
        <v>24</v>
      </c>
      <c r="E278">
        <v>80</v>
      </c>
      <c r="F278">
        <v>26</v>
      </c>
      <c r="G278">
        <v>0.67200000000000004</v>
      </c>
      <c r="H278">
        <v>29</v>
      </c>
      <c r="I278">
        <v>1</v>
      </c>
      <c r="J278">
        <f>IF(AND(Table2[[#This Row],[BMI]]&gt;=23,Table2[[#This Row],[Outcome]]=1),1,0)</f>
        <v>1</v>
      </c>
      <c r="K278">
        <f>IF(AND(Table2[[#This Row],[BMI+Outcome]]=1,Table2[[#This Row],[Glucose]]&gt;=100),1,0)</f>
        <v>1</v>
      </c>
      <c r="L278">
        <f>IF(AND(Table2[[#This Row],[Outcome]]=1,Table2[[#This Row],[Glucose]]&gt;=100),1,0)</f>
        <v>1</v>
      </c>
    </row>
    <row r="279" spans="1:12" x14ac:dyDescent="0.25">
      <c r="A279">
        <v>4</v>
      </c>
      <c r="B279">
        <v>104</v>
      </c>
      <c r="C279">
        <v>64</v>
      </c>
      <c r="D279">
        <v>23</v>
      </c>
      <c r="E279">
        <v>116</v>
      </c>
      <c r="F279">
        <v>28</v>
      </c>
      <c r="G279">
        <v>0.67200000000000004</v>
      </c>
      <c r="H279">
        <v>23</v>
      </c>
      <c r="I279">
        <v>0</v>
      </c>
      <c r="J279">
        <f>IF(AND(Table2[[#This Row],[BMI]]&gt;=23,Table2[[#This Row],[Outcome]]=1),1,0)</f>
        <v>0</v>
      </c>
      <c r="K279">
        <f>IF(AND(Table2[[#This Row],[BMI+Outcome]]=1,Table2[[#This Row],[Glucose]]&gt;=100),1,0)</f>
        <v>0</v>
      </c>
      <c r="L279">
        <f>IF(AND(Table2[[#This Row],[Outcome]]=1,Table2[[#This Row],[Glucose]]&gt;=100),1,0)</f>
        <v>0</v>
      </c>
    </row>
    <row r="280" spans="1:12" x14ac:dyDescent="0.25">
      <c r="A280">
        <v>5</v>
      </c>
      <c r="B280">
        <v>114</v>
      </c>
      <c r="C280">
        <v>74</v>
      </c>
      <c r="D280">
        <v>21</v>
      </c>
      <c r="E280">
        <v>80</v>
      </c>
      <c r="F280">
        <v>25</v>
      </c>
      <c r="G280">
        <v>0.67200000000000004</v>
      </c>
      <c r="H280">
        <v>57</v>
      </c>
      <c r="I280">
        <v>0</v>
      </c>
      <c r="J280">
        <f>IF(AND(Table2[[#This Row],[BMI]]&gt;=23,Table2[[#This Row],[Outcome]]=1),1,0)</f>
        <v>0</v>
      </c>
      <c r="K280">
        <f>IF(AND(Table2[[#This Row],[BMI+Outcome]]=1,Table2[[#This Row],[Glucose]]&gt;=100),1,0)</f>
        <v>0</v>
      </c>
      <c r="L280">
        <f>IF(AND(Table2[[#This Row],[Outcome]]=1,Table2[[#This Row],[Glucose]]&gt;=100),1,0)</f>
        <v>0</v>
      </c>
    </row>
    <row r="281" spans="1:12" x14ac:dyDescent="0.25">
      <c r="A281">
        <v>2</v>
      </c>
      <c r="B281">
        <v>108</v>
      </c>
      <c r="C281">
        <v>62</v>
      </c>
      <c r="D281">
        <v>10</v>
      </c>
      <c r="E281">
        <v>278</v>
      </c>
      <c r="F281">
        <v>25</v>
      </c>
      <c r="G281">
        <v>0.67200000000000004</v>
      </c>
      <c r="H281">
        <v>22</v>
      </c>
      <c r="I281">
        <v>0</v>
      </c>
      <c r="J281">
        <f>IF(AND(Table2[[#This Row],[BMI]]&gt;=23,Table2[[#This Row],[Outcome]]=1),1,0)</f>
        <v>0</v>
      </c>
      <c r="K281">
        <f>IF(AND(Table2[[#This Row],[BMI+Outcome]]=1,Table2[[#This Row],[Glucose]]&gt;=100),1,0)</f>
        <v>0</v>
      </c>
      <c r="L281">
        <f>IF(AND(Table2[[#This Row],[Outcome]]=1,Table2[[#This Row],[Glucose]]&gt;=100),1,0)</f>
        <v>0</v>
      </c>
    </row>
    <row r="282" spans="1:12" x14ac:dyDescent="0.25">
      <c r="A282">
        <v>4</v>
      </c>
      <c r="B282">
        <v>146</v>
      </c>
      <c r="C282">
        <v>70</v>
      </c>
      <c r="D282">
        <v>21</v>
      </c>
      <c r="E282">
        <v>80</v>
      </c>
      <c r="F282">
        <v>38</v>
      </c>
      <c r="G282">
        <v>0.67200000000000004</v>
      </c>
      <c r="H282">
        <v>28</v>
      </c>
      <c r="I282">
        <v>1</v>
      </c>
      <c r="J282">
        <f>IF(AND(Table2[[#This Row],[BMI]]&gt;=23,Table2[[#This Row],[Outcome]]=1),1,0)</f>
        <v>1</v>
      </c>
      <c r="K282">
        <f>IF(AND(Table2[[#This Row],[BMI+Outcome]]=1,Table2[[#This Row],[Glucose]]&gt;=100),1,0)</f>
        <v>1</v>
      </c>
      <c r="L282">
        <f>IF(AND(Table2[[#This Row],[Outcome]]=1,Table2[[#This Row],[Glucose]]&gt;=100),1,0)</f>
        <v>1</v>
      </c>
    </row>
    <row r="283" spans="1:12" x14ac:dyDescent="0.25">
      <c r="A283">
        <v>10</v>
      </c>
      <c r="B283">
        <v>129</v>
      </c>
      <c r="C283">
        <v>76</v>
      </c>
      <c r="D283">
        <v>28</v>
      </c>
      <c r="E283">
        <v>122</v>
      </c>
      <c r="F283">
        <v>36</v>
      </c>
      <c r="G283">
        <v>0.67200000000000004</v>
      </c>
      <c r="H283">
        <v>39</v>
      </c>
      <c r="I283">
        <v>0</v>
      </c>
      <c r="J283">
        <f>IF(AND(Table2[[#This Row],[BMI]]&gt;=23,Table2[[#This Row],[Outcome]]=1),1,0)</f>
        <v>0</v>
      </c>
      <c r="K283">
        <f>IF(AND(Table2[[#This Row],[BMI+Outcome]]=1,Table2[[#This Row],[Glucose]]&gt;=100),1,0)</f>
        <v>0</v>
      </c>
      <c r="L283">
        <f>IF(AND(Table2[[#This Row],[Outcome]]=1,Table2[[#This Row],[Glucose]]&gt;=100),1,0)</f>
        <v>0</v>
      </c>
    </row>
    <row r="284" spans="1:12" x14ac:dyDescent="0.25">
      <c r="A284">
        <v>7</v>
      </c>
      <c r="B284">
        <v>133</v>
      </c>
      <c r="C284">
        <v>88</v>
      </c>
      <c r="D284">
        <v>15</v>
      </c>
      <c r="E284">
        <v>155</v>
      </c>
      <c r="F284">
        <v>32</v>
      </c>
      <c r="G284">
        <v>0.67200000000000004</v>
      </c>
      <c r="H284">
        <v>37</v>
      </c>
      <c r="I284">
        <v>0</v>
      </c>
      <c r="J284">
        <f>IF(AND(Table2[[#This Row],[BMI]]&gt;=23,Table2[[#This Row],[Outcome]]=1),1,0)</f>
        <v>0</v>
      </c>
      <c r="K284">
        <f>IF(AND(Table2[[#This Row],[BMI+Outcome]]=1,Table2[[#This Row],[Glucose]]&gt;=100),1,0)</f>
        <v>0</v>
      </c>
      <c r="L284">
        <f>IF(AND(Table2[[#This Row],[Outcome]]=1,Table2[[#This Row],[Glucose]]&gt;=100),1,0)</f>
        <v>0</v>
      </c>
    </row>
    <row r="285" spans="1:12" x14ac:dyDescent="0.25">
      <c r="A285">
        <v>7</v>
      </c>
      <c r="B285">
        <v>161</v>
      </c>
      <c r="C285">
        <v>86</v>
      </c>
      <c r="D285">
        <v>21</v>
      </c>
      <c r="E285">
        <v>80</v>
      </c>
      <c r="F285">
        <v>30</v>
      </c>
      <c r="G285">
        <v>0.67200000000000004</v>
      </c>
      <c r="H285">
        <v>47</v>
      </c>
      <c r="I285">
        <v>1</v>
      </c>
      <c r="J285">
        <f>IF(AND(Table2[[#This Row],[BMI]]&gt;=23,Table2[[#This Row],[Outcome]]=1),1,0)</f>
        <v>1</v>
      </c>
      <c r="K285">
        <f>IF(AND(Table2[[#This Row],[BMI+Outcome]]=1,Table2[[#This Row],[Glucose]]&gt;=100),1,0)</f>
        <v>1</v>
      </c>
      <c r="L285">
        <f>IF(AND(Table2[[#This Row],[Outcome]]=1,Table2[[#This Row],[Glucose]]&gt;=100),1,0)</f>
        <v>1</v>
      </c>
    </row>
    <row r="286" spans="1:12" x14ac:dyDescent="0.25">
      <c r="A286">
        <v>2</v>
      </c>
      <c r="B286">
        <v>108</v>
      </c>
      <c r="C286">
        <v>80</v>
      </c>
      <c r="D286">
        <v>21</v>
      </c>
      <c r="E286">
        <v>80</v>
      </c>
      <c r="F286">
        <v>27</v>
      </c>
      <c r="G286">
        <v>0.67200000000000004</v>
      </c>
      <c r="H286">
        <v>52</v>
      </c>
      <c r="I286">
        <v>1</v>
      </c>
      <c r="J286">
        <f>IF(AND(Table2[[#This Row],[BMI]]&gt;=23,Table2[[#This Row],[Outcome]]=1),1,0)</f>
        <v>1</v>
      </c>
      <c r="K286">
        <f>IF(AND(Table2[[#This Row],[BMI+Outcome]]=1,Table2[[#This Row],[Glucose]]&gt;=100),1,0)</f>
        <v>1</v>
      </c>
      <c r="L286">
        <f>IF(AND(Table2[[#This Row],[Outcome]]=1,Table2[[#This Row],[Glucose]]&gt;=100),1,0)</f>
        <v>1</v>
      </c>
    </row>
    <row r="287" spans="1:12" x14ac:dyDescent="0.25">
      <c r="A287">
        <v>7</v>
      </c>
      <c r="B287">
        <v>136</v>
      </c>
      <c r="C287">
        <v>74</v>
      </c>
      <c r="D287">
        <v>26</v>
      </c>
      <c r="E287">
        <v>135</v>
      </c>
      <c r="F287">
        <v>26</v>
      </c>
      <c r="G287">
        <v>0.67200000000000004</v>
      </c>
      <c r="H287">
        <v>51</v>
      </c>
      <c r="I287">
        <v>0</v>
      </c>
      <c r="J287">
        <f>IF(AND(Table2[[#This Row],[BMI]]&gt;=23,Table2[[#This Row],[Outcome]]=1),1,0)</f>
        <v>0</v>
      </c>
      <c r="K287">
        <f>IF(AND(Table2[[#This Row],[BMI+Outcome]]=1,Table2[[#This Row],[Glucose]]&gt;=100),1,0)</f>
        <v>0</v>
      </c>
      <c r="L287">
        <f>IF(AND(Table2[[#This Row],[Outcome]]=1,Table2[[#This Row],[Glucose]]&gt;=100),1,0)</f>
        <v>0</v>
      </c>
    </row>
    <row r="288" spans="1:12" x14ac:dyDescent="0.25">
      <c r="A288">
        <v>5</v>
      </c>
      <c r="B288">
        <v>155</v>
      </c>
      <c r="C288">
        <v>84</v>
      </c>
      <c r="D288">
        <v>44</v>
      </c>
      <c r="E288">
        <v>545</v>
      </c>
      <c r="F288">
        <v>39</v>
      </c>
      <c r="G288">
        <v>0.67200000000000004</v>
      </c>
      <c r="H288">
        <v>34</v>
      </c>
      <c r="I288">
        <v>0</v>
      </c>
      <c r="J288">
        <f>IF(AND(Table2[[#This Row],[BMI]]&gt;=23,Table2[[#This Row],[Outcome]]=1),1,0)</f>
        <v>0</v>
      </c>
      <c r="K288">
        <f>IF(AND(Table2[[#This Row],[BMI+Outcome]]=1,Table2[[#This Row],[Glucose]]&gt;=100),1,0)</f>
        <v>0</v>
      </c>
      <c r="L288">
        <f>IF(AND(Table2[[#This Row],[Outcome]]=1,Table2[[#This Row],[Glucose]]&gt;=100),1,0)</f>
        <v>0</v>
      </c>
    </row>
    <row r="289" spans="1:12" x14ac:dyDescent="0.25">
      <c r="A289">
        <v>1</v>
      </c>
      <c r="B289">
        <v>119</v>
      </c>
      <c r="C289">
        <v>86</v>
      </c>
      <c r="D289">
        <v>39</v>
      </c>
      <c r="E289">
        <v>220</v>
      </c>
      <c r="F289">
        <v>46</v>
      </c>
      <c r="G289">
        <v>0.67200000000000004</v>
      </c>
      <c r="H289">
        <v>29</v>
      </c>
      <c r="I289">
        <v>1</v>
      </c>
      <c r="J289">
        <f>IF(AND(Table2[[#This Row],[BMI]]&gt;=23,Table2[[#This Row],[Outcome]]=1),1,0)</f>
        <v>1</v>
      </c>
      <c r="K289">
        <f>IF(AND(Table2[[#This Row],[BMI+Outcome]]=1,Table2[[#This Row],[Glucose]]&gt;=100),1,0)</f>
        <v>1</v>
      </c>
      <c r="L289">
        <f>IF(AND(Table2[[#This Row],[Outcome]]=1,Table2[[#This Row],[Glucose]]&gt;=100),1,0)</f>
        <v>1</v>
      </c>
    </row>
    <row r="290" spans="1:12" x14ac:dyDescent="0.25">
      <c r="A290">
        <v>4</v>
      </c>
      <c r="B290">
        <v>96</v>
      </c>
      <c r="C290">
        <v>56</v>
      </c>
      <c r="D290">
        <v>17</v>
      </c>
      <c r="E290">
        <v>49</v>
      </c>
      <c r="F290">
        <v>21</v>
      </c>
      <c r="G290">
        <v>0.67200000000000004</v>
      </c>
      <c r="H290">
        <v>26</v>
      </c>
      <c r="I290">
        <v>0</v>
      </c>
      <c r="J290">
        <f>IF(AND(Table2[[#This Row],[BMI]]&gt;=23,Table2[[#This Row],[Outcome]]=1),1,0)</f>
        <v>0</v>
      </c>
      <c r="K290">
        <f>IF(AND(Table2[[#This Row],[BMI+Outcome]]=1,Table2[[#This Row],[Glucose]]&gt;=100),1,0)</f>
        <v>0</v>
      </c>
      <c r="L290">
        <f>IF(AND(Table2[[#This Row],[Outcome]]=1,Table2[[#This Row],[Glucose]]&gt;=100),1,0)</f>
        <v>0</v>
      </c>
    </row>
    <row r="291" spans="1:12" x14ac:dyDescent="0.25">
      <c r="A291">
        <v>5</v>
      </c>
      <c r="B291">
        <v>108</v>
      </c>
      <c r="C291">
        <v>72</v>
      </c>
      <c r="D291">
        <v>43</v>
      </c>
      <c r="E291">
        <v>75</v>
      </c>
      <c r="F291">
        <v>36</v>
      </c>
      <c r="G291">
        <v>0.67200000000000004</v>
      </c>
      <c r="H291">
        <v>33</v>
      </c>
      <c r="I291">
        <v>0</v>
      </c>
      <c r="J291">
        <f>IF(AND(Table2[[#This Row],[BMI]]&gt;=23,Table2[[#This Row],[Outcome]]=1),1,0)</f>
        <v>0</v>
      </c>
      <c r="K291">
        <f>IF(AND(Table2[[#This Row],[BMI+Outcome]]=1,Table2[[#This Row],[Glucose]]&gt;=100),1,0)</f>
        <v>0</v>
      </c>
      <c r="L291">
        <f>IF(AND(Table2[[#This Row],[Outcome]]=1,Table2[[#This Row],[Glucose]]&gt;=100),1,0)</f>
        <v>0</v>
      </c>
    </row>
    <row r="292" spans="1:12" x14ac:dyDescent="0.25">
      <c r="A292">
        <v>4</v>
      </c>
      <c r="B292">
        <v>78</v>
      </c>
      <c r="C292">
        <v>88</v>
      </c>
      <c r="D292">
        <v>29</v>
      </c>
      <c r="E292">
        <v>40</v>
      </c>
      <c r="F292">
        <v>37</v>
      </c>
      <c r="G292">
        <v>0.67200000000000004</v>
      </c>
      <c r="H292">
        <v>21</v>
      </c>
      <c r="I292">
        <v>0</v>
      </c>
      <c r="J292">
        <f>IF(AND(Table2[[#This Row],[BMI]]&gt;=23,Table2[[#This Row],[Outcome]]=1),1,0)</f>
        <v>0</v>
      </c>
      <c r="K292">
        <f>IF(AND(Table2[[#This Row],[BMI+Outcome]]=1,Table2[[#This Row],[Glucose]]&gt;=100),1,0)</f>
        <v>0</v>
      </c>
      <c r="L292">
        <f>IF(AND(Table2[[#This Row],[Outcome]]=1,Table2[[#This Row],[Glucose]]&gt;=100),1,0)</f>
        <v>0</v>
      </c>
    </row>
    <row r="293" spans="1:12" x14ac:dyDescent="0.25">
      <c r="A293">
        <v>4</v>
      </c>
      <c r="B293">
        <v>107</v>
      </c>
      <c r="C293">
        <v>62</v>
      </c>
      <c r="D293">
        <v>30</v>
      </c>
      <c r="E293">
        <v>74</v>
      </c>
      <c r="F293">
        <v>37</v>
      </c>
      <c r="G293">
        <v>0.67200000000000004</v>
      </c>
      <c r="H293">
        <v>25</v>
      </c>
      <c r="I293">
        <v>1</v>
      </c>
      <c r="J293">
        <f>IF(AND(Table2[[#This Row],[BMI]]&gt;=23,Table2[[#This Row],[Outcome]]=1),1,0)</f>
        <v>1</v>
      </c>
      <c r="K293">
        <f>IF(AND(Table2[[#This Row],[BMI+Outcome]]=1,Table2[[#This Row],[Glucose]]&gt;=100),1,0)</f>
        <v>1</v>
      </c>
      <c r="L293">
        <f>IF(AND(Table2[[#This Row],[Outcome]]=1,Table2[[#This Row],[Glucose]]&gt;=100),1,0)</f>
        <v>1</v>
      </c>
    </row>
    <row r="294" spans="1:12" x14ac:dyDescent="0.25">
      <c r="A294">
        <v>2</v>
      </c>
      <c r="B294">
        <v>128</v>
      </c>
      <c r="C294">
        <v>78</v>
      </c>
      <c r="D294">
        <v>37</v>
      </c>
      <c r="E294">
        <v>182</v>
      </c>
      <c r="F294">
        <v>43</v>
      </c>
      <c r="G294">
        <v>0.67200000000000004</v>
      </c>
      <c r="H294">
        <v>31</v>
      </c>
      <c r="I294">
        <v>1</v>
      </c>
      <c r="J294">
        <f>IF(AND(Table2[[#This Row],[BMI]]&gt;=23,Table2[[#This Row],[Outcome]]=1),1,0)</f>
        <v>1</v>
      </c>
      <c r="K294">
        <f>IF(AND(Table2[[#This Row],[BMI+Outcome]]=1,Table2[[#This Row],[Glucose]]&gt;=100),1,0)</f>
        <v>1</v>
      </c>
      <c r="L294">
        <f>IF(AND(Table2[[#This Row],[Outcome]]=1,Table2[[#This Row],[Glucose]]&gt;=100),1,0)</f>
        <v>1</v>
      </c>
    </row>
    <row r="295" spans="1:12" x14ac:dyDescent="0.25">
      <c r="A295">
        <v>1</v>
      </c>
      <c r="B295">
        <v>128</v>
      </c>
      <c r="C295">
        <v>48</v>
      </c>
      <c r="D295">
        <v>45</v>
      </c>
      <c r="E295">
        <v>194</v>
      </c>
      <c r="F295">
        <v>40</v>
      </c>
      <c r="G295">
        <v>0.67200000000000004</v>
      </c>
      <c r="H295">
        <v>24</v>
      </c>
      <c r="I295">
        <v>1</v>
      </c>
      <c r="J295">
        <f>IF(AND(Table2[[#This Row],[BMI]]&gt;=23,Table2[[#This Row],[Outcome]]=1),1,0)</f>
        <v>1</v>
      </c>
      <c r="K295">
        <f>IF(AND(Table2[[#This Row],[BMI+Outcome]]=1,Table2[[#This Row],[Glucose]]&gt;=100),1,0)</f>
        <v>1</v>
      </c>
      <c r="L295">
        <f>IF(AND(Table2[[#This Row],[Outcome]]=1,Table2[[#This Row],[Glucose]]&gt;=100),1,0)</f>
        <v>1</v>
      </c>
    </row>
    <row r="296" spans="1:12" x14ac:dyDescent="0.25">
      <c r="A296">
        <v>4</v>
      </c>
      <c r="B296">
        <v>161</v>
      </c>
      <c r="C296">
        <v>50</v>
      </c>
      <c r="D296">
        <v>21</v>
      </c>
      <c r="E296">
        <v>80</v>
      </c>
      <c r="F296">
        <v>22</v>
      </c>
      <c r="G296">
        <v>0.67200000000000004</v>
      </c>
      <c r="H296">
        <v>65</v>
      </c>
      <c r="I296">
        <v>0</v>
      </c>
      <c r="J296">
        <f>IF(AND(Table2[[#This Row],[BMI]]&gt;=23,Table2[[#This Row],[Outcome]]=1),1,0)</f>
        <v>0</v>
      </c>
      <c r="K296">
        <f>IF(AND(Table2[[#This Row],[BMI+Outcome]]=1,Table2[[#This Row],[Glucose]]&gt;=100),1,0)</f>
        <v>0</v>
      </c>
      <c r="L296">
        <f>IF(AND(Table2[[#This Row],[Outcome]]=1,Table2[[#This Row],[Glucose]]&gt;=100),1,0)</f>
        <v>0</v>
      </c>
    </row>
    <row r="297" spans="1:12" x14ac:dyDescent="0.25">
      <c r="A297">
        <v>6</v>
      </c>
      <c r="B297">
        <v>151</v>
      </c>
      <c r="C297">
        <v>62</v>
      </c>
      <c r="D297">
        <v>31</v>
      </c>
      <c r="E297">
        <v>120</v>
      </c>
      <c r="F297">
        <v>36</v>
      </c>
      <c r="G297">
        <v>0.67200000000000004</v>
      </c>
      <c r="H297">
        <v>28</v>
      </c>
      <c r="I297">
        <v>0</v>
      </c>
      <c r="J297">
        <f>IF(AND(Table2[[#This Row],[BMI]]&gt;=23,Table2[[#This Row],[Outcome]]=1),1,0)</f>
        <v>0</v>
      </c>
      <c r="K297">
        <f>IF(AND(Table2[[#This Row],[BMI+Outcome]]=1,Table2[[#This Row],[Glucose]]&gt;=100),1,0)</f>
        <v>0</v>
      </c>
      <c r="L297">
        <f>IF(AND(Table2[[#This Row],[Outcome]]=1,Table2[[#This Row],[Glucose]]&gt;=100),1,0)</f>
        <v>0</v>
      </c>
    </row>
    <row r="298" spans="1:12" x14ac:dyDescent="0.25">
      <c r="A298">
        <v>2</v>
      </c>
      <c r="B298">
        <v>146</v>
      </c>
      <c r="C298">
        <v>70</v>
      </c>
      <c r="D298">
        <v>38</v>
      </c>
      <c r="E298">
        <v>360</v>
      </c>
      <c r="F298">
        <v>28</v>
      </c>
      <c r="G298">
        <v>0.67200000000000004</v>
      </c>
      <c r="H298">
        <v>29</v>
      </c>
      <c r="I298">
        <v>1</v>
      </c>
      <c r="J298">
        <f>IF(AND(Table2[[#This Row],[BMI]]&gt;=23,Table2[[#This Row],[Outcome]]=1),1,0)</f>
        <v>1</v>
      </c>
      <c r="K298">
        <f>IF(AND(Table2[[#This Row],[BMI+Outcome]]=1,Table2[[#This Row],[Glucose]]&gt;=100),1,0)</f>
        <v>1</v>
      </c>
      <c r="L298">
        <f>IF(AND(Table2[[#This Row],[Outcome]]=1,Table2[[#This Row],[Glucose]]&gt;=100),1,0)</f>
        <v>1</v>
      </c>
    </row>
    <row r="299" spans="1:12" x14ac:dyDescent="0.25">
      <c r="A299">
        <v>4</v>
      </c>
      <c r="B299">
        <v>126</v>
      </c>
      <c r="C299">
        <v>84</v>
      </c>
      <c r="D299">
        <v>29</v>
      </c>
      <c r="E299">
        <v>215</v>
      </c>
      <c r="F299">
        <v>31</v>
      </c>
      <c r="G299">
        <v>0.67200000000000004</v>
      </c>
      <c r="H299">
        <v>24</v>
      </c>
      <c r="I299">
        <v>0</v>
      </c>
      <c r="J299">
        <f>IF(AND(Table2[[#This Row],[BMI]]&gt;=23,Table2[[#This Row],[Outcome]]=1),1,0)</f>
        <v>0</v>
      </c>
      <c r="K299">
        <f>IF(AND(Table2[[#This Row],[BMI+Outcome]]=1,Table2[[#This Row],[Glucose]]&gt;=100),1,0)</f>
        <v>0</v>
      </c>
      <c r="L299">
        <f>IF(AND(Table2[[#This Row],[Outcome]]=1,Table2[[#This Row],[Glucose]]&gt;=100),1,0)</f>
        <v>0</v>
      </c>
    </row>
    <row r="300" spans="1:12" x14ac:dyDescent="0.25">
      <c r="A300">
        <v>14</v>
      </c>
      <c r="B300">
        <v>100</v>
      </c>
      <c r="C300">
        <v>78</v>
      </c>
      <c r="D300">
        <v>25</v>
      </c>
      <c r="E300">
        <v>184</v>
      </c>
      <c r="F300">
        <v>37</v>
      </c>
      <c r="G300">
        <v>0.67200000000000004</v>
      </c>
      <c r="H300">
        <v>46</v>
      </c>
      <c r="I300">
        <v>1</v>
      </c>
      <c r="J300">
        <f>IF(AND(Table2[[#This Row],[BMI]]&gt;=23,Table2[[#This Row],[Outcome]]=1),1,0)</f>
        <v>1</v>
      </c>
      <c r="K300">
        <f>IF(AND(Table2[[#This Row],[BMI+Outcome]]=1,Table2[[#This Row],[Glucose]]&gt;=100),1,0)</f>
        <v>1</v>
      </c>
      <c r="L300">
        <f>IF(AND(Table2[[#This Row],[Outcome]]=1,Table2[[#This Row],[Glucose]]&gt;=100),1,0)</f>
        <v>1</v>
      </c>
    </row>
    <row r="301" spans="1:12" x14ac:dyDescent="0.25">
      <c r="A301">
        <v>8</v>
      </c>
      <c r="B301">
        <v>112</v>
      </c>
      <c r="C301">
        <v>72</v>
      </c>
      <c r="D301">
        <v>21</v>
      </c>
      <c r="E301">
        <v>80</v>
      </c>
      <c r="F301">
        <v>24</v>
      </c>
      <c r="G301">
        <v>0.67200000000000004</v>
      </c>
      <c r="H301">
        <v>58</v>
      </c>
      <c r="I301">
        <v>0</v>
      </c>
      <c r="J301">
        <f>IF(AND(Table2[[#This Row],[BMI]]&gt;=23,Table2[[#This Row],[Outcome]]=1),1,0)</f>
        <v>0</v>
      </c>
      <c r="K301">
        <f>IF(AND(Table2[[#This Row],[BMI+Outcome]]=1,Table2[[#This Row],[Glucose]]&gt;=100),1,0)</f>
        <v>0</v>
      </c>
      <c r="L301">
        <f>IF(AND(Table2[[#This Row],[Outcome]]=1,Table2[[#This Row],[Glucose]]&gt;=100),1,0)</f>
        <v>0</v>
      </c>
    </row>
    <row r="302" spans="1:12" x14ac:dyDescent="0.25">
      <c r="A302">
        <v>4</v>
      </c>
      <c r="B302">
        <v>167</v>
      </c>
      <c r="C302">
        <v>69</v>
      </c>
      <c r="D302">
        <v>21</v>
      </c>
      <c r="E302">
        <v>80</v>
      </c>
      <c r="F302">
        <v>32</v>
      </c>
      <c r="G302">
        <v>0.67200000000000004</v>
      </c>
      <c r="H302">
        <v>30</v>
      </c>
      <c r="I302">
        <v>1</v>
      </c>
      <c r="J302">
        <f>IF(AND(Table2[[#This Row],[BMI]]&gt;=23,Table2[[#This Row],[Outcome]]=1),1,0)</f>
        <v>1</v>
      </c>
      <c r="K302">
        <f>IF(AND(Table2[[#This Row],[BMI+Outcome]]=1,Table2[[#This Row],[Glucose]]&gt;=100),1,0)</f>
        <v>1</v>
      </c>
      <c r="L302">
        <f>IF(AND(Table2[[#This Row],[Outcome]]=1,Table2[[#This Row],[Glucose]]&gt;=100),1,0)</f>
        <v>1</v>
      </c>
    </row>
    <row r="303" spans="1:12" x14ac:dyDescent="0.25">
      <c r="A303">
        <v>2</v>
      </c>
      <c r="B303">
        <v>144</v>
      </c>
      <c r="C303">
        <v>58</v>
      </c>
      <c r="D303">
        <v>33</v>
      </c>
      <c r="E303">
        <v>135</v>
      </c>
      <c r="F303">
        <v>32</v>
      </c>
      <c r="G303">
        <v>0.67200000000000004</v>
      </c>
      <c r="H303">
        <v>25</v>
      </c>
      <c r="I303">
        <v>1</v>
      </c>
      <c r="J303">
        <f>IF(AND(Table2[[#This Row],[BMI]]&gt;=23,Table2[[#This Row],[Outcome]]=1),1,0)</f>
        <v>1</v>
      </c>
      <c r="K303">
        <f>IF(AND(Table2[[#This Row],[BMI+Outcome]]=1,Table2[[#This Row],[Glucose]]&gt;=100),1,0)</f>
        <v>1</v>
      </c>
      <c r="L303">
        <f>IF(AND(Table2[[#This Row],[Outcome]]=1,Table2[[#This Row],[Glucose]]&gt;=100),1,0)</f>
        <v>1</v>
      </c>
    </row>
    <row r="304" spans="1:12" x14ac:dyDescent="0.25">
      <c r="A304">
        <v>5</v>
      </c>
      <c r="B304">
        <v>77</v>
      </c>
      <c r="C304">
        <v>82</v>
      </c>
      <c r="D304">
        <v>41</v>
      </c>
      <c r="E304">
        <v>42</v>
      </c>
      <c r="F304">
        <v>36</v>
      </c>
      <c r="G304">
        <v>0.67200000000000004</v>
      </c>
      <c r="H304">
        <v>35</v>
      </c>
      <c r="I304">
        <v>0</v>
      </c>
      <c r="J304">
        <f>IF(AND(Table2[[#This Row],[BMI]]&gt;=23,Table2[[#This Row],[Outcome]]=1),1,0)</f>
        <v>0</v>
      </c>
      <c r="K304">
        <f>IF(AND(Table2[[#This Row],[BMI+Outcome]]=1,Table2[[#This Row],[Glucose]]&gt;=100),1,0)</f>
        <v>0</v>
      </c>
      <c r="L304">
        <f>IF(AND(Table2[[#This Row],[Outcome]]=1,Table2[[#This Row],[Glucose]]&gt;=100),1,0)</f>
        <v>0</v>
      </c>
    </row>
    <row r="305" spans="1:12" x14ac:dyDescent="0.25">
      <c r="A305">
        <v>5</v>
      </c>
      <c r="B305">
        <v>115</v>
      </c>
      <c r="C305">
        <v>98</v>
      </c>
      <c r="D305">
        <v>21</v>
      </c>
      <c r="E305">
        <v>80</v>
      </c>
      <c r="F305">
        <v>53</v>
      </c>
      <c r="G305">
        <v>0.67200000000000004</v>
      </c>
      <c r="H305">
        <v>28</v>
      </c>
      <c r="I305">
        <v>1</v>
      </c>
      <c r="J305">
        <f>IF(AND(Table2[[#This Row],[BMI]]&gt;=23,Table2[[#This Row],[Outcome]]=1),1,0)</f>
        <v>1</v>
      </c>
      <c r="K305">
        <f>IF(AND(Table2[[#This Row],[BMI+Outcome]]=1,Table2[[#This Row],[Glucose]]&gt;=100),1,0)</f>
        <v>1</v>
      </c>
      <c r="L305">
        <f>IF(AND(Table2[[#This Row],[Outcome]]=1,Table2[[#This Row],[Glucose]]&gt;=100),1,0)</f>
        <v>1</v>
      </c>
    </row>
    <row r="306" spans="1:12" x14ac:dyDescent="0.25">
      <c r="A306">
        <v>3</v>
      </c>
      <c r="B306">
        <v>150</v>
      </c>
      <c r="C306">
        <v>76</v>
      </c>
      <c r="D306">
        <v>21</v>
      </c>
      <c r="E306">
        <v>80</v>
      </c>
      <c r="F306">
        <v>21</v>
      </c>
      <c r="G306">
        <v>0.67200000000000004</v>
      </c>
      <c r="H306">
        <v>37</v>
      </c>
      <c r="I306">
        <v>0</v>
      </c>
      <c r="J306">
        <f>IF(AND(Table2[[#This Row],[BMI]]&gt;=23,Table2[[#This Row],[Outcome]]=1),1,0)</f>
        <v>0</v>
      </c>
      <c r="K306">
        <f>IF(AND(Table2[[#This Row],[BMI+Outcome]]=1,Table2[[#This Row],[Glucose]]&gt;=100),1,0)</f>
        <v>0</v>
      </c>
      <c r="L306">
        <f>IF(AND(Table2[[#This Row],[Outcome]]=1,Table2[[#This Row],[Glucose]]&gt;=100),1,0)</f>
        <v>0</v>
      </c>
    </row>
    <row r="307" spans="1:12" x14ac:dyDescent="0.25">
      <c r="A307">
        <v>2</v>
      </c>
      <c r="B307">
        <v>120</v>
      </c>
      <c r="C307">
        <v>76</v>
      </c>
      <c r="D307">
        <v>37</v>
      </c>
      <c r="E307">
        <v>105</v>
      </c>
      <c r="F307">
        <v>40</v>
      </c>
      <c r="G307">
        <v>0.67200000000000004</v>
      </c>
      <c r="H307">
        <v>29</v>
      </c>
      <c r="I307">
        <v>0</v>
      </c>
      <c r="J307">
        <f>IF(AND(Table2[[#This Row],[BMI]]&gt;=23,Table2[[#This Row],[Outcome]]=1),1,0)</f>
        <v>0</v>
      </c>
      <c r="K307">
        <f>IF(AND(Table2[[#This Row],[BMI+Outcome]]=1,Table2[[#This Row],[Glucose]]&gt;=100),1,0)</f>
        <v>0</v>
      </c>
      <c r="L307">
        <f>IF(AND(Table2[[#This Row],[Outcome]]=1,Table2[[#This Row],[Glucose]]&gt;=100),1,0)</f>
        <v>0</v>
      </c>
    </row>
    <row r="308" spans="1:12" x14ac:dyDescent="0.25">
      <c r="A308">
        <v>10</v>
      </c>
      <c r="B308">
        <v>161</v>
      </c>
      <c r="C308">
        <v>68</v>
      </c>
      <c r="D308">
        <v>23</v>
      </c>
      <c r="E308">
        <v>132</v>
      </c>
      <c r="F308">
        <v>26</v>
      </c>
      <c r="G308">
        <v>0.67200000000000004</v>
      </c>
      <c r="H308">
        <v>47</v>
      </c>
      <c r="I308">
        <v>1</v>
      </c>
      <c r="J308">
        <f>IF(AND(Table2[[#This Row],[BMI]]&gt;=23,Table2[[#This Row],[Outcome]]=1),1,0)</f>
        <v>1</v>
      </c>
      <c r="K308">
        <f>IF(AND(Table2[[#This Row],[BMI+Outcome]]=1,Table2[[#This Row],[Glucose]]&gt;=100),1,0)</f>
        <v>1</v>
      </c>
      <c r="L308">
        <f>IF(AND(Table2[[#This Row],[Outcome]]=1,Table2[[#This Row],[Glucose]]&gt;=100),1,0)</f>
        <v>1</v>
      </c>
    </row>
    <row r="309" spans="1:12" x14ac:dyDescent="0.25">
      <c r="A309">
        <v>4</v>
      </c>
      <c r="B309">
        <v>137</v>
      </c>
      <c r="C309">
        <v>68</v>
      </c>
      <c r="D309">
        <v>14</v>
      </c>
      <c r="E309">
        <v>148</v>
      </c>
      <c r="F309">
        <v>25</v>
      </c>
      <c r="G309">
        <v>0.67200000000000004</v>
      </c>
      <c r="H309">
        <v>21</v>
      </c>
      <c r="I309">
        <v>0</v>
      </c>
      <c r="J309">
        <f>IF(AND(Table2[[#This Row],[BMI]]&gt;=23,Table2[[#This Row],[Outcome]]=1),1,0)</f>
        <v>0</v>
      </c>
      <c r="K309">
        <f>IF(AND(Table2[[#This Row],[BMI+Outcome]]=1,Table2[[#This Row],[Glucose]]&gt;=100),1,0)</f>
        <v>0</v>
      </c>
      <c r="L309">
        <f>IF(AND(Table2[[#This Row],[Outcome]]=1,Table2[[#This Row],[Glucose]]&gt;=100),1,0)</f>
        <v>0</v>
      </c>
    </row>
    <row r="310" spans="1:12" x14ac:dyDescent="0.25">
      <c r="A310">
        <v>4</v>
      </c>
      <c r="B310">
        <v>128</v>
      </c>
      <c r="C310">
        <v>68</v>
      </c>
      <c r="D310">
        <v>19</v>
      </c>
      <c r="E310">
        <v>180</v>
      </c>
      <c r="F310">
        <v>30</v>
      </c>
      <c r="G310">
        <v>0.67200000000000004</v>
      </c>
      <c r="H310">
        <v>25</v>
      </c>
      <c r="I310">
        <v>1</v>
      </c>
      <c r="J310">
        <f>IF(AND(Table2[[#This Row],[BMI]]&gt;=23,Table2[[#This Row],[Outcome]]=1),1,0)</f>
        <v>1</v>
      </c>
      <c r="K310">
        <f>IF(AND(Table2[[#This Row],[BMI+Outcome]]=1,Table2[[#This Row],[Glucose]]&gt;=100),1,0)</f>
        <v>1</v>
      </c>
      <c r="L310">
        <f>IF(AND(Table2[[#This Row],[Outcome]]=1,Table2[[#This Row],[Glucose]]&gt;=100),1,0)</f>
        <v>1</v>
      </c>
    </row>
    <row r="311" spans="1:12" x14ac:dyDescent="0.25">
      <c r="A311">
        <v>2</v>
      </c>
      <c r="B311">
        <v>124</v>
      </c>
      <c r="C311">
        <v>68</v>
      </c>
      <c r="D311">
        <v>28</v>
      </c>
      <c r="E311">
        <v>205</v>
      </c>
      <c r="F311">
        <v>33</v>
      </c>
      <c r="G311">
        <v>0.67200000000000004</v>
      </c>
      <c r="H311">
        <v>30</v>
      </c>
      <c r="I311">
        <v>1</v>
      </c>
      <c r="J311">
        <f>IF(AND(Table2[[#This Row],[BMI]]&gt;=23,Table2[[#This Row],[Outcome]]=1),1,0)</f>
        <v>1</v>
      </c>
      <c r="K311">
        <f>IF(AND(Table2[[#This Row],[BMI+Outcome]]=1,Table2[[#This Row],[Glucose]]&gt;=100),1,0)</f>
        <v>1</v>
      </c>
      <c r="L311">
        <f>IF(AND(Table2[[#This Row],[Outcome]]=1,Table2[[#This Row],[Glucose]]&gt;=100),1,0)</f>
        <v>1</v>
      </c>
    </row>
    <row r="312" spans="1:12" x14ac:dyDescent="0.25">
      <c r="A312">
        <v>6</v>
      </c>
      <c r="B312">
        <v>80</v>
      </c>
      <c r="C312">
        <v>66</v>
      </c>
      <c r="D312">
        <v>30</v>
      </c>
      <c r="E312">
        <v>80</v>
      </c>
      <c r="F312">
        <v>26</v>
      </c>
      <c r="G312">
        <v>0.67200000000000004</v>
      </c>
      <c r="H312">
        <v>41</v>
      </c>
      <c r="I312">
        <v>0</v>
      </c>
      <c r="J312">
        <f>IF(AND(Table2[[#This Row],[BMI]]&gt;=23,Table2[[#This Row],[Outcome]]=1),1,0)</f>
        <v>0</v>
      </c>
      <c r="K312">
        <f>IF(AND(Table2[[#This Row],[BMI+Outcome]]=1,Table2[[#This Row],[Glucose]]&gt;=100),1,0)</f>
        <v>0</v>
      </c>
      <c r="L312">
        <f>IF(AND(Table2[[#This Row],[Outcome]]=1,Table2[[#This Row],[Glucose]]&gt;=100),1,0)</f>
        <v>0</v>
      </c>
    </row>
    <row r="313" spans="1:12" x14ac:dyDescent="0.25">
      <c r="A313">
        <v>4</v>
      </c>
      <c r="B313">
        <v>106</v>
      </c>
      <c r="C313">
        <v>70</v>
      </c>
      <c r="D313">
        <v>37</v>
      </c>
      <c r="E313">
        <v>148</v>
      </c>
      <c r="F313">
        <v>39</v>
      </c>
      <c r="G313">
        <v>0.67200000000000004</v>
      </c>
      <c r="H313">
        <v>22</v>
      </c>
      <c r="I313">
        <v>0</v>
      </c>
      <c r="J313">
        <f>IF(AND(Table2[[#This Row],[BMI]]&gt;=23,Table2[[#This Row],[Outcome]]=1),1,0)</f>
        <v>0</v>
      </c>
      <c r="K313">
        <f>IF(AND(Table2[[#This Row],[BMI+Outcome]]=1,Table2[[#This Row],[Glucose]]&gt;=100),1,0)</f>
        <v>0</v>
      </c>
      <c r="L313">
        <f>IF(AND(Table2[[#This Row],[Outcome]]=1,Table2[[#This Row],[Glucose]]&gt;=100),1,0)</f>
        <v>0</v>
      </c>
    </row>
    <row r="314" spans="1:12" x14ac:dyDescent="0.25">
      <c r="A314">
        <v>2</v>
      </c>
      <c r="B314">
        <v>155</v>
      </c>
      <c r="C314">
        <v>74</v>
      </c>
      <c r="D314">
        <v>17</v>
      </c>
      <c r="E314">
        <v>96</v>
      </c>
      <c r="F314">
        <v>27</v>
      </c>
      <c r="G314">
        <v>0.67200000000000004</v>
      </c>
      <c r="H314">
        <v>27</v>
      </c>
      <c r="I314">
        <v>1</v>
      </c>
      <c r="J314">
        <f>IF(AND(Table2[[#This Row],[BMI]]&gt;=23,Table2[[#This Row],[Outcome]]=1),1,0)</f>
        <v>1</v>
      </c>
      <c r="K314">
        <f>IF(AND(Table2[[#This Row],[BMI+Outcome]]=1,Table2[[#This Row],[Glucose]]&gt;=100),1,0)</f>
        <v>1</v>
      </c>
      <c r="L314">
        <f>IF(AND(Table2[[#This Row],[Outcome]]=1,Table2[[#This Row],[Glucose]]&gt;=100),1,0)</f>
        <v>1</v>
      </c>
    </row>
    <row r="315" spans="1:12" x14ac:dyDescent="0.25">
      <c r="A315">
        <v>3</v>
      </c>
      <c r="B315">
        <v>113</v>
      </c>
      <c r="C315">
        <v>50</v>
      </c>
      <c r="D315">
        <v>10</v>
      </c>
      <c r="E315">
        <v>85</v>
      </c>
      <c r="F315">
        <v>30</v>
      </c>
      <c r="G315">
        <v>0.67200000000000004</v>
      </c>
      <c r="H315">
        <v>25</v>
      </c>
      <c r="I315">
        <v>0</v>
      </c>
      <c r="J315">
        <f>IF(AND(Table2[[#This Row],[BMI]]&gt;=23,Table2[[#This Row],[Outcome]]=1),1,0)</f>
        <v>0</v>
      </c>
      <c r="K315">
        <f>IF(AND(Table2[[#This Row],[BMI+Outcome]]=1,Table2[[#This Row],[Glucose]]&gt;=100),1,0)</f>
        <v>0</v>
      </c>
      <c r="L315">
        <f>IF(AND(Table2[[#This Row],[Outcome]]=1,Table2[[#This Row],[Glucose]]&gt;=100),1,0)</f>
        <v>0</v>
      </c>
    </row>
    <row r="316" spans="1:12" x14ac:dyDescent="0.25">
      <c r="A316">
        <v>7</v>
      </c>
      <c r="B316">
        <v>109</v>
      </c>
      <c r="C316">
        <v>80</v>
      </c>
      <c r="D316">
        <v>31</v>
      </c>
      <c r="E316">
        <v>80</v>
      </c>
      <c r="F316">
        <v>36</v>
      </c>
      <c r="G316">
        <v>0.67200000000000004</v>
      </c>
      <c r="H316">
        <v>43</v>
      </c>
      <c r="I316">
        <v>1</v>
      </c>
      <c r="J316">
        <f>IF(AND(Table2[[#This Row],[BMI]]&gt;=23,Table2[[#This Row],[Outcome]]=1),1,0)</f>
        <v>1</v>
      </c>
      <c r="K316">
        <f>IF(AND(Table2[[#This Row],[BMI+Outcome]]=1,Table2[[#This Row],[Glucose]]&gt;=100),1,0)</f>
        <v>1</v>
      </c>
      <c r="L316">
        <f>IF(AND(Table2[[#This Row],[Outcome]]=1,Table2[[#This Row],[Glucose]]&gt;=100),1,0)</f>
        <v>1</v>
      </c>
    </row>
    <row r="317" spans="1:12" x14ac:dyDescent="0.25">
      <c r="A317">
        <v>2</v>
      </c>
      <c r="B317">
        <v>112</v>
      </c>
      <c r="C317">
        <v>68</v>
      </c>
      <c r="D317">
        <v>22</v>
      </c>
      <c r="E317">
        <v>94</v>
      </c>
      <c r="F317">
        <v>34</v>
      </c>
      <c r="G317">
        <v>0.67200000000000004</v>
      </c>
      <c r="H317">
        <v>26</v>
      </c>
      <c r="I317">
        <v>0</v>
      </c>
      <c r="J317">
        <f>IF(AND(Table2[[#This Row],[BMI]]&gt;=23,Table2[[#This Row],[Outcome]]=1),1,0)</f>
        <v>0</v>
      </c>
      <c r="K317">
        <f>IF(AND(Table2[[#This Row],[BMI+Outcome]]=1,Table2[[#This Row],[Glucose]]&gt;=100),1,0)</f>
        <v>0</v>
      </c>
      <c r="L317">
        <f>IF(AND(Table2[[#This Row],[Outcome]]=1,Table2[[#This Row],[Glucose]]&gt;=100),1,0)</f>
        <v>0</v>
      </c>
    </row>
    <row r="318" spans="1:12" x14ac:dyDescent="0.25">
      <c r="A318">
        <v>3</v>
      </c>
      <c r="B318">
        <v>99</v>
      </c>
      <c r="C318">
        <v>80</v>
      </c>
      <c r="D318">
        <v>11</v>
      </c>
      <c r="E318">
        <v>64</v>
      </c>
      <c r="F318">
        <v>19</v>
      </c>
      <c r="G318">
        <v>0.67200000000000004</v>
      </c>
      <c r="H318">
        <v>30</v>
      </c>
      <c r="I318">
        <v>0</v>
      </c>
      <c r="J318">
        <f>IF(AND(Table2[[#This Row],[BMI]]&gt;=23,Table2[[#This Row],[Outcome]]=1),1,0)</f>
        <v>0</v>
      </c>
      <c r="K318">
        <f>IF(AND(Table2[[#This Row],[BMI+Outcome]]=1,Table2[[#This Row],[Glucose]]&gt;=100),1,0)</f>
        <v>0</v>
      </c>
      <c r="L318">
        <f>IF(AND(Table2[[#This Row],[Outcome]]=1,Table2[[#This Row],[Glucose]]&gt;=100),1,0)</f>
        <v>0</v>
      </c>
    </row>
    <row r="319" spans="1:12" x14ac:dyDescent="0.25">
      <c r="A319">
        <v>3</v>
      </c>
      <c r="B319">
        <v>182</v>
      </c>
      <c r="C319">
        <v>74</v>
      </c>
      <c r="D319">
        <v>21</v>
      </c>
      <c r="E319">
        <v>80</v>
      </c>
      <c r="F319">
        <v>30</v>
      </c>
      <c r="G319">
        <v>0.67200000000000004</v>
      </c>
      <c r="H319">
        <v>29</v>
      </c>
      <c r="I319">
        <v>1</v>
      </c>
      <c r="J319">
        <f>IF(AND(Table2[[#This Row],[BMI]]&gt;=23,Table2[[#This Row],[Outcome]]=1),1,0)</f>
        <v>1</v>
      </c>
      <c r="K319">
        <f>IF(AND(Table2[[#This Row],[BMI+Outcome]]=1,Table2[[#This Row],[Glucose]]&gt;=100),1,0)</f>
        <v>1</v>
      </c>
      <c r="L319">
        <f>IF(AND(Table2[[#This Row],[Outcome]]=1,Table2[[#This Row],[Glucose]]&gt;=100),1,0)</f>
        <v>1</v>
      </c>
    </row>
    <row r="320" spans="1:12" x14ac:dyDescent="0.25">
      <c r="A320">
        <v>3</v>
      </c>
      <c r="B320">
        <v>115</v>
      </c>
      <c r="C320">
        <v>66</v>
      </c>
      <c r="D320">
        <v>39</v>
      </c>
      <c r="E320">
        <v>140</v>
      </c>
      <c r="F320">
        <v>38</v>
      </c>
      <c r="G320">
        <v>0.67200000000000004</v>
      </c>
      <c r="H320">
        <v>28</v>
      </c>
      <c r="I320">
        <v>0</v>
      </c>
      <c r="J320">
        <f>IF(AND(Table2[[#This Row],[BMI]]&gt;=23,Table2[[#This Row],[Outcome]]=1),1,0)</f>
        <v>0</v>
      </c>
      <c r="K320">
        <f>IF(AND(Table2[[#This Row],[BMI+Outcome]]=1,Table2[[#This Row],[Glucose]]&gt;=100),1,0)</f>
        <v>0</v>
      </c>
      <c r="L320">
        <f>IF(AND(Table2[[#This Row],[Outcome]]=1,Table2[[#This Row],[Glucose]]&gt;=100),1,0)</f>
        <v>0</v>
      </c>
    </row>
    <row r="321" spans="1:12" x14ac:dyDescent="0.25">
      <c r="A321">
        <v>6</v>
      </c>
      <c r="B321">
        <v>194</v>
      </c>
      <c r="C321">
        <v>78</v>
      </c>
      <c r="D321">
        <v>21</v>
      </c>
      <c r="E321">
        <v>80</v>
      </c>
      <c r="F321">
        <v>24</v>
      </c>
      <c r="G321">
        <v>0.67200000000000004</v>
      </c>
      <c r="H321">
        <v>59</v>
      </c>
      <c r="I321">
        <v>1</v>
      </c>
      <c r="J321">
        <f>IF(AND(Table2[[#This Row],[BMI]]&gt;=23,Table2[[#This Row],[Outcome]]=1),1,0)</f>
        <v>1</v>
      </c>
      <c r="K321">
        <f>IF(AND(Table2[[#This Row],[BMI+Outcome]]=1,Table2[[#This Row],[Glucose]]&gt;=100),1,0)</f>
        <v>1</v>
      </c>
      <c r="L321">
        <f>IF(AND(Table2[[#This Row],[Outcome]]=1,Table2[[#This Row],[Glucose]]&gt;=100),1,0)</f>
        <v>1</v>
      </c>
    </row>
    <row r="322" spans="1:12" x14ac:dyDescent="0.25">
      <c r="A322">
        <v>4</v>
      </c>
      <c r="B322">
        <v>129</v>
      </c>
      <c r="C322">
        <v>60</v>
      </c>
      <c r="D322">
        <v>12</v>
      </c>
      <c r="E322">
        <v>231</v>
      </c>
      <c r="F322">
        <v>28</v>
      </c>
      <c r="G322">
        <v>0.67200000000000004</v>
      </c>
      <c r="H322">
        <v>31</v>
      </c>
      <c r="I322">
        <v>0</v>
      </c>
      <c r="J322">
        <f>IF(AND(Table2[[#This Row],[BMI]]&gt;=23,Table2[[#This Row],[Outcome]]=1),1,0)</f>
        <v>0</v>
      </c>
      <c r="K322">
        <f>IF(AND(Table2[[#This Row],[BMI+Outcome]]=1,Table2[[#This Row],[Glucose]]&gt;=100),1,0)</f>
        <v>0</v>
      </c>
      <c r="L322">
        <f>IF(AND(Table2[[#This Row],[Outcome]]=1,Table2[[#This Row],[Glucose]]&gt;=100),1,0)</f>
        <v>0</v>
      </c>
    </row>
    <row r="323" spans="1:12" x14ac:dyDescent="0.25">
      <c r="A323">
        <v>3</v>
      </c>
      <c r="B323">
        <v>112</v>
      </c>
      <c r="C323">
        <v>74</v>
      </c>
      <c r="D323">
        <v>30</v>
      </c>
      <c r="E323">
        <v>80</v>
      </c>
      <c r="F323">
        <v>32</v>
      </c>
      <c r="G323">
        <v>0.67200000000000004</v>
      </c>
      <c r="H323">
        <v>25</v>
      </c>
      <c r="I323">
        <v>1</v>
      </c>
      <c r="J323">
        <f>IF(AND(Table2[[#This Row],[BMI]]&gt;=23,Table2[[#This Row],[Outcome]]=1),1,0)</f>
        <v>1</v>
      </c>
      <c r="K323">
        <f>IF(AND(Table2[[#This Row],[BMI+Outcome]]=1,Table2[[#This Row],[Glucose]]&gt;=100),1,0)</f>
        <v>1</v>
      </c>
      <c r="L323">
        <f>IF(AND(Table2[[#This Row],[Outcome]]=1,Table2[[#This Row],[Glucose]]&gt;=100),1,0)</f>
        <v>1</v>
      </c>
    </row>
    <row r="324" spans="1:12" x14ac:dyDescent="0.25">
      <c r="A324">
        <v>4</v>
      </c>
      <c r="B324">
        <v>124</v>
      </c>
      <c r="C324">
        <v>70</v>
      </c>
      <c r="D324">
        <v>20</v>
      </c>
      <c r="E324">
        <v>80</v>
      </c>
      <c r="F324">
        <v>27</v>
      </c>
      <c r="G324">
        <v>0.67200000000000004</v>
      </c>
      <c r="H324">
        <v>36</v>
      </c>
      <c r="I324">
        <v>1</v>
      </c>
      <c r="J324">
        <f>IF(AND(Table2[[#This Row],[BMI]]&gt;=23,Table2[[#This Row],[Outcome]]=1),1,0)</f>
        <v>1</v>
      </c>
      <c r="K324">
        <f>IF(AND(Table2[[#This Row],[BMI+Outcome]]=1,Table2[[#This Row],[Glucose]]&gt;=100),1,0)</f>
        <v>1</v>
      </c>
      <c r="L324">
        <f>IF(AND(Table2[[#This Row],[Outcome]]=1,Table2[[#This Row],[Glucose]]&gt;=100),1,0)</f>
        <v>1</v>
      </c>
    </row>
    <row r="325" spans="1:12" x14ac:dyDescent="0.25">
      <c r="A325">
        <v>13</v>
      </c>
      <c r="B325">
        <v>152</v>
      </c>
      <c r="C325">
        <v>90</v>
      </c>
      <c r="D325">
        <v>33</v>
      </c>
      <c r="E325">
        <v>29</v>
      </c>
      <c r="F325">
        <v>27</v>
      </c>
      <c r="G325">
        <v>0.67200000000000004</v>
      </c>
      <c r="H325">
        <v>43</v>
      </c>
      <c r="I325">
        <v>1</v>
      </c>
      <c r="J325">
        <f>IF(AND(Table2[[#This Row],[BMI]]&gt;=23,Table2[[#This Row],[Outcome]]=1),1,0)</f>
        <v>1</v>
      </c>
      <c r="K325">
        <f>IF(AND(Table2[[#This Row],[BMI+Outcome]]=1,Table2[[#This Row],[Glucose]]&gt;=100),1,0)</f>
        <v>1</v>
      </c>
      <c r="L325">
        <f>IF(AND(Table2[[#This Row],[Outcome]]=1,Table2[[#This Row],[Glucose]]&gt;=100),1,0)</f>
        <v>1</v>
      </c>
    </row>
    <row r="326" spans="1:12" x14ac:dyDescent="0.25">
      <c r="A326">
        <v>2</v>
      </c>
      <c r="B326">
        <v>112</v>
      </c>
      <c r="C326">
        <v>75</v>
      </c>
      <c r="D326">
        <v>32</v>
      </c>
      <c r="E326">
        <v>80</v>
      </c>
      <c r="F326">
        <v>36</v>
      </c>
      <c r="G326">
        <v>0.67200000000000004</v>
      </c>
      <c r="H326">
        <v>21</v>
      </c>
      <c r="I326">
        <v>0</v>
      </c>
      <c r="J326">
        <f>IF(AND(Table2[[#This Row],[BMI]]&gt;=23,Table2[[#This Row],[Outcome]]=1),1,0)</f>
        <v>0</v>
      </c>
      <c r="K326">
        <f>IF(AND(Table2[[#This Row],[BMI+Outcome]]=1,Table2[[#This Row],[Glucose]]&gt;=100),1,0)</f>
        <v>0</v>
      </c>
      <c r="L326">
        <f>IF(AND(Table2[[#This Row],[Outcome]]=1,Table2[[#This Row],[Glucose]]&gt;=100),1,0)</f>
        <v>0</v>
      </c>
    </row>
    <row r="327" spans="1:12" x14ac:dyDescent="0.25">
      <c r="A327">
        <v>1</v>
      </c>
      <c r="B327">
        <v>157</v>
      </c>
      <c r="C327">
        <v>72</v>
      </c>
      <c r="D327">
        <v>21</v>
      </c>
      <c r="E327">
        <v>168</v>
      </c>
      <c r="F327">
        <v>26</v>
      </c>
      <c r="G327">
        <v>0.67200000000000004</v>
      </c>
      <c r="H327">
        <v>24</v>
      </c>
      <c r="I327">
        <v>0</v>
      </c>
      <c r="J327">
        <f>IF(AND(Table2[[#This Row],[BMI]]&gt;=23,Table2[[#This Row],[Outcome]]=1),1,0)</f>
        <v>0</v>
      </c>
      <c r="K327">
        <f>IF(AND(Table2[[#This Row],[BMI+Outcome]]=1,Table2[[#This Row],[Glucose]]&gt;=100),1,0)</f>
        <v>0</v>
      </c>
      <c r="L327">
        <f>IF(AND(Table2[[#This Row],[Outcome]]=1,Table2[[#This Row],[Glucose]]&gt;=100),1,0)</f>
        <v>0</v>
      </c>
    </row>
    <row r="328" spans="1:12" x14ac:dyDescent="0.25">
      <c r="A328">
        <v>1</v>
      </c>
      <c r="B328">
        <v>122</v>
      </c>
      <c r="C328">
        <v>64</v>
      </c>
      <c r="D328">
        <v>32</v>
      </c>
      <c r="E328">
        <v>156</v>
      </c>
      <c r="F328">
        <v>35</v>
      </c>
      <c r="G328">
        <v>0.67200000000000004</v>
      </c>
      <c r="H328">
        <v>30</v>
      </c>
      <c r="I328">
        <v>1</v>
      </c>
      <c r="J328">
        <f>IF(AND(Table2[[#This Row],[BMI]]&gt;=23,Table2[[#This Row],[Outcome]]=1),1,0)</f>
        <v>1</v>
      </c>
      <c r="K328">
        <f>IF(AND(Table2[[#This Row],[BMI+Outcome]]=1,Table2[[#This Row],[Glucose]]&gt;=100),1,0)</f>
        <v>1</v>
      </c>
      <c r="L328">
        <f>IF(AND(Table2[[#This Row],[Outcome]]=1,Table2[[#This Row],[Glucose]]&gt;=100),1,0)</f>
        <v>1</v>
      </c>
    </row>
    <row r="329" spans="1:12" x14ac:dyDescent="0.25">
      <c r="A329">
        <v>10</v>
      </c>
      <c r="B329">
        <v>179</v>
      </c>
      <c r="C329">
        <v>70</v>
      </c>
      <c r="D329">
        <v>21</v>
      </c>
      <c r="E329">
        <v>80</v>
      </c>
      <c r="F329">
        <v>35</v>
      </c>
      <c r="G329">
        <v>0.67200000000000004</v>
      </c>
      <c r="H329">
        <v>37</v>
      </c>
      <c r="I329">
        <v>0</v>
      </c>
      <c r="J329">
        <f>IF(AND(Table2[[#This Row],[BMI]]&gt;=23,Table2[[#This Row],[Outcome]]=1),1,0)</f>
        <v>0</v>
      </c>
      <c r="K329">
        <f>IF(AND(Table2[[#This Row],[BMI+Outcome]]=1,Table2[[#This Row],[Glucose]]&gt;=100),1,0)</f>
        <v>0</v>
      </c>
      <c r="L329">
        <f>IF(AND(Table2[[#This Row],[Outcome]]=1,Table2[[#This Row],[Glucose]]&gt;=100),1,0)</f>
        <v>0</v>
      </c>
    </row>
    <row r="330" spans="1:12" x14ac:dyDescent="0.25">
      <c r="A330">
        <v>2</v>
      </c>
      <c r="B330">
        <v>102</v>
      </c>
      <c r="C330">
        <v>86</v>
      </c>
      <c r="D330">
        <v>36</v>
      </c>
      <c r="E330">
        <v>120</v>
      </c>
      <c r="F330">
        <v>46</v>
      </c>
      <c r="G330">
        <v>0.67200000000000004</v>
      </c>
      <c r="H330">
        <v>23</v>
      </c>
      <c r="I330">
        <v>1</v>
      </c>
      <c r="J330">
        <f>IF(AND(Table2[[#This Row],[BMI]]&gt;=23,Table2[[#This Row],[Outcome]]=1),1,0)</f>
        <v>1</v>
      </c>
      <c r="K330">
        <f>IF(AND(Table2[[#This Row],[BMI+Outcome]]=1,Table2[[#This Row],[Glucose]]&gt;=100),1,0)</f>
        <v>1</v>
      </c>
      <c r="L330">
        <f>IF(AND(Table2[[#This Row],[Outcome]]=1,Table2[[#This Row],[Glucose]]&gt;=100),1,0)</f>
        <v>1</v>
      </c>
    </row>
    <row r="331" spans="1:12" x14ac:dyDescent="0.25">
      <c r="A331">
        <v>6</v>
      </c>
      <c r="B331">
        <v>105</v>
      </c>
      <c r="C331">
        <v>70</v>
      </c>
      <c r="D331">
        <v>32</v>
      </c>
      <c r="E331">
        <v>68</v>
      </c>
      <c r="F331">
        <v>31</v>
      </c>
      <c r="G331">
        <v>0.67200000000000004</v>
      </c>
      <c r="H331">
        <v>37</v>
      </c>
      <c r="I331">
        <v>0</v>
      </c>
      <c r="J331">
        <f>IF(AND(Table2[[#This Row],[BMI]]&gt;=23,Table2[[#This Row],[Outcome]]=1),1,0)</f>
        <v>0</v>
      </c>
      <c r="K331">
        <f>IF(AND(Table2[[#This Row],[BMI+Outcome]]=1,Table2[[#This Row],[Glucose]]&gt;=100),1,0)</f>
        <v>0</v>
      </c>
      <c r="L331">
        <f>IF(AND(Table2[[#This Row],[Outcome]]=1,Table2[[#This Row],[Glucose]]&gt;=100),1,0)</f>
        <v>0</v>
      </c>
    </row>
    <row r="332" spans="1:12" x14ac:dyDescent="0.25">
      <c r="A332">
        <v>8</v>
      </c>
      <c r="B332">
        <v>118</v>
      </c>
      <c r="C332">
        <v>72</v>
      </c>
      <c r="D332">
        <v>19</v>
      </c>
      <c r="E332">
        <v>80</v>
      </c>
      <c r="F332">
        <v>23</v>
      </c>
      <c r="G332">
        <v>0.67200000000000004</v>
      </c>
      <c r="H332">
        <v>46</v>
      </c>
      <c r="I332">
        <v>0</v>
      </c>
      <c r="J332">
        <f>IF(AND(Table2[[#This Row],[BMI]]&gt;=23,Table2[[#This Row],[Outcome]]=1),1,0)</f>
        <v>0</v>
      </c>
      <c r="K332">
        <f>IF(AND(Table2[[#This Row],[BMI+Outcome]]=1,Table2[[#This Row],[Glucose]]&gt;=100),1,0)</f>
        <v>0</v>
      </c>
      <c r="L332">
        <f>IF(AND(Table2[[#This Row],[Outcome]]=1,Table2[[#This Row],[Glucose]]&gt;=100),1,0)</f>
        <v>0</v>
      </c>
    </row>
    <row r="333" spans="1:12" x14ac:dyDescent="0.25">
      <c r="A333">
        <v>2</v>
      </c>
      <c r="B333">
        <v>87</v>
      </c>
      <c r="C333">
        <v>58</v>
      </c>
      <c r="D333">
        <v>16</v>
      </c>
      <c r="E333">
        <v>52</v>
      </c>
      <c r="F333">
        <v>33</v>
      </c>
      <c r="G333">
        <v>0.67200000000000004</v>
      </c>
      <c r="H333">
        <v>25</v>
      </c>
      <c r="I333">
        <v>0</v>
      </c>
      <c r="J333">
        <f>IF(AND(Table2[[#This Row],[BMI]]&gt;=23,Table2[[#This Row],[Outcome]]=1),1,0)</f>
        <v>0</v>
      </c>
      <c r="K333">
        <f>IF(AND(Table2[[#This Row],[BMI+Outcome]]=1,Table2[[#This Row],[Glucose]]&gt;=100),1,0)</f>
        <v>0</v>
      </c>
      <c r="L333">
        <f>IF(AND(Table2[[#This Row],[Outcome]]=1,Table2[[#This Row],[Glucose]]&gt;=100),1,0)</f>
        <v>0</v>
      </c>
    </row>
    <row r="334" spans="1:12" x14ac:dyDescent="0.25">
      <c r="A334">
        <v>1</v>
      </c>
      <c r="B334">
        <v>180</v>
      </c>
      <c r="C334">
        <v>69</v>
      </c>
      <c r="D334">
        <v>21</v>
      </c>
      <c r="E334">
        <v>80</v>
      </c>
      <c r="F334">
        <v>43</v>
      </c>
      <c r="G334">
        <v>0.67200000000000004</v>
      </c>
      <c r="H334">
        <v>41</v>
      </c>
      <c r="I334">
        <v>1</v>
      </c>
      <c r="J334">
        <f>IF(AND(Table2[[#This Row],[BMI]]&gt;=23,Table2[[#This Row],[Outcome]]=1),1,0)</f>
        <v>1</v>
      </c>
      <c r="K334">
        <f>IF(AND(Table2[[#This Row],[BMI+Outcome]]=1,Table2[[#This Row],[Glucose]]&gt;=100),1,0)</f>
        <v>1</v>
      </c>
      <c r="L334">
        <f>IF(AND(Table2[[#This Row],[Outcome]]=1,Table2[[#This Row],[Glucose]]&gt;=100),1,0)</f>
        <v>1</v>
      </c>
    </row>
    <row r="335" spans="1:12" x14ac:dyDescent="0.25">
      <c r="A335">
        <v>12</v>
      </c>
      <c r="B335">
        <v>106</v>
      </c>
      <c r="C335">
        <v>80</v>
      </c>
      <c r="D335">
        <v>21</v>
      </c>
      <c r="E335">
        <v>80</v>
      </c>
      <c r="F335">
        <v>24</v>
      </c>
      <c r="G335">
        <v>0.67200000000000004</v>
      </c>
      <c r="H335">
        <v>44</v>
      </c>
      <c r="I335">
        <v>0</v>
      </c>
      <c r="J335">
        <f>IF(AND(Table2[[#This Row],[BMI]]&gt;=23,Table2[[#This Row],[Outcome]]=1),1,0)</f>
        <v>0</v>
      </c>
      <c r="K335">
        <f>IF(AND(Table2[[#This Row],[BMI+Outcome]]=1,Table2[[#This Row],[Glucose]]&gt;=100),1,0)</f>
        <v>0</v>
      </c>
      <c r="L335">
        <f>IF(AND(Table2[[#This Row],[Outcome]]=1,Table2[[#This Row],[Glucose]]&gt;=100),1,0)</f>
        <v>0</v>
      </c>
    </row>
    <row r="336" spans="1:12" x14ac:dyDescent="0.25">
      <c r="A336">
        <v>1</v>
      </c>
      <c r="B336">
        <v>95</v>
      </c>
      <c r="C336">
        <v>60</v>
      </c>
      <c r="D336">
        <v>18</v>
      </c>
      <c r="E336">
        <v>58</v>
      </c>
      <c r="F336">
        <v>24</v>
      </c>
      <c r="G336">
        <v>0.67200000000000004</v>
      </c>
      <c r="H336">
        <v>22</v>
      </c>
      <c r="I336">
        <v>0</v>
      </c>
      <c r="J336">
        <f>IF(AND(Table2[[#This Row],[BMI]]&gt;=23,Table2[[#This Row],[Outcome]]=1),1,0)</f>
        <v>0</v>
      </c>
      <c r="K336">
        <f>IF(AND(Table2[[#This Row],[BMI+Outcome]]=1,Table2[[#This Row],[Glucose]]&gt;=100),1,0)</f>
        <v>0</v>
      </c>
      <c r="L336">
        <f>IF(AND(Table2[[#This Row],[Outcome]]=1,Table2[[#This Row],[Glucose]]&gt;=100),1,0)</f>
        <v>0</v>
      </c>
    </row>
    <row r="337" spans="1:12" x14ac:dyDescent="0.25">
      <c r="A337">
        <v>4</v>
      </c>
      <c r="B337">
        <v>165</v>
      </c>
      <c r="C337">
        <v>76</v>
      </c>
      <c r="D337">
        <v>43</v>
      </c>
      <c r="E337">
        <v>255</v>
      </c>
      <c r="F337">
        <v>48</v>
      </c>
      <c r="G337">
        <v>0.67200000000000004</v>
      </c>
      <c r="H337">
        <v>26</v>
      </c>
      <c r="I337">
        <v>0</v>
      </c>
      <c r="J337">
        <f>IF(AND(Table2[[#This Row],[BMI]]&gt;=23,Table2[[#This Row],[Outcome]]=1),1,0)</f>
        <v>0</v>
      </c>
      <c r="K337">
        <f>IF(AND(Table2[[#This Row],[BMI+Outcome]]=1,Table2[[#This Row],[Glucose]]&gt;=100),1,0)</f>
        <v>0</v>
      </c>
      <c r="L337">
        <f>IF(AND(Table2[[#This Row],[Outcome]]=1,Table2[[#This Row],[Glucose]]&gt;=100),1,0)</f>
        <v>0</v>
      </c>
    </row>
    <row r="338" spans="1:12" x14ac:dyDescent="0.25">
      <c r="A338">
        <v>4</v>
      </c>
      <c r="B338">
        <v>117</v>
      </c>
      <c r="C338">
        <v>69</v>
      </c>
      <c r="D338">
        <v>21</v>
      </c>
      <c r="E338">
        <v>80</v>
      </c>
      <c r="F338">
        <v>34</v>
      </c>
      <c r="G338">
        <v>0.67200000000000004</v>
      </c>
      <c r="H338">
        <v>44</v>
      </c>
      <c r="I338">
        <v>0</v>
      </c>
      <c r="J338">
        <f>IF(AND(Table2[[#This Row],[BMI]]&gt;=23,Table2[[#This Row],[Outcome]]=1),1,0)</f>
        <v>0</v>
      </c>
      <c r="K338">
        <f>IF(AND(Table2[[#This Row],[BMI+Outcome]]=1,Table2[[#This Row],[Glucose]]&gt;=100),1,0)</f>
        <v>0</v>
      </c>
      <c r="L338">
        <f>IF(AND(Table2[[#This Row],[Outcome]]=1,Table2[[#This Row],[Glucose]]&gt;=100),1,0)</f>
        <v>0</v>
      </c>
    </row>
    <row r="339" spans="1:12" x14ac:dyDescent="0.25">
      <c r="A339">
        <v>5</v>
      </c>
      <c r="B339">
        <v>115</v>
      </c>
      <c r="C339">
        <v>76</v>
      </c>
      <c r="D339">
        <v>21</v>
      </c>
      <c r="E339">
        <v>80</v>
      </c>
      <c r="F339">
        <v>31</v>
      </c>
      <c r="G339">
        <v>0.67200000000000004</v>
      </c>
      <c r="H339">
        <v>44</v>
      </c>
      <c r="I339">
        <v>1</v>
      </c>
      <c r="J339">
        <f>IF(AND(Table2[[#This Row],[BMI]]&gt;=23,Table2[[#This Row],[Outcome]]=1),1,0)</f>
        <v>1</v>
      </c>
      <c r="K339">
        <f>IF(AND(Table2[[#This Row],[BMI+Outcome]]=1,Table2[[#This Row],[Glucose]]&gt;=100),1,0)</f>
        <v>1</v>
      </c>
      <c r="L339">
        <f>IF(AND(Table2[[#This Row],[Outcome]]=1,Table2[[#This Row],[Glucose]]&gt;=100),1,0)</f>
        <v>1</v>
      </c>
    </row>
    <row r="340" spans="1:12" x14ac:dyDescent="0.25">
      <c r="A340">
        <v>9</v>
      </c>
      <c r="B340">
        <v>152</v>
      </c>
      <c r="C340">
        <v>78</v>
      </c>
      <c r="D340">
        <v>34</v>
      </c>
      <c r="E340">
        <v>171</v>
      </c>
      <c r="F340">
        <v>34</v>
      </c>
      <c r="G340">
        <v>0.67200000000000004</v>
      </c>
      <c r="H340">
        <v>33</v>
      </c>
      <c r="I340">
        <v>1</v>
      </c>
      <c r="J340">
        <f>IF(AND(Table2[[#This Row],[BMI]]&gt;=23,Table2[[#This Row],[Outcome]]=1),1,0)</f>
        <v>1</v>
      </c>
      <c r="K340">
        <f>IF(AND(Table2[[#This Row],[BMI+Outcome]]=1,Table2[[#This Row],[Glucose]]&gt;=100),1,0)</f>
        <v>1</v>
      </c>
      <c r="L340">
        <f>IF(AND(Table2[[#This Row],[Outcome]]=1,Table2[[#This Row],[Glucose]]&gt;=100),1,0)</f>
        <v>1</v>
      </c>
    </row>
    <row r="341" spans="1:12" x14ac:dyDescent="0.25">
      <c r="A341">
        <v>7</v>
      </c>
      <c r="B341">
        <v>178</v>
      </c>
      <c r="C341">
        <v>84</v>
      </c>
      <c r="D341">
        <v>21</v>
      </c>
      <c r="E341">
        <v>80</v>
      </c>
      <c r="F341">
        <v>40</v>
      </c>
      <c r="G341">
        <v>0.67200000000000004</v>
      </c>
      <c r="H341">
        <v>41</v>
      </c>
      <c r="I341">
        <v>1</v>
      </c>
      <c r="J341">
        <f>IF(AND(Table2[[#This Row],[BMI]]&gt;=23,Table2[[#This Row],[Outcome]]=1),1,0)</f>
        <v>1</v>
      </c>
      <c r="K341">
        <f>IF(AND(Table2[[#This Row],[BMI+Outcome]]=1,Table2[[#This Row],[Glucose]]&gt;=100),1,0)</f>
        <v>1</v>
      </c>
      <c r="L341">
        <f>IF(AND(Table2[[#This Row],[Outcome]]=1,Table2[[#This Row],[Glucose]]&gt;=100),1,0)</f>
        <v>1</v>
      </c>
    </row>
    <row r="342" spans="1:12" x14ac:dyDescent="0.25">
      <c r="A342">
        <v>1</v>
      </c>
      <c r="B342">
        <v>130</v>
      </c>
      <c r="C342">
        <v>70</v>
      </c>
      <c r="D342">
        <v>13</v>
      </c>
      <c r="E342">
        <v>105</v>
      </c>
      <c r="F342">
        <v>26</v>
      </c>
      <c r="G342">
        <v>0.67200000000000004</v>
      </c>
      <c r="H342">
        <v>22</v>
      </c>
      <c r="I342">
        <v>0</v>
      </c>
      <c r="J342">
        <f>IF(AND(Table2[[#This Row],[BMI]]&gt;=23,Table2[[#This Row],[Outcome]]=1),1,0)</f>
        <v>0</v>
      </c>
      <c r="K342">
        <f>IF(AND(Table2[[#This Row],[BMI+Outcome]]=1,Table2[[#This Row],[Glucose]]&gt;=100),1,0)</f>
        <v>0</v>
      </c>
      <c r="L342">
        <f>IF(AND(Table2[[#This Row],[Outcome]]=1,Table2[[#This Row],[Glucose]]&gt;=100),1,0)</f>
        <v>0</v>
      </c>
    </row>
    <row r="343" spans="1:12" x14ac:dyDescent="0.25">
      <c r="A343">
        <v>1</v>
      </c>
      <c r="B343">
        <v>95</v>
      </c>
      <c r="C343">
        <v>74</v>
      </c>
      <c r="D343">
        <v>21</v>
      </c>
      <c r="E343">
        <v>73</v>
      </c>
      <c r="F343">
        <v>26</v>
      </c>
      <c r="G343">
        <v>0.67200000000000004</v>
      </c>
      <c r="H343">
        <v>36</v>
      </c>
      <c r="I343">
        <v>0</v>
      </c>
      <c r="J343">
        <f>IF(AND(Table2[[#This Row],[BMI]]&gt;=23,Table2[[#This Row],[Outcome]]=1),1,0)</f>
        <v>0</v>
      </c>
      <c r="K343">
        <f>IF(AND(Table2[[#This Row],[BMI+Outcome]]=1,Table2[[#This Row],[Glucose]]&gt;=100),1,0)</f>
        <v>0</v>
      </c>
      <c r="L343">
        <f>IF(AND(Table2[[#This Row],[Outcome]]=1,Table2[[#This Row],[Glucose]]&gt;=100),1,0)</f>
        <v>0</v>
      </c>
    </row>
    <row r="344" spans="1:12" x14ac:dyDescent="0.25">
      <c r="A344">
        <v>1</v>
      </c>
      <c r="B344">
        <v>121</v>
      </c>
      <c r="C344">
        <v>68</v>
      </c>
      <c r="D344">
        <v>35</v>
      </c>
      <c r="E344">
        <v>80</v>
      </c>
      <c r="F344">
        <v>32</v>
      </c>
      <c r="G344">
        <v>0.67200000000000004</v>
      </c>
      <c r="H344">
        <v>22</v>
      </c>
      <c r="I344">
        <v>0</v>
      </c>
      <c r="J344">
        <f>IF(AND(Table2[[#This Row],[BMI]]&gt;=23,Table2[[#This Row],[Outcome]]=1),1,0)</f>
        <v>0</v>
      </c>
      <c r="K344">
        <f>IF(AND(Table2[[#This Row],[BMI+Outcome]]=1,Table2[[#This Row],[Glucose]]&gt;=100),1,0)</f>
        <v>0</v>
      </c>
      <c r="L344">
        <f>IF(AND(Table2[[#This Row],[Outcome]]=1,Table2[[#This Row],[Glucose]]&gt;=100),1,0)</f>
        <v>0</v>
      </c>
    </row>
    <row r="345" spans="1:12" x14ac:dyDescent="0.25">
      <c r="A345">
        <v>5</v>
      </c>
      <c r="B345">
        <v>122</v>
      </c>
      <c r="C345">
        <v>86</v>
      </c>
      <c r="D345">
        <v>21</v>
      </c>
      <c r="E345">
        <v>80</v>
      </c>
      <c r="F345">
        <v>35</v>
      </c>
      <c r="G345">
        <v>0.67200000000000004</v>
      </c>
      <c r="H345">
        <v>33</v>
      </c>
      <c r="I345">
        <v>0</v>
      </c>
      <c r="J345">
        <f>IF(AND(Table2[[#This Row],[BMI]]&gt;=23,Table2[[#This Row],[Outcome]]=1),1,0)</f>
        <v>0</v>
      </c>
      <c r="K345">
        <f>IF(AND(Table2[[#This Row],[BMI+Outcome]]=1,Table2[[#This Row],[Glucose]]&gt;=100),1,0)</f>
        <v>0</v>
      </c>
      <c r="L345">
        <f>IF(AND(Table2[[#This Row],[Outcome]]=1,Table2[[#This Row],[Glucose]]&gt;=100),1,0)</f>
        <v>0</v>
      </c>
    </row>
    <row r="346" spans="1:12" x14ac:dyDescent="0.25">
      <c r="A346">
        <v>8</v>
      </c>
      <c r="B346">
        <v>95</v>
      </c>
      <c r="C346">
        <v>72</v>
      </c>
      <c r="D346">
        <v>21</v>
      </c>
      <c r="E346">
        <v>80</v>
      </c>
      <c r="F346">
        <v>37</v>
      </c>
      <c r="G346">
        <v>0.67200000000000004</v>
      </c>
      <c r="H346">
        <v>57</v>
      </c>
      <c r="I346">
        <v>0</v>
      </c>
      <c r="J346">
        <f>IF(AND(Table2[[#This Row],[BMI]]&gt;=23,Table2[[#This Row],[Outcome]]=1),1,0)</f>
        <v>0</v>
      </c>
      <c r="K346">
        <f>IF(AND(Table2[[#This Row],[BMI+Outcome]]=1,Table2[[#This Row],[Glucose]]&gt;=100),1,0)</f>
        <v>0</v>
      </c>
      <c r="L346">
        <f>IF(AND(Table2[[#This Row],[Outcome]]=1,Table2[[#This Row],[Glucose]]&gt;=100),1,0)</f>
        <v>0</v>
      </c>
    </row>
    <row r="347" spans="1:12" x14ac:dyDescent="0.25">
      <c r="A347">
        <v>8</v>
      </c>
      <c r="B347">
        <v>126</v>
      </c>
      <c r="C347">
        <v>88</v>
      </c>
      <c r="D347">
        <v>36</v>
      </c>
      <c r="E347">
        <v>108</v>
      </c>
      <c r="F347">
        <v>38</v>
      </c>
      <c r="G347">
        <v>0.67200000000000004</v>
      </c>
      <c r="H347">
        <v>49</v>
      </c>
      <c r="I347">
        <v>0</v>
      </c>
      <c r="J347">
        <f>IF(AND(Table2[[#This Row],[BMI]]&gt;=23,Table2[[#This Row],[Outcome]]=1),1,0)</f>
        <v>0</v>
      </c>
      <c r="K347">
        <f>IF(AND(Table2[[#This Row],[BMI+Outcome]]=1,Table2[[#This Row],[Glucose]]&gt;=100),1,0)</f>
        <v>0</v>
      </c>
      <c r="L347">
        <f>IF(AND(Table2[[#This Row],[Outcome]]=1,Table2[[#This Row],[Glucose]]&gt;=100),1,0)</f>
        <v>0</v>
      </c>
    </row>
    <row r="348" spans="1:12" x14ac:dyDescent="0.25">
      <c r="A348">
        <v>1</v>
      </c>
      <c r="B348">
        <v>139</v>
      </c>
      <c r="C348">
        <v>46</v>
      </c>
      <c r="D348">
        <v>19</v>
      </c>
      <c r="E348">
        <v>83</v>
      </c>
      <c r="F348">
        <v>29</v>
      </c>
      <c r="G348">
        <v>0.67200000000000004</v>
      </c>
      <c r="H348">
        <v>22</v>
      </c>
      <c r="I348">
        <v>0</v>
      </c>
      <c r="J348">
        <f>IF(AND(Table2[[#This Row],[BMI]]&gt;=23,Table2[[#This Row],[Outcome]]=1),1,0)</f>
        <v>0</v>
      </c>
      <c r="K348">
        <f>IF(AND(Table2[[#This Row],[BMI+Outcome]]=1,Table2[[#This Row],[Glucose]]&gt;=100),1,0)</f>
        <v>0</v>
      </c>
      <c r="L348">
        <f>IF(AND(Table2[[#This Row],[Outcome]]=1,Table2[[#This Row],[Glucose]]&gt;=100),1,0)</f>
        <v>0</v>
      </c>
    </row>
    <row r="349" spans="1:12" x14ac:dyDescent="0.25">
      <c r="A349">
        <v>3</v>
      </c>
      <c r="B349">
        <v>116</v>
      </c>
      <c r="C349">
        <v>69</v>
      </c>
      <c r="D349">
        <v>21</v>
      </c>
      <c r="E349">
        <v>80</v>
      </c>
      <c r="F349">
        <v>24</v>
      </c>
      <c r="G349">
        <v>0.67200000000000004</v>
      </c>
      <c r="H349">
        <v>23</v>
      </c>
      <c r="I349">
        <v>0</v>
      </c>
      <c r="J349">
        <f>IF(AND(Table2[[#This Row],[BMI]]&gt;=23,Table2[[#This Row],[Outcome]]=1),1,0)</f>
        <v>0</v>
      </c>
      <c r="K349">
        <f>IF(AND(Table2[[#This Row],[BMI+Outcome]]=1,Table2[[#This Row],[Glucose]]&gt;=100),1,0)</f>
        <v>0</v>
      </c>
      <c r="L349">
        <f>IF(AND(Table2[[#This Row],[Outcome]]=1,Table2[[#This Row],[Glucose]]&gt;=100),1,0)</f>
        <v>0</v>
      </c>
    </row>
    <row r="350" spans="1:12" x14ac:dyDescent="0.25">
      <c r="A350">
        <v>3</v>
      </c>
      <c r="B350">
        <v>99</v>
      </c>
      <c r="C350">
        <v>62</v>
      </c>
      <c r="D350">
        <v>19</v>
      </c>
      <c r="E350">
        <v>74</v>
      </c>
      <c r="F350">
        <v>22</v>
      </c>
      <c r="G350">
        <v>0.67200000000000004</v>
      </c>
      <c r="H350">
        <v>26</v>
      </c>
      <c r="I350">
        <v>0</v>
      </c>
      <c r="J350">
        <f>IF(AND(Table2[[#This Row],[BMI]]&gt;=23,Table2[[#This Row],[Outcome]]=1),1,0)</f>
        <v>0</v>
      </c>
      <c r="K350">
        <f>IF(AND(Table2[[#This Row],[BMI+Outcome]]=1,Table2[[#This Row],[Glucose]]&gt;=100),1,0)</f>
        <v>0</v>
      </c>
      <c r="L350">
        <f>IF(AND(Table2[[#This Row],[Outcome]]=1,Table2[[#This Row],[Glucose]]&gt;=100),1,0)</f>
        <v>0</v>
      </c>
    </row>
    <row r="351" spans="1:12" x14ac:dyDescent="0.25">
      <c r="A351">
        <v>5</v>
      </c>
      <c r="B351">
        <v>121</v>
      </c>
      <c r="C351">
        <v>80</v>
      </c>
      <c r="D351">
        <v>32</v>
      </c>
      <c r="E351">
        <v>80</v>
      </c>
      <c r="F351">
        <v>41</v>
      </c>
      <c r="G351">
        <v>0.67200000000000004</v>
      </c>
      <c r="H351">
        <v>37</v>
      </c>
      <c r="I351">
        <v>1</v>
      </c>
      <c r="J351">
        <f>IF(AND(Table2[[#This Row],[BMI]]&gt;=23,Table2[[#This Row],[Outcome]]=1),1,0)</f>
        <v>1</v>
      </c>
      <c r="K351">
        <f>IF(AND(Table2[[#This Row],[BMI+Outcome]]=1,Table2[[#This Row],[Glucose]]&gt;=100),1,0)</f>
        <v>1</v>
      </c>
      <c r="L351">
        <f>IF(AND(Table2[[#This Row],[Outcome]]=1,Table2[[#This Row],[Glucose]]&gt;=100),1,0)</f>
        <v>1</v>
      </c>
    </row>
    <row r="352" spans="1:12" x14ac:dyDescent="0.25">
      <c r="A352">
        <v>4</v>
      </c>
      <c r="B352">
        <v>92</v>
      </c>
      <c r="C352">
        <v>80</v>
      </c>
      <c r="D352">
        <v>21</v>
      </c>
      <c r="E352">
        <v>80</v>
      </c>
      <c r="F352">
        <v>42</v>
      </c>
      <c r="G352">
        <v>0.67200000000000004</v>
      </c>
      <c r="H352">
        <v>29</v>
      </c>
      <c r="I352">
        <v>0</v>
      </c>
      <c r="J352">
        <f>IF(AND(Table2[[#This Row],[BMI]]&gt;=23,Table2[[#This Row],[Outcome]]=1),1,0)</f>
        <v>0</v>
      </c>
      <c r="K352">
        <f>IF(AND(Table2[[#This Row],[BMI+Outcome]]=1,Table2[[#This Row],[Glucose]]&gt;=100),1,0)</f>
        <v>0</v>
      </c>
      <c r="L352">
        <f>IF(AND(Table2[[#This Row],[Outcome]]=1,Table2[[#This Row],[Glucose]]&gt;=100),1,0)</f>
        <v>0</v>
      </c>
    </row>
    <row r="353" spans="1:12" x14ac:dyDescent="0.25">
      <c r="A353">
        <v>4</v>
      </c>
      <c r="B353">
        <v>137</v>
      </c>
      <c r="C353">
        <v>84</v>
      </c>
      <c r="D353">
        <v>21</v>
      </c>
      <c r="E353">
        <v>80</v>
      </c>
      <c r="F353">
        <v>31</v>
      </c>
      <c r="G353">
        <v>0.67200000000000004</v>
      </c>
      <c r="H353">
        <v>30</v>
      </c>
      <c r="I353">
        <v>0</v>
      </c>
      <c r="J353">
        <f>IF(AND(Table2[[#This Row],[BMI]]&gt;=23,Table2[[#This Row],[Outcome]]=1),1,0)</f>
        <v>0</v>
      </c>
      <c r="K353">
        <f>IF(AND(Table2[[#This Row],[BMI+Outcome]]=1,Table2[[#This Row],[Glucose]]&gt;=100),1,0)</f>
        <v>0</v>
      </c>
      <c r="L353">
        <f>IF(AND(Table2[[#This Row],[Outcome]]=1,Table2[[#This Row],[Glucose]]&gt;=100),1,0)</f>
        <v>0</v>
      </c>
    </row>
    <row r="354" spans="1:12" x14ac:dyDescent="0.25">
      <c r="A354">
        <v>3</v>
      </c>
      <c r="B354">
        <v>61</v>
      </c>
      <c r="C354">
        <v>82</v>
      </c>
      <c r="D354">
        <v>28</v>
      </c>
      <c r="E354">
        <v>80</v>
      </c>
      <c r="F354">
        <v>34</v>
      </c>
      <c r="G354">
        <v>0.67200000000000004</v>
      </c>
      <c r="H354">
        <v>46</v>
      </c>
      <c r="I354">
        <v>0</v>
      </c>
      <c r="J354">
        <f>IF(AND(Table2[[#This Row],[BMI]]&gt;=23,Table2[[#This Row],[Outcome]]=1),1,0)</f>
        <v>0</v>
      </c>
      <c r="K354">
        <f>IF(AND(Table2[[#This Row],[BMI+Outcome]]=1,Table2[[#This Row],[Glucose]]&gt;=100),1,0)</f>
        <v>0</v>
      </c>
      <c r="L354">
        <f>IF(AND(Table2[[#This Row],[Outcome]]=1,Table2[[#This Row],[Glucose]]&gt;=100),1,0)</f>
        <v>0</v>
      </c>
    </row>
    <row r="355" spans="1:12" x14ac:dyDescent="0.25">
      <c r="A355">
        <v>1</v>
      </c>
      <c r="B355">
        <v>90</v>
      </c>
      <c r="C355">
        <v>62</v>
      </c>
      <c r="D355">
        <v>12</v>
      </c>
      <c r="E355">
        <v>43</v>
      </c>
      <c r="F355">
        <v>27</v>
      </c>
      <c r="G355">
        <v>0.67200000000000004</v>
      </c>
      <c r="H355">
        <v>24</v>
      </c>
      <c r="I355">
        <v>0</v>
      </c>
      <c r="J355">
        <f>IF(AND(Table2[[#This Row],[BMI]]&gt;=23,Table2[[#This Row],[Outcome]]=1),1,0)</f>
        <v>0</v>
      </c>
      <c r="K355">
        <f>IF(AND(Table2[[#This Row],[BMI+Outcome]]=1,Table2[[#This Row],[Glucose]]&gt;=100),1,0)</f>
        <v>0</v>
      </c>
      <c r="L355">
        <f>IF(AND(Table2[[#This Row],[Outcome]]=1,Table2[[#This Row],[Glucose]]&gt;=100),1,0)</f>
        <v>0</v>
      </c>
    </row>
    <row r="356" spans="1:12" x14ac:dyDescent="0.25">
      <c r="A356">
        <v>3</v>
      </c>
      <c r="B356">
        <v>90</v>
      </c>
      <c r="C356">
        <v>78</v>
      </c>
      <c r="D356">
        <v>21</v>
      </c>
      <c r="E356">
        <v>80</v>
      </c>
      <c r="F356">
        <v>43</v>
      </c>
      <c r="G356">
        <v>0.67200000000000004</v>
      </c>
      <c r="H356">
        <v>21</v>
      </c>
      <c r="I356">
        <v>0</v>
      </c>
      <c r="J356">
        <f>IF(AND(Table2[[#This Row],[BMI]]&gt;=23,Table2[[#This Row],[Outcome]]=1),1,0)</f>
        <v>0</v>
      </c>
      <c r="K356">
        <f>IF(AND(Table2[[#This Row],[BMI+Outcome]]=1,Table2[[#This Row],[Glucose]]&gt;=100),1,0)</f>
        <v>0</v>
      </c>
      <c r="L356">
        <f>IF(AND(Table2[[#This Row],[Outcome]]=1,Table2[[#This Row],[Glucose]]&gt;=100),1,0)</f>
        <v>0</v>
      </c>
    </row>
    <row r="357" spans="1:12" x14ac:dyDescent="0.25">
      <c r="A357">
        <v>9</v>
      </c>
      <c r="B357">
        <v>165</v>
      </c>
      <c r="C357">
        <v>88</v>
      </c>
      <c r="D357">
        <v>21</v>
      </c>
      <c r="E357">
        <v>80</v>
      </c>
      <c r="F357">
        <v>30</v>
      </c>
      <c r="G357">
        <v>0.67200000000000004</v>
      </c>
      <c r="H357">
        <v>49</v>
      </c>
      <c r="I357">
        <v>1</v>
      </c>
      <c r="J357">
        <f>IF(AND(Table2[[#This Row],[BMI]]&gt;=23,Table2[[#This Row],[Outcome]]=1),1,0)</f>
        <v>1</v>
      </c>
      <c r="K357">
        <f>IF(AND(Table2[[#This Row],[BMI+Outcome]]=1,Table2[[#This Row],[Glucose]]&gt;=100),1,0)</f>
        <v>1</v>
      </c>
      <c r="L357">
        <f>IF(AND(Table2[[#This Row],[Outcome]]=1,Table2[[#This Row],[Glucose]]&gt;=100),1,0)</f>
        <v>1</v>
      </c>
    </row>
    <row r="358" spans="1:12" x14ac:dyDescent="0.25">
      <c r="A358">
        <v>1</v>
      </c>
      <c r="B358">
        <v>125</v>
      </c>
      <c r="C358">
        <v>50</v>
      </c>
      <c r="D358">
        <v>40</v>
      </c>
      <c r="E358">
        <v>167</v>
      </c>
      <c r="F358">
        <v>33</v>
      </c>
      <c r="G358">
        <v>0.67200000000000004</v>
      </c>
      <c r="H358">
        <v>28</v>
      </c>
      <c r="I358">
        <v>1</v>
      </c>
      <c r="J358">
        <f>IF(AND(Table2[[#This Row],[BMI]]&gt;=23,Table2[[#This Row],[Outcome]]=1),1,0)</f>
        <v>1</v>
      </c>
      <c r="K358">
        <f>IF(AND(Table2[[#This Row],[BMI+Outcome]]=1,Table2[[#This Row],[Glucose]]&gt;=100),1,0)</f>
        <v>1</v>
      </c>
      <c r="L358">
        <f>IF(AND(Table2[[#This Row],[Outcome]]=1,Table2[[#This Row],[Glucose]]&gt;=100),1,0)</f>
        <v>1</v>
      </c>
    </row>
    <row r="359" spans="1:12" x14ac:dyDescent="0.25">
      <c r="A359">
        <v>13</v>
      </c>
      <c r="B359">
        <v>129</v>
      </c>
      <c r="C359">
        <v>69</v>
      </c>
      <c r="D359">
        <v>30</v>
      </c>
      <c r="E359">
        <v>80</v>
      </c>
      <c r="F359">
        <v>40</v>
      </c>
      <c r="G359">
        <v>0.67200000000000004</v>
      </c>
      <c r="H359">
        <v>44</v>
      </c>
      <c r="I359">
        <v>1</v>
      </c>
      <c r="J359">
        <f>IF(AND(Table2[[#This Row],[BMI]]&gt;=23,Table2[[#This Row],[Outcome]]=1),1,0)</f>
        <v>1</v>
      </c>
      <c r="K359">
        <f>IF(AND(Table2[[#This Row],[BMI+Outcome]]=1,Table2[[#This Row],[Glucose]]&gt;=100),1,0)</f>
        <v>1</v>
      </c>
      <c r="L359">
        <f>IF(AND(Table2[[#This Row],[Outcome]]=1,Table2[[#This Row],[Glucose]]&gt;=100),1,0)</f>
        <v>1</v>
      </c>
    </row>
    <row r="360" spans="1:12" x14ac:dyDescent="0.25">
      <c r="A360">
        <v>12</v>
      </c>
      <c r="B360">
        <v>88</v>
      </c>
      <c r="C360">
        <v>74</v>
      </c>
      <c r="D360">
        <v>40</v>
      </c>
      <c r="E360">
        <v>54</v>
      </c>
      <c r="F360">
        <v>35</v>
      </c>
      <c r="G360">
        <v>0.67200000000000004</v>
      </c>
      <c r="H360">
        <v>48</v>
      </c>
      <c r="I360">
        <v>0</v>
      </c>
      <c r="J360">
        <f>IF(AND(Table2[[#This Row],[BMI]]&gt;=23,Table2[[#This Row],[Outcome]]=1),1,0)</f>
        <v>0</v>
      </c>
      <c r="K360">
        <f>IF(AND(Table2[[#This Row],[BMI+Outcome]]=1,Table2[[#This Row],[Glucose]]&gt;=100),1,0)</f>
        <v>0</v>
      </c>
      <c r="L360">
        <f>IF(AND(Table2[[#This Row],[Outcome]]=1,Table2[[#This Row],[Glucose]]&gt;=100),1,0)</f>
        <v>0</v>
      </c>
    </row>
    <row r="361" spans="1:12" x14ac:dyDescent="0.25">
      <c r="A361">
        <v>1</v>
      </c>
      <c r="B361">
        <v>196</v>
      </c>
      <c r="C361">
        <v>76</v>
      </c>
      <c r="D361">
        <v>36</v>
      </c>
      <c r="E361">
        <v>249</v>
      </c>
      <c r="F361">
        <v>36</v>
      </c>
      <c r="G361">
        <v>0.67200000000000004</v>
      </c>
      <c r="H361">
        <v>29</v>
      </c>
      <c r="I361">
        <v>1</v>
      </c>
      <c r="J361">
        <f>IF(AND(Table2[[#This Row],[BMI]]&gt;=23,Table2[[#This Row],[Outcome]]=1),1,0)</f>
        <v>1</v>
      </c>
      <c r="K361">
        <f>IF(AND(Table2[[#This Row],[BMI+Outcome]]=1,Table2[[#This Row],[Glucose]]&gt;=100),1,0)</f>
        <v>1</v>
      </c>
      <c r="L361">
        <f>IF(AND(Table2[[#This Row],[Outcome]]=1,Table2[[#This Row],[Glucose]]&gt;=100),1,0)</f>
        <v>1</v>
      </c>
    </row>
    <row r="362" spans="1:12" x14ac:dyDescent="0.25">
      <c r="A362">
        <v>5</v>
      </c>
      <c r="B362">
        <v>189</v>
      </c>
      <c r="C362">
        <v>64</v>
      </c>
      <c r="D362">
        <v>33</v>
      </c>
      <c r="E362">
        <v>325</v>
      </c>
      <c r="F362">
        <v>31</v>
      </c>
      <c r="G362">
        <v>0.67200000000000004</v>
      </c>
      <c r="H362">
        <v>29</v>
      </c>
      <c r="I362">
        <v>1</v>
      </c>
      <c r="J362">
        <f>IF(AND(Table2[[#This Row],[BMI]]&gt;=23,Table2[[#This Row],[Outcome]]=1),1,0)</f>
        <v>1</v>
      </c>
      <c r="K362">
        <f>IF(AND(Table2[[#This Row],[BMI+Outcome]]=1,Table2[[#This Row],[Glucose]]&gt;=100),1,0)</f>
        <v>1</v>
      </c>
      <c r="L362">
        <f>IF(AND(Table2[[#This Row],[Outcome]]=1,Table2[[#This Row],[Glucose]]&gt;=100),1,0)</f>
        <v>1</v>
      </c>
    </row>
    <row r="363" spans="1:12" x14ac:dyDescent="0.25">
      <c r="A363">
        <v>5</v>
      </c>
      <c r="B363">
        <v>158</v>
      </c>
      <c r="C363">
        <v>70</v>
      </c>
      <c r="D363">
        <v>21</v>
      </c>
      <c r="E363">
        <v>80</v>
      </c>
      <c r="F363">
        <v>30</v>
      </c>
      <c r="G363">
        <v>0.67200000000000004</v>
      </c>
      <c r="H363">
        <v>63</v>
      </c>
      <c r="I363">
        <v>0</v>
      </c>
      <c r="J363">
        <f>IF(AND(Table2[[#This Row],[BMI]]&gt;=23,Table2[[#This Row],[Outcome]]=1),1,0)</f>
        <v>0</v>
      </c>
      <c r="K363">
        <f>IF(AND(Table2[[#This Row],[BMI+Outcome]]=1,Table2[[#This Row],[Glucose]]&gt;=100),1,0)</f>
        <v>0</v>
      </c>
      <c r="L363">
        <f>IF(AND(Table2[[#This Row],[Outcome]]=1,Table2[[#This Row],[Glucose]]&gt;=100),1,0)</f>
        <v>0</v>
      </c>
    </row>
    <row r="364" spans="1:12" x14ac:dyDescent="0.25">
      <c r="A364">
        <v>5</v>
      </c>
      <c r="B364">
        <v>103</v>
      </c>
      <c r="C364">
        <v>108</v>
      </c>
      <c r="D364">
        <v>37</v>
      </c>
      <c r="E364">
        <v>80</v>
      </c>
      <c r="F364">
        <v>39</v>
      </c>
      <c r="G364">
        <v>0.67200000000000004</v>
      </c>
      <c r="H364">
        <v>65</v>
      </c>
      <c r="I364">
        <v>0</v>
      </c>
      <c r="J364">
        <f>IF(AND(Table2[[#This Row],[BMI]]&gt;=23,Table2[[#This Row],[Outcome]]=1),1,0)</f>
        <v>0</v>
      </c>
      <c r="K364">
        <f>IF(AND(Table2[[#This Row],[BMI+Outcome]]=1,Table2[[#This Row],[Glucose]]&gt;=100),1,0)</f>
        <v>0</v>
      </c>
      <c r="L364">
        <f>IF(AND(Table2[[#This Row],[Outcome]]=1,Table2[[#This Row],[Glucose]]&gt;=100),1,0)</f>
        <v>0</v>
      </c>
    </row>
    <row r="365" spans="1:12" x14ac:dyDescent="0.25">
      <c r="A365">
        <v>4</v>
      </c>
      <c r="B365">
        <v>146</v>
      </c>
      <c r="C365">
        <v>78</v>
      </c>
      <c r="D365">
        <v>21</v>
      </c>
      <c r="E365">
        <v>80</v>
      </c>
      <c r="F365">
        <v>38</v>
      </c>
      <c r="G365">
        <v>0.67200000000000004</v>
      </c>
      <c r="H365">
        <v>67</v>
      </c>
      <c r="I365">
        <v>1</v>
      </c>
      <c r="J365">
        <f>IF(AND(Table2[[#This Row],[BMI]]&gt;=23,Table2[[#This Row],[Outcome]]=1),1,0)</f>
        <v>1</v>
      </c>
      <c r="K365">
        <f>IF(AND(Table2[[#This Row],[BMI+Outcome]]=1,Table2[[#This Row],[Glucose]]&gt;=100),1,0)</f>
        <v>1</v>
      </c>
      <c r="L365">
        <f>IF(AND(Table2[[#This Row],[Outcome]]=1,Table2[[#This Row],[Glucose]]&gt;=100),1,0)</f>
        <v>1</v>
      </c>
    </row>
    <row r="366" spans="1:12" x14ac:dyDescent="0.25">
      <c r="A366">
        <v>4</v>
      </c>
      <c r="B366">
        <v>147</v>
      </c>
      <c r="C366">
        <v>74</v>
      </c>
      <c r="D366">
        <v>25</v>
      </c>
      <c r="E366">
        <v>293</v>
      </c>
      <c r="F366">
        <v>35</v>
      </c>
      <c r="G366">
        <v>0.67200000000000004</v>
      </c>
      <c r="H366">
        <v>30</v>
      </c>
      <c r="I366">
        <v>0</v>
      </c>
      <c r="J366">
        <f>IF(AND(Table2[[#This Row],[BMI]]&gt;=23,Table2[[#This Row],[Outcome]]=1),1,0)</f>
        <v>0</v>
      </c>
      <c r="K366">
        <f>IF(AND(Table2[[#This Row],[BMI+Outcome]]=1,Table2[[#This Row],[Glucose]]&gt;=100),1,0)</f>
        <v>0</v>
      </c>
      <c r="L366">
        <f>IF(AND(Table2[[#This Row],[Outcome]]=1,Table2[[#This Row],[Glucose]]&gt;=100),1,0)</f>
        <v>0</v>
      </c>
    </row>
    <row r="367" spans="1:12" x14ac:dyDescent="0.25">
      <c r="A367">
        <v>5</v>
      </c>
      <c r="B367">
        <v>99</v>
      </c>
      <c r="C367">
        <v>54</v>
      </c>
      <c r="D367">
        <v>28</v>
      </c>
      <c r="E367">
        <v>83</v>
      </c>
      <c r="F367">
        <v>34</v>
      </c>
      <c r="G367">
        <v>0.67200000000000004</v>
      </c>
      <c r="H367">
        <v>30</v>
      </c>
      <c r="I367">
        <v>0</v>
      </c>
      <c r="J367">
        <f>IF(AND(Table2[[#This Row],[BMI]]&gt;=23,Table2[[#This Row],[Outcome]]=1),1,0)</f>
        <v>0</v>
      </c>
      <c r="K367">
        <f>IF(AND(Table2[[#This Row],[BMI+Outcome]]=1,Table2[[#This Row],[Glucose]]&gt;=100),1,0)</f>
        <v>0</v>
      </c>
      <c r="L367">
        <f>IF(AND(Table2[[#This Row],[Outcome]]=1,Table2[[#This Row],[Glucose]]&gt;=100),1,0)</f>
        <v>0</v>
      </c>
    </row>
    <row r="368" spans="1:12" x14ac:dyDescent="0.25">
      <c r="A368">
        <v>6</v>
      </c>
      <c r="B368">
        <v>124</v>
      </c>
      <c r="C368">
        <v>72</v>
      </c>
      <c r="D368">
        <v>21</v>
      </c>
      <c r="E368">
        <v>80</v>
      </c>
      <c r="F368">
        <v>28</v>
      </c>
      <c r="G368">
        <v>0.67200000000000004</v>
      </c>
      <c r="H368">
        <v>29</v>
      </c>
      <c r="I368">
        <v>1</v>
      </c>
      <c r="J368">
        <f>IF(AND(Table2[[#This Row],[BMI]]&gt;=23,Table2[[#This Row],[Outcome]]=1),1,0)</f>
        <v>1</v>
      </c>
      <c r="K368">
        <f>IF(AND(Table2[[#This Row],[BMI+Outcome]]=1,Table2[[#This Row],[Glucose]]&gt;=100),1,0)</f>
        <v>1</v>
      </c>
      <c r="L368">
        <f>IF(AND(Table2[[#This Row],[Outcome]]=1,Table2[[#This Row],[Glucose]]&gt;=100),1,0)</f>
        <v>1</v>
      </c>
    </row>
    <row r="369" spans="1:12" x14ac:dyDescent="0.25">
      <c r="A369">
        <v>4</v>
      </c>
      <c r="B369">
        <v>101</v>
      </c>
      <c r="C369">
        <v>64</v>
      </c>
      <c r="D369">
        <v>17</v>
      </c>
      <c r="E369">
        <v>80</v>
      </c>
      <c r="F369">
        <v>21</v>
      </c>
      <c r="G369">
        <v>0.67200000000000004</v>
      </c>
      <c r="H369">
        <v>21</v>
      </c>
      <c r="I369">
        <v>0</v>
      </c>
      <c r="J369">
        <f>IF(AND(Table2[[#This Row],[BMI]]&gt;=23,Table2[[#This Row],[Outcome]]=1),1,0)</f>
        <v>0</v>
      </c>
      <c r="K369">
        <f>IF(AND(Table2[[#This Row],[BMI+Outcome]]=1,Table2[[#This Row],[Glucose]]&gt;=100),1,0)</f>
        <v>0</v>
      </c>
      <c r="L369">
        <f>IF(AND(Table2[[#This Row],[Outcome]]=1,Table2[[#This Row],[Glucose]]&gt;=100),1,0)</f>
        <v>0</v>
      </c>
    </row>
    <row r="370" spans="1:12" x14ac:dyDescent="0.25">
      <c r="A370">
        <v>3</v>
      </c>
      <c r="B370">
        <v>81</v>
      </c>
      <c r="C370">
        <v>86</v>
      </c>
      <c r="D370">
        <v>16</v>
      </c>
      <c r="E370">
        <v>66</v>
      </c>
      <c r="F370">
        <v>28</v>
      </c>
      <c r="G370">
        <v>0.67200000000000004</v>
      </c>
      <c r="H370">
        <v>22</v>
      </c>
      <c r="I370">
        <v>0</v>
      </c>
      <c r="J370">
        <f>IF(AND(Table2[[#This Row],[BMI]]&gt;=23,Table2[[#This Row],[Outcome]]=1),1,0)</f>
        <v>0</v>
      </c>
      <c r="K370">
        <f>IF(AND(Table2[[#This Row],[BMI+Outcome]]=1,Table2[[#This Row],[Glucose]]&gt;=100),1,0)</f>
        <v>0</v>
      </c>
      <c r="L370">
        <f>IF(AND(Table2[[#This Row],[Outcome]]=1,Table2[[#This Row],[Glucose]]&gt;=100),1,0)</f>
        <v>0</v>
      </c>
    </row>
    <row r="371" spans="1:12" x14ac:dyDescent="0.25">
      <c r="A371">
        <v>1</v>
      </c>
      <c r="B371">
        <v>133</v>
      </c>
      <c r="C371">
        <v>102</v>
      </c>
      <c r="D371">
        <v>28</v>
      </c>
      <c r="E371">
        <v>140</v>
      </c>
      <c r="F371">
        <v>33</v>
      </c>
      <c r="G371">
        <v>0.67200000000000004</v>
      </c>
      <c r="H371">
        <v>45</v>
      </c>
      <c r="I371">
        <v>1</v>
      </c>
      <c r="J371">
        <f>IF(AND(Table2[[#This Row],[BMI]]&gt;=23,Table2[[#This Row],[Outcome]]=1),1,0)</f>
        <v>1</v>
      </c>
      <c r="K371">
        <f>IF(AND(Table2[[#This Row],[BMI+Outcome]]=1,Table2[[#This Row],[Glucose]]&gt;=100),1,0)</f>
        <v>1</v>
      </c>
      <c r="L371">
        <f>IF(AND(Table2[[#This Row],[Outcome]]=1,Table2[[#This Row],[Glucose]]&gt;=100),1,0)</f>
        <v>1</v>
      </c>
    </row>
    <row r="372" spans="1:12" x14ac:dyDescent="0.25">
      <c r="A372">
        <v>3</v>
      </c>
      <c r="B372">
        <v>173</v>
      </c>
      <c r="C372">
        <v>82</v>
      </c>
      <c r="D372">
        <v>48</v>
      </c>
      <c r="E372">
        <v>465</v>
      </c>
      <c r="F372">
        <v>38</v>
      </c>
      <c r="G372">
        <v>0.67200000000000004</v>
      </c>
      <c r="H372">
        <v>25</v>
      </c>
      <c r="I372">
        <v>1</v>
      </c>
      <c r="J372">
        <f>IF(AND(Table2[[#This Row],[BMI]]&gt;=23,Table2[[#This Row],[Outcome]]=1),1,0)</f>
        <v>1</v>
      </c>
      <c r="K372">
        <f>IF(AND(Table2[[#This Row],[BMI+Outcome]]=1,Table2[[#This Row],[Glucose]]&gt;=100),1,0)</f>
        <v>1</v>
      </c>
      <c r="L372">
        <f>IF(AND(Table2[[#This Row],[Outcome]]=1,Table2[[#This Row],[Glucose]]&gt;=100),1,0)</f>
        <v>1</v>
      </c>
    </row>
    <row r="373" spans="1:12" x14ac:dyDescent="0.25">
      <c r="A373">
        <v>4</v>
      </c>
      <c r="B373">
        <v>118</v>
      </c>
      <c r="C373">
        <v>64</v>
      </c>
      <c r="D373">
        <v>23</v>
      </c>
      <c r="E373">
        <v>89</v>
      </c>
      <c r="F373">
        <v>32</v>
      </c>
      <c r="G373">
        <v>0.67200000000000004</v>
      </c>
      <c r="H373">
        <v>21</v>
      </c>
      <c r="I373">
        <v>0</v>
      </c>
      <c r="J373">
        <f>IF(AND(Table2[[#This Row],[BMI]]&gt;=23,Table2[[#This Row],[Outcome]]=1),1,0)</f>
        <v>0</v>
      </c>
      <c r="K373">
        <f>IF(AND(Table2[[#This Row],[BMI+Outcome]]=1,Table2[[#This Row],[Glucose]]&gt;=100),1,0)</f>
        <v>0</v>
      </c>
      <c r="L373">
        <f>IF(AND(Table2[[#This Row],[Outcome]]=1,Table2[[#This Row],[Glucose]]&gt;=100),1,0)</f>
        <v>0</v>
      </c>
    </row>
    <row r="374" spans="1:12" x14ac:dyDescent="0.25">
      <c r="A374">
        <v>4</v>
      </c>
      <c r="B374">
        <v>84</v>
      </c>
      <c r="C374">
        <v>64</v>
      </c>
      <c r="D374">
        <v>22</v>
      </c>
      <c r="E374">
        <v>66</v>
      </c>
      <c r="F374">
        <v>36</v>
      </c>
      <c r="G374">
        <v>0.67200000000000004</v>
      </c>
      <c r="H374">
        <v>21</v>
      </c>
      <c r="I374">
        <v>0</v>
      </c>
      <c r="J374">
        <f>IF(AND(Table2[[#This Row],[BMI]]&gt;=23,Table2[[#This Row],[Outcome]]=1),1,0)</f>
        <v>0</v>
      </c>
      <c r="K374">
        <f>IF(AND(Table2[[#This Row],[BMI+Outcome]]=1,Table2[[#This Row],[Glucose]]&gt;=100),1,0)</f>
        <v>0</v>
      </c>
      <c r="L374">
        <f>IF(AND(Table2[[#This Row],[Outcome]]=1,Table2[[#This Row],[Glucose]]&gt;=100),1,0)</f>
        <v>0</v>
      </c>
    </row>
    <row r="375" spans="1:12" x14ac:dyDescent="0.25">
      <c r="A375">
        <v>2</v>
      </c>
      <c r="B375">
        <v>105</v>
      </c>
      <c r="C375">
        <v>58</v>
      </c>
      <c r="D375">
        <v>40</v>
      </c>
      <c r="E375">
        <v>94</v>
      </c>
      <c r="F375">
        <v>35</v>
      </c>
      <c r="G375">
        <v>0.67200000000000004</v>
      </c>
      <c r="H375">
        <v>25</v>
      </c>
      <c r="I375">
        <v>0</v>
      </c>
      <c r="J375">
        <f>IF(AND(Table2[[#This Row],[BMI]]&gt;=23,Table2[[#This Row],[Outcome]]=1),1,0)</f>
        <v>0</v>
      </c>
      <c r="K375">
        <f>IF(AND(Table2[[#This Row],[BMI+Outcome]]=1,Table2[[#This Row],[Glucose]]&gt;=100),1,0)</f>
        <v>0</v>
      </c>
      <c r="L375">
        <f>IF(AND(Table2[[#This Row],[Outcome]]=1,Table2[[#This Row],[Glucose]]&gt;=100),1,0)</f>
        <v>0</v>
      </c>
    </row>
    <row r="376" spans="1:12" x14ac:dyDescent="0.25">
      <c r="A376">
        <v>2</v>
      </c>
      <c r="B376">
        <v>122</v>
      </c>
      <c r="C376">
        <v>52</v>
      </c>
      <c r="D376">
        <v>43</v>
      </c>
      <c r="E376">
        <v>158</v>
      </c>
      <c r="F376">
        <v>36</v>
      </c>
      <c r="G376">
        <v>0.67200000000000004</v>
      </c>
      <c r="H376">
        <v>28</v>
      </c>
      <c r="I376">
        <v>0</v>
      </c>
      <c r="J376">
        <f>IF(AND(Table2[[#This Row],[BMI]]&gt;=23,Table2[[#This Row],[Outcome]]=1),1,0)</f>
        <v>0</v>
      </c>
      <c r="K376">
        <f>IF(AND(Table2[[#This Row],[BMI+Outcome]]=1,Table2[[#This Row],[Glucose]]&gt;=100),1,0)</f>
        <v>0</v>
      </c>
      <c r="L376">
        <f>IF(AND(Table2[[#This Row],[Outcome]]=1,Table2[[#This Row],[Glucose]]&gt;=100),1,0)</f>
        <v>0</v>
      </c>
    </row>
    <row r="377" spans="1:12" x14ac:dyDescent="0.25">
      <c r="A377">
        <v>12</v>
      </c>
      <c r="B377">
        <v>140</v>
      </c>
      <c r="C377">
        <v>82</v>
      </c>
      <c r="D377">
        <v>43</v>
      </c>
      <c r="E377">
        <v>325</v>
      </c>
      <c r="F377">
        <v>39</v>
      </c>
      <c r="G377">
        <v>0.67200000000000004</v>
      </c>
      <c r="H377">
        <v>58</v>
      </c>
      <c r="I377">
        <v>1</v>
      </c>
      <c r="J377">
        <f>IF(AND(Table2[[#This Row],[BMI]]&gt;=23,Table2[[#This Row],[Outcome]]=1),1,0)</f>
        <v>1</v>
      </c>
      <c r="K377">
        <f>IF(AND(Table2[[#This Row],[BMI+Outcome]]=1,Table2[[#This Row],[Glucose]]&gt;=100),1,0)</f>
        <v>1</v>
      </c>
      <c r="L377">
        <f>IF(AND(Table2[[#This Row],[Outcome]]=1,Table2[[#This Row],[Glucose]]&gt;=100),1,0)</f>
        <v>1</v>
      </c>
    </row>
    <row r="378" spans="1:12" x14ac:dyDescent="0.25">
      <c r="A378">
        <v>4</v>
      </c>
      <c r="B378">
        <v>98</v>
      </c>
      <c r="C378">
        <v>82</v>
      </c>
      <c r="D378">
        <v>15</v>
      </c>
      <c r="E378">
        <v>84</v>
      </c>
      <c r="F378">
        <v>25</v>
      </c>
      <c r="G378">
        <v>0.67200000000000004</v>
      </c>
      <c r="H378">
        <v>22</v>
      </c>
      <c r="I378">
        <v>0</v>
      </c>
      <c r="J378">
        <f>IF(AND(Table2[[#This Row],[BMI]]&gt;=23,Table2[[#This Row],[Outcome]]=1),1,0)</f>
        <v>0</v>
      </c>
      <c r="K378">
        <f>IF(AND(Table2[[#This Row],[BMI+Outcome]]=1,Table2[[#This Row],[Glucose]]&gt;=100),1,0)</f>
        <v>0</v>
      </c>
      <c r="L378">
        <f>IF(AND(Table2[[#This Row],[Outcome]]=1,Table2[[#This Row],[Glucose]]&gt;=100),1,0)</f>
        <v>0</v>
      </c>
    </row>
    <row r="379" spans="1:12" x14ac:dyDescent="0.25">
      <c r="A379">
        <v>1</v>
      </c>
      <c r="B379">
        <v>87</v>
      </c>
      <c r="C379">
        <v>60</v>
      </c>
      <c r="D379">
        <v>37</v>
      </c>
      <c r="E379">
        <v>75</v>
      </c>
      <c r="F379">
        <v>37</v>
      </c>
      <c r="G379">
        <v>0.67200000000000004</v>
      </c>
      <c r="H379">
        <v>22</v>
      </c>
      <c r="I379">
        <v>0</v>
      </c>
      <c r="J379">
        <f>IF(AND(Table2[[#This Row],[BMI]]&gt;=23,Table2[[#This Row],[Outcome]]=1),1,0)</f>
        <v>0</v>
      </c>
      <c r="K379">
        <f>IF(AND(Table2[[#This Row],[BMI+Outcome]]=1,Table2[[#This Row],[Glucose]]&gt;=100),1,0)</f>
        <v>0</v>
      </c>
      <c r="L379">
        <f>IF(AND(Table2[[#This Row],[Outcome]]=1,Table2[[#This Row],[Glucose]]&gt;=100),1,0)</f>
        <v>0</v>
      </c>
    </row>
    <row r="380" spans="1:12" x14ac:dyDescent="0.25">
      <c r="A380">
        <v>4</v>
      </c>
      <c r="B380">
        <v>156</v>
      </c>
      <c r="C380">
        <v>75</v>
      </c>
      <c r="D380">
        <v>21</v>
      </c>
      <c r="E380">
        <v>80</v>
      </c>
      <c r="F380">
        <v>48</v>
      </c>
      <c r="G380">
        <v>0.67200000000000004</v>
      </c>
      <c r="H380">
        <v>32</v>
      </c>
      <c r="I380">
        <v>1</v>
      </c>
      <c r="J380">
        <f>IF(AND(Table2[[#This Row],[BMI]]&gt;=23,Table2[[#This Row],[Outcome]]=1),1,0)</f>
        <v>1</v>
      </c>
      <c r="K380">
        <f>IF(AND(Table2[[#This Row],[BMI+Outcome]]=1,Table2[[#This Row],[Glucose]]&gt;=100),1,0)</f>
        <v>1</v>
      </c>
      <c r="L380">
        <f>IF(AND(Table2[[#This Row],[Outcome]]=1,Table2[[#This Row],[Glucose]]&gt;=100),1,0)</f>
        <v>1</v>
      </c>
    </row>
    <row r="381" spans="1:12" x14ac:dyDescent="0.25">
      <c r="A381">
        <v>4</v>
      </c>
      <c r="B381">
        <v>93</v>
      </c>
      <c r="C381">
        <v>100</v>
      </c>
      <c r="D381">
        <v>39</v>
      </c>
      <c r="E381">
        <v>72</v>
      </c>
      <c r="F381">
        <v>43</v>
      </c>
      <c r="G381">
        <v>0.67200000000000004</v>
      </c>
      <c r="H381">
        <v>35</v>
      </c>
      <c r="I381">
        <v>0</v>
      </c>
      <c r="J381">
        <f>IF(AND(Table2[[#This Row],[BMI]]&gt;=23,Table2[[#This Row],[Outcome]]=1),1,0)</f>
        <v>0</v>
      </c>
      <c r="K381">
        <f>IF(AND(Table2[[#This Row],[BMI+Outcome]]=1,Table2[[#This Row],[Glucose]]&gt;=100),1,0)</f>
        <v>0</v>
      </c>
      <c r="L381">
        <f>IF(AND(Table2[[#This Row],[Outcome]]=1,Table2[[#This Row],[Glucose]]&gt;=100),1,0)</f>
        <v>0</v>
      </c>
    </row>
    <row r="382" spans="1:12" x14ac:dyDescent="0.25">
      <c r="A382">
        <v>1</v>
      </c>
      <c r="B382">
        <v>107</v>
      </c>
      <c r="C382">
        <v>72</v>
      </c>
      <c r="D382">
        <v>30</v>
      </c>
      <c r="E382">
        <v>82</v>
      </c>
      <c r="F382">
        <v>31</v>
      </c>
      <c r="G382">
        <v>0.67200000000000004</v>
      </c>
      <c r="H382">
        <v>24</v>
      </c>
      <c r="I382">
        <v>0</v>
      </c>
      <c r="J382">
        <f>IF(AND(Table2[[#This Row],[BMI]]&gt;=23,Table2[[#This Row],[Outcome]]=1),1,0)</f>
        <v>0</v>
      </c>
      <c r="K382">
        <f>IF(AND(Table2[[#This Row],[BMI+Outcome]]=1,Table2[[#This Row],[Glucose]]&gt;=100),1,0)</f>
        <v>0</v>
      </c>
      <c r="L382">
        <f>IF(AND(Table2[[#This Row],[Outcome]]=1,Table2[[#This Row],[Glucose]]&gt;=100),1,0)</f>
        <v>0</v>
      </c>
    </row>
    <row r="383" spans="1:12" x14ac:dyDescent="0.25">
      <c r="A383">
        <v>4</v>
      </c>
      <c r="B383">
        <v>105</v>
      </c>
      <c r="C383">
        <v>68</v>
      </c>
      <c r="D383">
        <v>22</v>
      </c>
      <c r="E383">
        <v>80</v>
      </c>
      <c r="F383">
        <v>20</v>
      </c>
      <c r="G383">
        <v>0.67200000000000004</v>
      </c>
      <c r="H383">
        <v>22</v>
      </c>
      <c r="I383">
        <v>0</v>
      </c>
      <c r="J383">
        <f>IF(AND(Table2[[#This Row],[BMI]]&gt;=23,Table2[[#This Row],[Outcome]]=1),1,0)</f>
        <v>0</v>
      </c>
      <c r="K383">
        <f>IF(AND(Table2[[#This Row],[BMI+Outcome]]=1,Table2[[#This Row],[Glucose]]&gt;=100),1,0)</f>
        <v>0</v>
      </c>
      <c r="L383">
        <f>IF(AND(Table2[[#This Row],[Outcome]]=1,Table2[[#This Row],[Glucose]]&gt;=100),1,0)</f>
        <v>0</v>
      </c>
    </row>
    <row r="384" spans="1:12" x14ac:dyDescent="0.25">
      <c r="A384">
        <v>1</v>
      </c>
      <c r="B384">
        <v>109</v>
      </c>
      <c r="C384">
        <v>60</v>
      </c>
      <c r="D384">
        <v>8</v>
      </c>
      <c r="E384">
        <v>182</v>
      </c>
      <c r="F384">
        <v>25</v>
      </c>
      <c r="G384">
        <v>0.67200000000000004</v>
      </c>
      <c r="H384">
        <v>21</v>
      </c>
      <c r="I384">
        <v>0</v>
      </c>
      <c r="J384">
        <f>IF(AND(Table2[[#This Row],[BMI]]&gt;=23,Table2[[#This Row],[Outcome]]=1),1,0)</f>
        <v>0</v>
      </c>
      <c r="K384">
        <f>IF(AND(Table2[[#This Row],[BMI+Outcome]]=1,Table2[[#This Row],[Glucose]]&gt;=100),1,0)</f>
        <v>0</v>
      </c>
      <c r="L384">
        <f>IF(AND(Table2[[#This Row],[Outcome]]=1,Table2[[#This Row],[Glucose]]&gt;=100),1,0)</f>
        <v>0</v>
      </c>
    </row>
    <row r="385" spans="1:12" x14ac:dyDescent="0.25">
      <c r="A385">
        <v>1</v>
      </c>
      <c r="B385">
        <v>90</v>
      </c>
      <c r="C385">
        <v>62</v>
      </c>
      <c r="D385">
        <v>18</v>
      </c>
      <c r="E385">
        <v>59</v>
      </c>
      <c r="F385">
        <v>25</v>
      </c>
      <c r="G385">
        <v>0.67200000000000004</v>
      </c>
      <c r="H385">
        <v>25</v>
      </c>
      <c r="I385">
        <v>0</v>
      </c>
      <c r="J385">
        <f>IF(AND(Table2[[#This Row],[BMI]]&gt;=23,Table2[[#This Row],[Outcome]]=1),1,0)</f>
        <v>0</v>
      </c>
      <c r="K385">
        <f>IF(AND(Table2[[#This Row],[BMI+Outcome]]=1,Table2[[#This Row],[Glucose]]&gt;=100),1,0)</f>
        <v>0</v>
      </c>
      <c r="L385">
        <f>IF(AND(Table2[[#This Row],[Outcome]]=1,Table2[[#This Row],[Glucose]]&gt;=100),1,0)</f>
        <v>0</v>
      </c>
    </row>
    <row r="386" spans="1:12" x14ac:dyDescent="0.25">
      <c r="A386">
        <v>1</v>
      </c>
      <c r="B386">
        <v>125</v>
      </c>
      <c r="C386">
        <v>70</v>
      </c>
      <c r="D386">
        <v>24</v>
      </c>
      <c r="E386">
        <v>110</v>
      </c>
      <c r="F386">
        <v>24</v>
      </c>
      <c r="G386">
        <v>0.67200000000000004</v>
      </c>
      <c r="H386">
        <v>25</v>
      </c>
      <c r="I386">
        <v>0</v>
      </c>
      <c r="J386">
        <f>IF(AND(Table2[[#This Row],[BMI]]&gt;=23,Table2[[#This Row],[Outcome]]=1),1,0)</f>
        <v>0</v>
      </c>
      <c r="K386">
        <f>IF(AND(Table2[[#This Row],[BMI+Outcome]]=1,Table2[[#This Row],[Glucose]]&gt;=100),1,0)</f>
        <v>0</v>
      </c>
      <c r="L386">
        <f>IF(AND(Table2[[#This Row],[Outcome]]=1,Table2[[#This Row],[Glucose]]&gt;=100),1,0)</f>
        <v>0</v>
      </c>
    </row>
    <row r="387" spans="1:12" x14ac:dyDescent="0.25">
      <c r="A387">
        <v>1</v>
      </c>
      <c r="B387">
        <v>119</v>
      </c>
      <c r="C387">
        <v>54</v>
      </c>
      <c r="D387">
        <v>13</v>
      </c>
      <c r="E387">
        <v>50</v>
      </c>
      <c r="F387">
        <v>22</v>
      </c>
      <c r="G387">
        <v>0.67200000000000004</v>
      </c>
      <c r="H387">
        <v>24</v>
      </c>
      <c r="I387">
        <v>0</v>
      </c>
      <c r="J387">
        <f>IF(AND(Table2[[#This Row],[BMI]]&gt;=23,Table2[[#This Row],[Outcome]]=1),1,0)</f>
        <v>0</v>
      </c>
      <c r="K387">
        <f>IF(AND(Table2[[#This Row],[BMI+Outcome]]=1,Table2[[#This Row],[Glucose]]&gt;=100),1,0)</f>
        <v>0</v>
      </c>
      <c r="L387">
        <f>IF(AND(Table2[[#This Row],[Outcome]]=1,Table2[[#This Row],[Glucose]]&gt;=100),1,0)</f>
        <v>0</v>
      </c>
    </row>
    <row r="388" spans="1:12" x14ac:dyDescent="0.25">
      <c r="A388">
        <v>5</v>
      </c>
      <c r="B388">
        <v>116</v>
      </c>
      <c r="C388">
        <v>74</v>
      </c>
      <c r="D388">
        <v>29</v>
      </c>
      <c r="E388">
        <v>80</v>
      </c>
      <c r="F388">
        <v>32</v>
      </c>
      <c r="G388">
        <v>0.67200000000000004</v>
      </c>
      <c r="H388">
        <v>35</v>
      </c>
      <c r="I388">
        <v>1</v>
      </c>
      <c r="J388">
        <f>IF(AND(Table2[[#This Row],[BMI]]&gt;=23,Table2[[#This Row],[Outcome]]=1),1,0)</f>
        <v>1</v>
      </c>
      <c r="K388">
        <f>IF(AND(Table2[[#This Row],[BMI+Outcome]]=1,Table2[[#This Row],[Glucose]]&gt;=100),1,0)</f>
        <v>1</v>
      </c>
      <c r="L388">
        <f>IF(AND(Table2[[#This Row],[Outcome]]=1,Table2[[#This Row],[Glucose]]&gt;=100),1,0)</f>
        <v>1</v>
      </c>
    </row>
    <row r="389" spans="1:12" x14ac:dyDescent="0.25">
      <c r="A389">
        <v>8</v>
      </c>
      <c r="B389">
        <v>105</v>
      </c>
      <c r="C389">
        <v>100</v>
      </c>
      <c r="D389">
        <v>36</v>
      </c>
      <c r="E389">
        <v>80</v>
      </c>
      <c r="F389">
        <v>43</v>
      </c>
      <c r="G389">
        <v>0.67200000000000004</v>
      </c>
      <c r="H389">
        <v>45</v>
      </c>
      <c r="I389">
        <v>1</v>
      </c>
      <c r="J389">
        <f>IF(AND(Table2[[#This Row],[BMI]]&gt;=23,Table2[[#This Row],[Outcome]]=1),1,0)</f>
        <v>1</v>
      </c>
      <c r="K389">
        <f>IF(AND(Table2[[#This Row],[BMI+Outcome]]=1,Table2[[#This Row],[Glucose]]&gt;=100),1,0)</f>
        <v>1</v>
      </c>
      <c r="L389">
        <f>IF(AND(Table2[[#This Row],[Outcome]]=1,Table2[[#This Row],[Glucose]]&gt;=100),1,0)</f>
        <v>1</v>
      </c>
    </row>
    <row r="390" spans="1:12" x14ac:dyDescent="0.25">
      <c r="A390">
        <v>5</v>
      </c>
      <c r="B390">
        <v>144</v>
      </c>
      <c r="C390">
        <v>82</v>
      </c>
      <c r="D390">
        <v>26</v>
      </c>
      <c r="E390">
        <v>285</v>
      </c>
      <c r="F390">
        <v>32</v>
      </c>
      <c r="G390">
        <v>0.67200000000000004</v>
      </c>
      <c r="H390">
        <v>58</v>
      </c>
      <c r="I390">
        <v>1</v>
      </c>
      <c r="J390">
        <f>IF(AND(Table2[[#This Row],[BMI]]&gt;=23,Table2[[#This Row],[Outcome]]=1),1,0)</f>
        <v>1</v>
      </c>
      <c r="K390">
        <f>IF(AND(Table2[[#This Row],[BMI+Outcome]]=1,Table2[[#This Row],[Glucose]]&gt;=100),1,0)</f>
        <v>1</v>
      </c>
      <c r="L390">
        <f>IF(AND(Table2[[#This Row],[Outcome]]=1,Table2[[#This Row],[Glucose]]&gt;=100),1,0)</f>
        <v>1</v>
      </c>
    </row>
    <row r="391" spans="1:12" x14ac:dyDescent="0.25">
      <c r="A391">
        <v>3</v>
      </c>
      <c r="B391">
        <v>100</v>
      </c>
      <c r="C391">
        <v>68</v>
      </c>
      <c r="D391">
        <v>23</v>
      </c>
      <c r="E391">
        <v>81</v>
      </c>
      <c r="F391">
        <v>32</v>
      </c>
      <c r="G391">
        <v>0.67200000000000004</v>
      </c>
      <c r="H391">
        <v>28</v>
      </c>
      <c r="I391">
        <v>0</v>
      </c>
      <c r="J391">
        <f>IF(AND(Table2[[#This Row],[BMI]]&gt;=23,Table2[[#This Row],[Outcome]]=1),1,0)</f>
        <v>0</v>
      </c>
      <c r="K391">
        <f>IF(AND(Table2[[#This Row],[BMI+Outcome]]=1,Table2[[#This Row],[Glucose]]&gt;=100),1,0)</f>
        <v>0</v>
      </c>
      <c r="L391">
        <f>IF(AND(Table2[[#This Row],[Outcome]]=1,Table2[[#This Row],[Glucose]]&gt;=100),1,0)</f>
        <v>0</v>
      </c>
    </row>
    <row r="392" spans="1:12" x14ac:dyDescent="0.25">
      <c r="A392">
        <v>1</v>
      </c>
      <c r="B392">
        <v>100</v>
      </c>
      <c r="C392">
        <v>66</v>
      </c>
      <c r="D392">
        <v>29</v>
      </c>
      <c r="E392">
        <v>196</v>
      </c>
      <c r="F392">
        <v>32</v>
      </c>
      <c r="G392">
        <v>0.67200000000000004</v>
      </c>
      <c r="H392">
        <v>42</v>
      </c>
      <c r="I392">
        <v>0</v>
      </c>
      <c r="J392">
        <f>IF(AND(Table2[[#This Row],[BMI]]&gt;=23,Table2[[#This Row],[Outcome]]=1),1,0)</f>
        <v>0</v>
      </c>
      <c r="K392">
        <f>IF(AND(Table2[[#This Row],[BMI+Outcome]]=1,Table2[[#This Row],[Glucose]]&gt;=100),1,0)</f>
        <v>0</v>
      </c>
      <c r="L392">
        <f>IF(AND(Table2[[#This Row],[Outcome]]=1,Table2[[#This Row],[Glucose]]&gt;=100),1,0)</f>
        <v>0</v>
      </c>
    </row>
    <row r="393" spans="1:12" x14ac:dyDescent="0.25">
      <c r="A393">
        <v>5</v>
      </c>
      <c r="B393">
        <v>166</v>
      </c>
      <c r="C393">
        <v>76</v>
      </c>
      <c r="D393">
        <v>21</v>
      </c>
      <c r="E393">
        <v>80</v>
      </c>
      <c r="F393">
        <v>46</v>
      </c>
      <c r="G393">
        <v>0.67200000000000004</v>
      </c>
      <c r="H393">
        <v>27</v>
      </c>
      <c r="I393">
        <v>1</v>
      </c>
      <c r="J393">
        <f>IF(AND(Table2[[#This Row],[BMI]]&gt;=23,Table2[[#This Row],[Outcome]]=1),1,0)</f>
        <v>1</v>
      </c>
      <c r="K393">
        <f>IF(AND(Table2[[#This Row],[BMI+Outcome]]=1,Table2[[#This Row],[Glucose]]&gt;=100),1,0)</f>
        <v>1</v>
      </c>
      <c r="L393">
        <f>IF(AND(Table2[[#This Row],[Outcome]]=1,Table2[[#This Row],[Glucose]]&gt;=100),1,0)</f>
        <v>1</v>
      </c>
    </row>
    <row r="394" spans="1:12" x14ac:dyDescent="0.25">
      <c r="A394">
        <v>1</v>
      </c>
      <c r="B394">
        <v>131</v>
      </c>
      <c r="C394">
        <v>64</v>
      </c>
      <c r="D394">
        <v>14</v>
      </c>
      <c r="E394">
        <v>415</v>
      </c>
      <c r="F394">
        <v>24</v>
      </c>
      <c r="G394">
        <v>0.67200000000000004</v>
      </c>
      <c r="H394">
        <v>21</v>
      </c>
      <c r="I394">
        <v>0</v>
      </c>
      <c r="J394">
        <f>IF(AND(Table2[[#This Row],[BMI]]&gt;=23,Table2[[#This Row],[Outcome]]=1),1,0)</f>
        <v>0</v>
      </c>
      <c r="K394">
        <f>IF(AND(Table2[[#This Row],[BMI+Outcome]]=1,Table2[[#This Row],[Glucose]]&gt;=100),1,0)</f>
        <v>0</v>
      </c>
      <c r="L394">
        <f>IF(AND(Table2[[#This Row],[Outcome]]=1,Table2[[#This Row],[Glucose]]&gt;=100),1,0)</f>
        <v>0</v>
      </c>
    </row>
    <row r="395" spans="1:12" x14ac:dyDescent="0.25">
      <c r="A395">
        <v>4</v>
      </c>
      <c r="B395">
        <v>116</v>
      </c>
      <c r="C395">
        <v>72</v>
      </c>
      <c r="D395">
        <v>12</v>
      </c>
      <c r="E395">
        <v>87</v>
      </c>
      <c r="F395">
        <v>22</v>
      </c>
      <c r="G395">
        <v>0.67200000000000004</v>
      </c>
      <c r="H395">
        <v>37</v>
      </c>
      <c r="I395">
        <v>0</v>
      </c>
      <c r="J395">
        <f>IF(AND(Table2[[#This Row],[BMI]]&gt;=23,Table2[[#This Row],[Outcome]]=1),1,0)</f>
        <v>0</v>
      </c>
      <c r="K395">
        <f>IF(AND(Table2[[#This Row],[BMI+Outcome]]=1,Table2[[#This Row],[Glucose]]&gt;=100),1,0)</f>
        <v>0</v>
      </c>
      <c r="L395">
        <f>IF(AND(Table2[[#This Row],[Outcome]]=1,Table2[[#This Row],[Glucose]]&gt;=100),1,0)</f>
        <v>0</v>
      </c>
    </row>
    <row r="396" spans="1:12" x14ac:dyDescent="0.25">
      <c r="A396">
        <v>4</v>
      </c>
      <c r="B396">
        <v>158</v>
      </c>
      <c r="C396">
        <v>78</v>
      </c>
      <c r="D396">
        <v>21</v>
      </c>
      <c r="E396">
        <v>80</v>
      </c>
      <c r="F396">
        <v>33</v>
      </c>
      <c r="G396">
        <v>0.67200000000000004</v>
      </c>
      <c r="H396">
        <v>31</v>
      </c>
      <c r="I396">
        <v>1</v>
      </c>
      <c r="J396">
        <f>IF(AND(Table2[[#This Row],[BMI]]&gt;=23,Table2[[#This Row],[Outcome]]=1),1,0)</f>
        <v>1</v>
      </c>
      <c r="K396">
        <f>IF(AND(Table2[[#This Row],[BMI+Outcome]]=1,Table2[[#This Row],[Glucose]]&gt;=100),1,0)</f>
        <v>1</v>
      </c>
      <c r="L396">
        <f>IF(AND(Table2[[#This Row],[Outcome]]=1,Table2[[#This Row],[Glucose]]&gt;=100),1,0)</f>
        <v>1</v>
      </c>
    </row>
    <row r="397" spans="1:12" x14ac:dyDescent="0.25">
      <c r="A397">
        <v>2</v>
      </c>
      <c r="B397">
        <v>127</v>
      </c>
      <c r="C397">
        <v>58</v>
      </c>
      <c r="D397">
        <v>24</v>
      </c>
      <c r="E397">
        <v>275</v>
      </c>
      <c r="F397">
        <v>28</v>
      </c>
      <c r="G397">
        <v>0.67200000000000004</v>
      </c>
      <c r="H397">
        <v>25</v>
      </c>
      <c r="I397">
        <v>0</v>
      </c>
      <c r="J397">
        <f>IF(AND(Table2[[#This Row],[BMI]]&gt;=23,Table2[[#This Row],[Outcome]]=1),1,0)</f>
        <v>0</v>
      </c>
      <c r="K397">
        <f>IF(AND(Table2[[#This Row],[BMI+Outcome]]=1,Table2[[#This Row],[Glucose]]&gt;=100),1,0)</f>
        <v>0</v>
      </c>
      <c r="L397">
        <f>IF(AND(Table2[[#This Row],[Outcome]]=1,Table2[[#This Row],[Glucose]]&gt;=100),1,0)</f>
        <v>0</v>
      </c>
    </row>
    <row r="398" spans="1:12" x14ac:dyDescent="0.25">
      <c r="A398">
        <v>3</v>
      </c>
      <c r="B398">
        <v>96</v>
      </c>
      <c r="C398">
        <v>56</v>
      </c>
      <c r="D398">
        <v>34</v>
      </c>
      <c r="E398">
        <v>115</v>
      </c>
      <c r="F398">
        <v>25</v>
      </c>
      <c r="G398">
        <v>0.67200000000000004</v>
      </c>
      <c r="H398">
        <v>39</v>
      </c>
      <c r="I398">
        <v>0</v>
      </c>
      <c r="J398">
        <f>IF(AND(Table2[[#This Row],[BMI]]&gt;=23,Table2[[#This Row],[Outcome]]=1),1,0)</f>
        <v>0</v>
      </c>
      <c r="K398">
        <f>IF(AND(Table2[[#This Row],[BMI+Outcome]]=1,Table2[[#This Row],[Glucose]]&gt;=100),1,0)</f>
        <v>0</v>
      </c>
      <c r="L398">
        <f>IF(AND(Table2[[#This Row],[Outcome]]=1,Table2[[#This Row],[Glucose]]&gt;=100),1,0)</f>
        <v>0</v>
      </c>
    </row>
    <row r="399" spans="1:12" x14ac:dyDescent="0.25">
      <c r="A399">
        <v>4</v>
      </c>
      <c r="B399">
        <v>131</v>
      </c>
      <c r="C399">
        <v>66</v>
      </c>
      <c r="D399">
        <v>40</v>
      </c>
      <c r="E399">
        <v>80</v>
      </c>
      <c r="F399">
        <v>34</v>
      </c>
      <c r="G399">
        <v>0.67200000000000004</v>
      </c>
      <c r="H399">
        <v>22</v>
      </c>
      <c r="I399">
        <v>1</v>
      </c>
      <c r="J399">
        <f>IF(AND(Table2[[#This Row],[BMI]]&gt;=23,Table2[[#This Row],[Outcome]]=1),1,0)</f>
        <v>1</v>
      </c>
      <c r="K399">
        <f>IF(AND(Table2[[#This Row],[BMI+Outcome]]=1,Table2[[#This Row],[Glucose]]&gt;=100),1,0)</f>
        <v>1</v>
      </c>
      <c r="L399">
        <f>IF(AND(Table2[[#This Row],[Outcome]]=1,Table2[[#This Row],[Glucose]]&gt;=100),1,0)</f>
        <v>1</v>
      </c>
    </row>
    <row r="400" spans="1:12" x14ac:dyDescent="0.25">
      <c r="A400">
        <v>3</v>
      </c>
      <c r="B400">
        <v>82</v>
      </c>
      <c r="C400">
        <v>70</v>
      </c>
      <c r="D400">
        <v>21</v>
      </c>
      <c r="E400">
        <v>80</v>
      </c>
      <c r="F400">
        <v>21</v>
      </c>
      <c r="G400">
        <v>0.67200000000000004</v>
      </c>
      <c r="H400">
        <v>25</v>
      </c>
      <c r="I400">
        <v>0</v>
      </c>
      <c r="J400">
        <f>IF(AND(Table2[[#This Row],[BMI]]&gt;=23,Table2[[#This Row],[Outcome]]=1),1,0)</f>
        <v>0</v>
      </c>
      <c r="K400">
        <f>IF(AND(Table2[[#This Row],[BMI+Outcome]]=1,Table2[[#This Row],[Glucose]]&gt;=100),1,0)</f>
        <v>0</v>
      </c>
      <c r="L400">
        <f>IF(AND(Table2[[#This Row],[Outcome]]=1,Table2[[#This Row],[Glucose]]&gt;=100),1,0)</f>
        <v>0</v>
      </c>
    </row>
    <row r="401" spans="1:12" x14ac:dyDescent="0.25">
      <c r="A401">
        <v>3</v>
      </c>
      <c r="B401">
        <v>193</v>
      </c>
      <c r="C401">
        <v>70</v>
      </c>
      <c r="D401">
        <v>31</v>
      </c>
      <c r="E401">
        <v>80</v>
      </c>
      <c r="F401">
        <v>35</v>
      </c>
      <c r="G401">
        <v>0.67200000000000004</v>
      </c>
      <c r="H401">
        <v>25</v>
      </c>
      <c r="I401">
        <v>1</v>
      </c>
      <c r="J401">
        <f>IF(AND(Table2[[#This Row],[BMI]]&gt;=23,Table2[[#This Row],[Outcome]]=1),1,0)</f>
        <v>1</v>
      </c>
      <c r="K401">
        <f>IF(AND(Table2[[#This Row],[BMI+Outcome]]=1,Table2[[#This Row],[Glucose]]&gt;=100),1,0)</f>
        <v>1</v>
      </c>
      <c r="L401">
        <f>IF(AND(Table2[[#This Row],[Outcome]]=1,Table2[[#This Row],[Glucose]]&gt;=100),1,0)</f>
        <v>1</v>
      </c>
    </row>
    <row r="402" spans="1:12" x14ac:dyDescent="0.25">
      <c r="A402">
        <v>4</v>
      </c>
      <c r="B402">
        <v>95</v>
      </c>
      <c r="C402">
        <v>64</v>
      </c>
      <c r="D402">
        <v>21</v>
      </c>
      <c r="E402">
        <v>80</v>
      </c>
      <c r="F402">
        <v>32</v>
      </c>
      <c r="G402">
        <v>0.67200000000000004</v>
      </c>
      <c r="H402">
        <v>31</v>
      </c>
      <c r="I402">
        <v>1</v>
      </c>
      <c r="J402">
        <f>IF(AND(Table2[[#This Row],[BMI]]&gt;=23,Table2[[#This Row],[Outcome]]=1),1,0)</f>
        <v>1</v>
      </c>
      <c r="K402">
        <f>IF(AND(Table2[[#This Row],[BMI+Outcome]]=1,Table2[[#This Row],[Glucose]]&gt;=100),1,0)</f>
        <v>0</v>
      </c>
      <c r="L402">
        <f>IF(AND(Table2[[#This Row],[Outcome]]=1,Table2[[#This Row],[Glucose]]&gt;=100),1,0)</f>
        <v>0</v>
      </c>
    </row>
    <row r="403" spans="1:12" x14ac:dyDescent="0.25">
      <c r="A403">
        <v>6</v>
      </c>
      <c r="B403">
        <v>137</v>
      </c>
      <c r="C403">
        <v>61</v>
      </c>
      <c r="D403">
        <v>21</v>
      </c>
      <c r="E403">
        <v>80</v>
      </c>
      <c r="F403">
        <v>24</v>
      </c>
      <c r="G403">
        <v>0.67200000000000004</v>
      </c>
      <c r="H403">
        <v>55</v>
      </c>
      <c r="I403">
        <v>0</v>
      </c>
      <c r="J403">
        <f>IF(AND(Table2[[#This Row],[BMI]]&gt;=23,Table2[[#This Row],[Outcome]]=1),1,0)</f>
        <v>0</v>
      </c>
      <c r="K403">
        <f>IF(AND(Table2[[#This Row],[BMI+Outcome]]=1,Table2[[#This Row],[Glucose]]&gt;=100),1,0)</f>
        <v>0</v>
      </c>
      <c r="L403">
        <f>IF(AND(Table2[[#This Row],[Outcome]]=1,Table2[[#This Row],[Glucose]]&gt;=100),1,0)</f>
        <v>0</v>
      </c>
    </row>
    <row r="404" spans="1:12" x14ac:dyDescent="0.25">
      <c r="A404">
        <v>5</v>
      </c>
      <c r="B404">
        <v>136</v>
      </c>
      <c r="C404">
        <v>84</v>
      </c>
      <c r="D404">
        <v>41</v>
      </c>
      <c r="E404">
        <v>88</v>
      </c>
      <c r="F404">
        <v>35</v>
      </c>
      <c r="G404">
        <v>0.67200000000000004</v>
      </c>
      <c r="H404">
        <v>35</v>
      </c>
      <c r="I404">
        <v>1</v>
      </c>
      <c r="J404">
        <f>IF(AND(Table2[[#This Row],[BMI]]&gt;=23,Table2[[#This Row],[Outcome]]=1),1,0)</f>
        <v>1</v>
      </c>
      <c r="K404">
        <f>IF(AND(Table2[[#This Row],[BMI+Outcome]]=1,Table2[[#This Row],[Glucose]]&gt;=100),1,0)</f>
        <v>1</v>
      </c>
      <c r="L404">
        <f>IF(AND(Table2[[#This Row],[Outcome]]=1,Table2[[#This Row],[Glucose]]&gt;=100),1,0)</f>
        <v>1</v>
      </c>
    </row>
    <row r="405" spans="1:12" x14ac:dyDescent="0.25">
      <c r="A405">
        <v>9</v>
      </c>
      <c r="B405">
        <v>72</v>
      </c>
      <c r="C405">
        <v>78</v>
      </c>
      <c r="D405">
        <v>25</v>
      </c>
      <c r="E405">
        <v>80</v>
      </c>
      <c r="F405">
        <v>32</v>
      </c>
      <c r="G405">
        <v>0.67200000000000004</v>
      </c>
      <c r="H405">
        <v>38</v>
      </c>
      <c r="I405">
        <v>0</v>
      </c>
      <c r="J405">
        <f>IF(AND(Table2[[#This Row],[BMI]]&gt;=23,Table2[[#This Row],[Outcome]]=1),1,0)</f>
        <v>0</v>
      </c>
      <c r="K405">
        <f>IF(AND(Table2[[#This Row],[BMI+Outcome]]=1,Table2[[#This Row],[Glucose]]&gt;=100),1,0)</f>
        <v>0</v>
      </c>
      <c r="L405">
        <f>IF(AND(Table2[[#This Row],[Outcome]]=1,Table2[[#This Row],[Glucose]]&gt;=100),1,0)</f>
        <v>0</v>
      </c>
    </row>
    <row r="406" spans="1:12" x14ac:dyDescent="0.25">
      <c r="A406">
        <v>5</v>
      </c>
      <c r="B406">
        <v>168</v>
      </c>
      <c r="C406">
        <v>64</v>
      </c>
      <c r="D406">
        <v>21</v>
      </c>
      <c r="E406">
        <v>80</v>
      </c>
      <c r="F406">
        <v>33</v>
      </c>
      <c r="G406">
        <v>0.67200000000000004</v>
      </c>
      <c r="H406">
        <v>41</v>
      </c>
      <c r="I406">
        <v>1</v>
      </c>
      <c r="J406">
        <f>IF(AND(Table2[[#This Row],[BMI]]&gt;=23,Table2[[#This Row],[Outcome]]=1),1,0)</f>
        <v>1</v>
      </c>
      <c r="K406">
        <f>IF(AND(Table2[[#This Row],[BMI+Outcome]]=1,Table2[[#This Row],[Glucose]]&gt;=100),1,0)</f>
        <v>1</v>
      </c>
      <c r="L406">
        <f>IF(AND(Table2[[#This Row],[Outcome]]=1,Table2[[#This Row],[Glucose]]&gt;=100),1,0)</f>
        <v>1</v>
      </c>
    </row>
    <row r="407" spans="1:12" x14ac:dyDescent="0.25">
      <c r="A407">
        <v>2</v>
      </c>
      <c r="B407">
        <v>123</v>
      </c>
      <c r="C407">
        <v>48</v>
      </c>
      <c r="D407">
        <v>32</v>
      </c>
      <c r="E407">
        <v>165</v>
      </c>
      <c r="F407">
        <v>42</v>
      </c>
      <c r="G407">
        <v>0.67200000000000004</v>
      </c>
      <c r="H407">
        <v>26</v>
      </c>
      <c r="I407">
        <v>0</v>
      </c>
      <c r="J407">
        <f>IF(AND(Table2[[#This Row],[BMI]]&gt;=23,Table2[[#This Row],[Outcome]]=1),1,0)</f>
        <v>0</v>
      </c>
      <c r="K407">
        <f>IF(AND(Table2[[#This Row],[BMI+Outcome]]=1,Table2[[#This Row],[Glucose]]&gt;=100),1,0)</f>
        <v>0</v>
      </c>
      <c r="L407">
        <f>IF(AND(Table2[[#This Row],[Outcome]]=1,Table2[[#This Row],[Glucose]]&gt;=100),1,0)</f>
        <v>0</v>
      </c>
    </row>
    <row r="408" spans="1:12" x14ac:dyDescent="0.25">
      <c r="A408">
        <v>4</v>
      </c>
      <c r="B408">
        <v>115</v>
      </c>
      <c r="C408">
        <v>72</v>
      </c>
      <c r="D408">
        <v>21</v>
      </c>
      <c r="E408">
        <v>80</v>
      </c>
      <c r="F408">
        <v>29</v>
      </c>
      <c r="G408">
        <v>0.67200000000000004</v>
      </c>
      <c r="H408">
        <v>46</v>
      </c>
      <c r="I408">
        <v>1</v>
      </c>
      <c r="J408">
        <f>IF(AND(Table2[[#This Row],[BMI]]&gt;=23,Table2[[#This Row],[Outcome]]=1),1,0)</f>
        <v>1</v>
      </c>
      <c r="K408">
        <f>IF(AND(Table2[[#This Row],[BMI+Outcome]]=1,Table2[[#This Row],[Glucose]]&gt;=100),1,0)</f>
        <v>1</v>
      </c>
      <c r="L408">
        <f>IF(AND(Table2[[#This Row],[Outcome]]=1,Table2[[#This Row],[Glucose]]&gt;=100),1,0)</f>
        <v>1</v>
      </c>
    </row>
    <row r="409" spans="1:12" x14ac:dyDescent="0.25">
      <c r="A409">
        <v>4</v>
      </c>
      <c r="B409">
        <v>101</v>
      </c>
      <c r="C409">
        <v>62</v>
      </c>
      <c r="D409">
        <v>21</v>
      </c>
      <c r="E409">
        <v>80</v>
      </c>
      <c r="F409">
        <v>22</v>
      </c>
      <c r="G409">
        <v>0.67200000000000004</v>
      </c>
      <c r="H409">
        <v>25</v>
      </c>
      <c r="I409">
        <v>0</v>
      </c>
      <c r="J409">
        <f>IF(AND(Table2[[#This Row],[BMI]]&gt;=23,Table2[[#This Row],[Outcome]]=1),1,0)</f>
        <v>0</v>
      </c>
      <c r="K409">
        <f>IF(AND(Table2[[#This Row],[BMI+Outcome]]=1,Table2[[#This Row],[Glucose]]&gt;=100),1,0)</f>
        <v>0</v>
      </c>
      <c r="L409">
        <f>IF(AND(Table2[[#This Row],[Outcome]]=1,Table2[[#This Row],[Glucose]]&gt;=100),1,0)</f>
        <v>0</v>
      </c>
    </row>
    <row r="410" spans="1:12" x14ac:dyDescent="0.25">
      <c r="A410">
        <v>8</v>
      </c>
      <c r="B410">
        <v>197</v>
      </c>
      <c r="C410">
        <v>74</v>
      </c>
      <c r="D410">
        <v>21</v>
      </c>
      <c r="E410">
        <v>80</v>
      </c>
      <c r="F410">
        <v>26</v>
      </c>
      <c r="G410">
        <v>0.67200000000000004</v>
      </c>
      <c r="H410">
        <v>39</v>
      </c>
      <c r="I410">
        <v>1</v>
      </c>
      <c r="J410">
        <f>IF(AND(Table2[[#This Row],[BMI]]&gt;=23,Table2[[#This Row],[Outcome]]=1),1,0)</f>
        <v>1</v>
      </c>
      <c r="K410">
        <f>IF(AND(Table2[[#This Row],[BMI+Outcome]]=1,Table2[[#This Row],[Glucose]]&gt;=100),1,0)</f>
        <v>1</v>
      </c>
      <c r="L410">
        <f>IF(AND(Table2[[#This Row],[Outcome]]=1,Table2[[#This Row],[Glucose]]&gt;=100),1,0)</f>
        <v>1</v>
      </c>
    </row>
    <row r="411" spans="1:12" x14ac:dyDescent="0.25">
      <c r="A411">
        <v>1</v>
      </c>
      <c r="B411">
        <v>172</v>
      </c>
      <c r="C411">
        <v>68</v>
      </c>
      <c r="D411">
        <v>49</v>
      </c>
      <c r="E411">
        <v>579</v>
      </c>
      <c r="F411">
        <v>42</v>
      </c>
      <c r="G411">
        <v>0.67200000000000004</v>
      </c>
      <c r="H411">
        <v>28</v>
      </c>
      <c r="I411">
        <v>1</v>
      </c>
      <c r="J411">
        <f>IF(AND(Table2[[#This Row],[BMI]]&gt;=23,Table2[[#This Row],[Outcome]]=1),1,0)</f>
        <v>1</v>
      </c>
      <c r="K411">
        <f>IF(AND(Table2[[#This Row],[BMI+Outcome]]=1,Table2[[#This Row],[Glucose]]&gt;=100),1,0)</f>
        <v>1</v>
      </c>
      <c r="L411">
        <f>IF(AND(Table2[[#This Row],[Outcome]]=1,Table2[[#This Row],[Glucose]]&gt;=100),1,0)</f>
        <v>1</v>
      </c>
    </row>
    <row r="412" spans="1:12" x14ac:dyDescent="0.25">
      <c r="A412">
        <v>6</v>
      </c>
      <c r="B412">
        <v>102</v>
      </c>
      <c r="C412">
        <v>90</v>
      </c>
      <c r="D412">
        <v>39</v>
      </c>
      <c r="E412">
        <v>80</v>
      </c>
      <c r="F412">
        <v>36</v>
      </c>
      <c r="G412">
        <v>0.67200000000000004</v>
      </c>
      <c r="H412">
        <v>28</v>
      </c>
      <c r="I412">
        <v>0</v>
      </c>
      <c r="J412">
        <f>IF(AND(Table2[[#This Row],[BMI]]&gt;=23,Table2[[#This Row],[Outcome]]=1),1,0)</f>
        <v>0</v>
      </c>
      <c r="K412">
        <f>IF(AND(Table2[[#This Row],[BMI+Outcome]]=1,Table2[[#This Row],[Glucose]]&gt;=100),1,0)</f>
        <v>0</v>
      </c>
      <c r="L412">
        <f>IF(AND(Table2[[#This Row],[Outcome]]=1,Table2[[#This Row],[Glucose]]&gt;=100),1,0)</f>
        <v>0</v>
      </c>
    </row>
    <row r="413" spans="1:12" x14ac:dyDescent="0.25">
      <c r="A413">
        <v>1</v>
      </c>
      <c r="B413">
        <v>112</v>
      </c>
      <c r="C413">
        <v>72</v>
      </c>
      <c r="D413">
        <v>30</v>
      </c>
      <c r="E413">
        <v>176</v>
      </c>
      <c r="F413">
        <v>34</v>
      </c>
      <c r="G413">
        <v>0.67200000000000004</v>
      </c>
      <c r="H413">
        <v>25</v>
      </c>
      <c r="I413">
        <v>0</v>
      </c>
      <c r="J413">
        <f>IF(AND(Table2[[#This Row],[BMI]]&gt;=23,Table2[[#This Row],[Outcome]]=1),1,0)</f>
        <v>0</v>
      </c>
      <c r="K413">
        <f>IF(AND(Table2[[#This Row],[BMI+Outcome]]=1,Table2[[#This Row],[Glucose]]&gt;=100),1,0)</f>
        <v>0</v>
      </c>
      <c r="L413">
        <f>IF(AND(Table2[[#This Row],[Outcome]]=1,Table2[[#This Row],[Glucose]]&gt;=100),1,0)</f>
        <v>0</v>
      </c>
    </row>
    <row r="414" spans="1:12" x14ac:dyDescent="0.25">
      <c r="A414">
        <v>1</v>
      </c>
      <c r="B414">
        <v>143</v>
      </c>
      <c r="C414">
        <v>84</v>
      </c>
      <c r="D414">
        <v>23</v>
      </c>
      <c r="E414">
        <v>310</v>
      </c>
      <c r="F414">
        <v>42</v>
      </c>
      <c r="G414">
        <v>0.67200000000000004</v>
      </c>
      <c r="H414">
        <v>22</v>
      </c>
      <c r="I414">
        <v>0</v>
      </c>
      <c r="J414">
        <f>IF(AND(Table2[[#This Row],[BMI]]&gt;=23,Table2[[#This Row],[Outcome]]=1),1,0)</f>
        <v>0</v>
      </c>
      <c r="K414">
        <f>IF(AND(Table2[[#This Row],[BMI+Outcome]]=1,Table2[[#This Row],[Glucose]]&gt;=100),1,0)</f>
        <v>0</v>
      </c>
      <c r="L414">
        <f>IF(AND(Table2[[#This Row],[Outcome]]=1,Table2[[#This Row],[Glucose]]&gt;=100),1,0)</f>
        <v>0</v>
      </c>
    </row>
    <row r="415" spans="1:12" x14ac:dyDescent="0.25">
      <c r="A415">
        <v>1</v>
      </c>
      <c r="B415">
        <v>143</v>
      </c>
      <c r="C415">
        <v>74</v>
      </c>
      <c r="D415">
        <v>22</v>
      </c>
      <c r="E415">
        <v>61</v>
      </c>
      <c r="F415">
        <v>26</v>
      </c>
      <c r="G415">
        <v>0.67200000000000004</v>
      </c>
      <c r="H415">
        <v>21</v>
      </c>
      <c r="I415">
        <v>0</v>
      </c>
      <c r="J415">
        <f>IF(AND(Table2[[#This Row],[BMI]]&gt;=23,Table2[[#This Row],[Outcome]]=1),1,0)</f>
        <v>0</v>
      </c>
      <c r="K415">
        <f>IF(AND(Table2[[#This Row],[BMI+Outcome]]=1,Table2[[#This Row],[Glucose]]&gt;=100),1,0)</f>
        <v>0</v>
      </c>
      <c r="L415">
        <f>IF(AND(Table2[[#This Row],[Outcome]]=1,Table2[[#This Row],[Glucose]]&gt;=100),1,0)</f>
        <v>0</v>
      </c>
    </row>
    <row r="416" spans="1:12" x14ac:dyDescent="0.25">
      <c r="A416">
        <v>4</v>
      </c>
      <c r="B416">
        <v>138</v>
      </c>
      <c r="C416">
        <v>60</v>
      </c>
      <c r="D416">
        <v>35</v>
      </c>
      <c r="E416">
        <v>167</v>
      </c>
      <c r="F416">
        <v>35</v>
      </c>
      <c r="G416">
        <v>0.67200000000000004</v>
      </c>
      <c r="H416">
        <v>21</v>
      </c>
      <c r="I416">
        <v>1</v>
      </c>
      <c r="J416">
        <f>IF(AND(Table2[[#This Row],[BMI]]&gt;=23,Table2[[#This Row],[Outcome]]=1),1,0)</f>
        <v>1</v>
      </c>
      <c r="K416">
        <f>IF(AND(Table2[[#This Row],[BMI+Outcome]]=1,Table2[[#This Row],[Glucose]]&gt;=100),1,0)</f>
        <v>1</v>
      </c>
      <c r="L416">
        <f>IF(AND(Table2[[#This Row],[Outcome]]=1,Table2[[#This Row],[Glucose]]&gt;=100),1,0)</f>
        <v>1</v>
      </c>
    </row>
    <row r="417" spans="1:12" x14ac:dyDescent="0.25">
      <c r="A417">
        <v>3</v>
      </c>
      <c r="B417">
        <v>173</v>
      </c>
      <c r="C417">
        <v>84</v>
      </c>
      <c r="D417">
        <v>33</v>
      </c>
      <c r="E417">
        <v>474</v>
      </c>
      <c r="F417">
        <v>36</v>
      </c>
      <c r="G417">
        <v>0.67200000000000004</v>
      </c>
      <c r="H417">
        <v>22</v>
      </c>
      <c r="I417">
        <v>1</v>
      </c>
      <c r="J417">
        <f>IF(AND(Table2[[#This Row],[BMI]]&gt;=23,Table2[[#This Row],[Outcome]]=1),1,0)</f>
        <v>1</v>
      </c>
      <c r="K417">
        <f>IF(AND(Table2[[#This Row],[BMI+Outcome]]=1,Table2[[#This Row],[Glucose]]&gt;=100),1,0)</f>
        <v>1</v>
      </c>
      <c r="L417">
        <f>IF(AND(Table2[[#This Row],[Outcome]]=1,Table2[[#This Row],[Glucose]]&gt;=100),1,0)</f>
        <v>1</v>
      </c>
    </row>
    <row r="418" spans="1:12" x14ac:dyDescent="0.25">
      <c r="A418">
        <v>1</v>
      </c>
      <c r="B418">
        <v>97</v>
      </c>
      <c r="C418">
        <v>68</v>
      </c>
      <c r="D418">
        <v>21</v>
      </c>
      <c r="E418">
        <v>80</v>
      </c>
      <c r="F418">
        <v>27</v>
      </c>
      <c r="G418">
        <v>0.67200000000000004</v>
      </c>
      <c r="H418">
        <v>22</v>
      </c>
      <c r="I418">
        <v>0</v>
      </c>
      <c r="J418">
        <f>IF(AND(Table2[[#This Row],[BMI]]&gt;=23,Table2[[#This Row],[Outcome]]=1),1,0)</f>
        <v>0</v>
      </c>
      <c r="K418">
        <f>IF(AND(Table2[[#This Row],[BMI+Outcome]]=1,Table2[[#This Row],[Glucose]]&gt;=100),1,0)</f>
        <v>0</v>
      </c>
      <c r="L418">
        <f>IF(AND(Table2[[#This Row],[Outcome]]=1,Table2[[#This Row],[Glucose]]&gt;=100),1,0)</f>
        <v>0</v>
      </c>
    </row>
    <row r="419" spans="1:12" x14ac:dyDescent="0.25">
      <c r="A419">
        <v>4</v>
      </c>
      <c r="B419">
        <v>144</v>
      </c>
      <c r="C419">
        <v>82</v>
      </c>
      <c r="D419">
        <v>32</v>
      </c>
      <c r="E419">
        <v>80</v>
      </c>
      <c r="F419">
        <v>38</v>
      </c>
      <c r="G419">
        <v>0.67200000000000004</v>
      </c>
      <c r="H419">
        <v>37</v>
      </c>
      <c r="I419">
        <v>1</v>
      </c>
      <c r="J419">
        <f>IF(AND(Table2[[#This Row],[BMI]]&gt;=23,Table2[[#This Row],[Outcome]]=1),1,0)</f>
        <v>1</v>
      </c>
      <c r="K419">
        <f>IF(AND(Table2[[#This Row],[BMI+Outcome]]=1,Table2[[#This Row],[Glucose]]&gt;=100),1,0)</f>
        <v>1</v>
      </c>
      <c r="L419">
        <f>IF(AND(Table2[[#This Row],[Outcome]]=1,Table2[[#This Row],[Glucose]]&gt;=100),1,0)</f>
        <v>1</v>
      </c>
    </row>
    <row r="420" spans="1:12" x14ac:dyDescent="0.25">
      <c r="A420">
        <v>1</v>
      </c>
      <c r="B420">
        <v>83</v>
      </c>
      <c r="C420">
        <v>68</v>
      </c>
      <c r="D420">
        <v>21</v>
      </c>
      <c r="E420">
        <v>80</v>
      </c>
      <c r="F420">
        <v>18</v>
      </c>
      <c r="G420">
        <v>0.67200000000000004</v>
      </c>
      <c r="H420">
        <v>27</v>
      </c>
      <c r="I420">
        <v>0</v>
      </c>
      <c r="J420">
        <f>IF(AND(Table2[[#This Row],[BMI]]&gt;=23,Table2[[#This Row],[Outcome]]=1),1,0)</f>
        <v>0</v>
      </c>
      <c r="K420">
        <f>IF(AND(Table2[[#This Row],[BMI+Outcome]]=1,Table2[[#This Row],[Glucose]]&gt;=100),1,0)</f>
        <v>0</v>
      </c>
      <c r="L420">
        <f>IF(AND(Table2[[#This Row],[Outcome]]=1,Table2[[#This Row],[Glucose]]&gt;=100),1,0)</f>
        <v>0</v>
      </c>
    </row>
    <row r="421" spans="1:12" x14ac:dyDescent="0.25">
      <c r="A421">
        <v>3</v>
      </c>
      <c r="B421">
        <v>129</v>
      </c>
      <c r="C421">
        <v>64</v>
      </c>
      <c r="D421">
        <v>29</v>
      </c>
      <c r="E421">
        <v>115</v>
      </c>
      <c r="F421">
        <v>26</v>
      </c>
      <c r="G421">
        <v>0.67200000000000004</v>
      </c>
      <c r="H421">
        <v>28</v>
      </c>
      <c r="I421">
        <v>1</v>
      </c>
      <c r="J421">
        <f>IF(AND(Table2[[#This Row],[BMI]]&gt;=23,Table2[[#This Row],[Outcome]]=1),1,0)</f>
        <v>1</v>
      </c>
      <c r="K421">
        <f>IF(AND(Table2[[#This Row],[BMI+Outcome]]=1,Table2[[#This Row],[Glucose]]&gt;=100),1,0)</f>
        <v>1</v>
      </c>
      <c r="L421">
        <f>IF(AND(Table2[[#This Row],[Outcome]]=1,Table2[[#This Row],[Glucose]]&gt;=100),1,0)</f>
        <v>1</v>
      </c>
    </row>
    <row r="422" spans="1:12" x14ac:dyDescent="0.25">
      <c r="A422">
        <v>1</v>
      </c>
      <c r="B422">
        <v>119</v>
      </c>
      <c r="C422">
        <v>88</v>
      </c>
      <c r="D422">
        <v>41</v>
      </c>
      <c r="E422">
        <v>170</v>
      </c>
      <c r="F422">
        <v>45</v>
      </c>
      <c r="G422">
        <v>0.67200000000000004</v>
      </c>
      <c r="H422">
        <v>26</v>
      </c>
      <c r="I422">
        <v>0</v>
      </c>
      <c r="J422">
        <f>IF(AND(Table2[[#This Row],[BMI]]&gt;=23,Table2[[#This Row],[Outcome]]=1),1,0)</f>
        <v>0</v>
      </c>
      <c r="K422">
        <f>IF(AND(Table2[[#This Row],[BMI+Outcome]]=1,Table2[[#This Row],[Glucose]]&gt;=100),1,0)</f>
        <v>0</v>
      </c>
      <c r="L422">
        <f>IF(AND(Table2[[#This Row],[Outcome]]=1,Table2[[#This Row],[Glucose]]&gt;=100),1,0)</f>
        <v>0</v>
      </c>
    </row>
    <row r="423" spans="1:12" x14ac:dyDescent="0.25">
      <c r="A423">
        <v>2</v>
      </c>
      <c r="B423">
        <v>94</v>
      </c>
      <c r="C423">
        <v>68</v>
      </c>
      <c r="D423">
        <v>18</v>
      </c>
      <c r="E423">
        <v>76</v>
      </c>
      <c r="F423">
        <v>26</v>
      </c>
      <c r="G423">
        <v>0.67200000000000004</v>
      </c>
      <c r="H423">
        <v>21</v>
      </c>
      <c r="I423">
        <v>0</v>
      </c>
      <c r="J423">
        <f>IF(AND(Table2[[#This Row],[BMI]]&gt;=23,Table2[[#This Row],[Outcome]]=1),1,0)</f>
        <v>0</v>
      </c>
      <c r="K423">
        <f>IF(AND(Table2[[#This Row],[BMI+Outcome]]=1,Table2[[#This Row],[Glucose]]&gt;=100),1,0)</f>
        <v>0</v>
      </c>
      <c r="L423">
        <f>IF(AND(Table2[[#This Row],[Outcome]]=1,Table2[[#This Row],[Glucose]]&gt;=100),1,0)</f>
        <v>0</v>
      </c>
    </row>
    <row r="424" spans="1:12" x14ac:dyDescent="0.25">
      <c r="A424">
        <v>4</v>
      </c>
      <c r="B424">
        <v>102</v>
      </c>
      <c r="C424">
        <v>64</v>
      </c>
      <c r="D424">
        <v>46</v>
      </c>
      <c r="E424">
        <v>78</v>
      </c>
      <c r="F424">
        <v>41</v>
      </c>
      <c r="G424">
        <v>0.67200000000000004</v>
      </c>
      <c r="H424">
        <v>21</v>
      </c>
      <c r="I424">
        <v>0</v>
      </c>
      <c r="J424">
        <f>IF(AND(Table2[[#This Row],[BMI]]&gt;=23,Table2[[#This Row],[Outcome]]=1),1,0)</f>
        <v>0</v>
      </c>
      <c r="K424">
        <f>IF(AND(Table2[[#This Row],[BMI+Outcome]]=1,Table2[[#This Row],[Glucose]]&gt;=100),1,0)</f>
        <v>0</v>
      </c>
      <c r="L424">
        <f>IF(AND(Table2[[#This Row],[Outcome]]=1,Table2[[#This Row],[Glucose]]&gt;=100),1,0)</f>
        <v>0</v>
      </c>
    </row>
    <row r="425" spans="1:12" x14ac:dyDescent="0.25">
      <c r="A425">
        <v>2</v>
      </c>
      <c r="B425">
        <v>115</v>
      </c>
      <c r="C425">
        <v>64</v>
      </c>
      <c r="D425">
        <v>22</v>
      </c>
      <c r="E425">
        <v>80</v>
      </c>
      <c r="F425">
        <v>31</v>
      </c>
      <c r="G425">
        <v>0.67200000000000004</v>
      </c>
      <c r="H425">
        <v>21</v>
      </c>
      <c r="I425">
        <v>0</v>
      </c>
      <c r="J425">
        <f>IF(AND(Table2[[#This Row],[BMI]]&gt;=23,Table2[[#This Row],[Outcome]]=1),1,0)</f>
        <v>0</v>
      </c>
      <c r="K425">
        <f>IF(AND(Table2[[#This Row],[BMI+Outcome]]=1,Table2[[#This Row],[Glucose]]&gt;=100),1,0)</f>
        <v>0</v>
      </c>
      <c r="L425">
        <f>IF(AND(Table2[[#This Row],[Outcome]]=1,Table2[[#This Row],[Glucose]]&gt;=100),1,0)</f>
        <v>0</v>
      </c>
    </row>
    <row r="426" spans="1:12" x14ac:dyDescent="0.25">
      <c r="A426">
        <v>8</v>
      </c>
      <c r="B426">
        <v>151</v>
      </c>
      <c r="C426">
        <v>78</v>
      </c>
      <c r="D426">
        <v>32</v>
      </c>
      <c r="E426">
        <v>210</v>
      </c>
      <c r="F426">
        <v>43</v>
      </c>
      <c r="G426">
        <v>0.67200000000000004</v>
      </c>
      <c r="H426">
        <v>36</v>
      </c>
      <c r="I426">
        <v>1</v>
      </c>
      <c r="J426">
        <f>IF(AND(Table2[[#This Row],[BMI]]&gt;=23,Table2[[#This Row],[Outcome]]=1),1,0)</f>
        <v>1</v>
      </c>
      <c r="K426">
        <f>IF(AND(Table2[[#This Row],[BMI+Outcome]]=1,Table2[[#This Row],[Glucose]]&gt;=100),1,0)</f>
        <v>1</v>
      </c>
      <c r="L426">
        <f>IF(AND(Table2[[#This Row],[Outcome]]=1,Table2[[#This Row],[Glucose]]&gt;=100),1,0)</f>
        <v>1</v>
      </c>
    </row>
    <row r="427" spans="1:12" x14ac:dyDescent="0.25">
      <c r="A427">
        <v>4</v>
      </c>
      <c r="B427">
        <v>184</v>
      </c>
      <c r="C427">
        <v>78</v>
      </c>
      <c r="D427">
        <v>39</v>
      </c>
      <c r="E427">
        <v>277</v>
      </c>
      <c r="F427">
        <v>37</v>
      </c>
      <c r="G427">
        <v>0.67200000000000004</v>
      </c>
      <c r="H427">
        <v>31</v>
      </c>
      <c r="I427">
        <v>1</v>
      </c>
      <c r="J427">
        <f>IF(AND(Table2[[#This Row],[BMI]]&gt;=23,Table2[[#This Row],[Outcome]]=1),1,0)</f>
        <v>1</v>
      </c>
      <c r="K427">
        <f>IF(AND(Table2[[#This Row],[BMI+Outcome]]=1,Table2[[#This Row],[Glucose]]&gt;=100),1,0)</f>
        <v>1</v>
      </c>
      <c r="L427">
        <f>IF(AND(Table2[[#This Row],[Outcome]]=1,Table2[[#This Row],[Glucose]]&gt;=100),1,0)</f>
        <v>1</v>
      </c>
    </row>
    <row r="428" spans="1:12" x14ac:dyDescent="0.25">
      <c r="A428">
        <v>4</v>
      </c>
      <c r="B428">
        <v>94</v>
      </c>
      <c r="C428">
        <v>69</v>
      </c>
      <c r="D428">
        <v>21</v>
      </c>
      <c r="E428">
        <v>80</v>
      </c>
      <c r="F428">
        <v>32</v>
      </c>
      <c r="G428">
        <v>0.67200000000000004</v>
      </c>
      <c r="H428">
        <v>25</v>
      </c>
      <c r="I428">
        <v>0</v>
      </c>
      <c r="J428">
        <f>IF(AND(Table2[[#This Row],[BMI]]&gt;=23,Table2[[#This Row],[Outcome]]=1),1,0)</f>
        <v>0</v>
      </c>
      <c r="K428">
        <f>IF(AND(Table2[[#This Row],[BMI+Outcome]]=1,Table2[[#This Row],[Glucose]]&gt;=100),1,0)</f>
        <v>0</v>
      </c>
      <c r="L428">
        <f>IF(AND(Table2[[#This Row],[Outcome]]=1,Table2[[#This Row],[Glucose]]&gt;=100),1,0)</f>
        <v>0</v>
      </c>
    </row>
    <row r="429" spans="1:12" x14ac:dyDescent="0.25">
      <c r="A429">
        <v>1</v>
      </c>
      <c r="B429">
        <v>181</v>
      </c>
      <c r="C429">
        <v>64</v>
      </c>
      <c r="D429">
        <v>30</v>
      </c>
      <c r="E429">
        <v>180</v>
      </c>
      <c r="F429">
        <v>34</v>
      </c>
      <c r="G429">
        <v>0.67200000000000004</v>
      </c>
      <c r="H429">
        <v>38</v>
      </c>
      <c r="I429">
        <v>1</v>
      </c>
      <c r="J429">
        <f>IF(AND(Table2[[#This Row],[BMI]]&gt;=23,Table2[[#This Row],[Outcome]]=1),1,0)</f>
        <v>1</v>
      </c>
      <c r="K429">
        <f>IF(AND(Table2[[#This Row],[BMI+Outcome]]=1,Table2[[#This Row],[Glucose]]&gt;=100),1,0)</f>
        <v>1</v>
      </c>
      <c r="L429">
        <f>IF(AND(Table2[[#This Row],[Outcome]]=1,Table2[[#This Row],[Glucose]]&gt;=100),1,0)</f>
        <v>1</v>
      </c>
    </row>
    <row r="430" spans="1:12" x14ac:dyDescent="0.25">
      <c r="A430">
        <v>4</v>
      </c>
      <c r="B430">
        <v>135</v>
      </c>
      <c r="C430">
        <v>94</v>
      </c>
      <c r="D430">
        <v>46</v>
      </c>
      <c r="E430">
        <v>145</v>
      </c>
      <c r="F430">
        <v>41</v>
      </c>
      <c r="G430">
        <v>0.67200000000000004</v>
      </c>
      <c r="H430">
        <v>26</v>
      </c>
      <c r="I430">
        <v>0</v>
      </c>
      <c r="J430">
        <f>IF(AND(Table2[[#This Row],[BMI]]&gt;=23,Table2[[#This Row],[Outcome]]=1),1,0)</f>
        <v>0</v>
      </c>
      <c r="K430">
        <f>IF(AND(Table2[[#This Row],[BMI+Outcome]]=1,Table2[[#This Row],[Glucose]]&gt;=100),1,0)</f>
        <v>0</v>
      </c>
      <c r="L430">
        <f>IF(AND(Table2[[#This Row],[Outcome]]=1,Table2[[#This Row],[Glucose]]&gt;=100),1,0)</f>
        <v>0</v>
      </c>
    </row>
    <row r="431" spans="1:12" x14ac:dyDescent="0.25">
      <c r="A431">
        <v>1</v>
      </c>
      <c r="B431">
        <v>95</v>
      </c>
      <c r="C431">
        <v>82</v>
      </c>
      <c r="D431">
        <v>25</v>
      </c>
      <c r="E431">
        <v>180</v>
      </c>
      <c r="F431">
        <v>35</v>
      </c>
      <c r="G431">
        <v>0.67200000000000004</v>
      </c>
      <c r="H431">
        <v>43</v>
      </c>
      <c r="I431">
        <v>1</v>
      </c>
      <c r="J431">
        <f>IF(AND(Table2[[#This Row],[BMI]]&gt;=23,Table2[[#This Row],[Outcome]]=1),1,0)</f>
        <v>1</v>
      </c>
      <c r="K431">
        <f>IF(AND(Table2[[#This Row],[BMI+Outcome]]=1,Table2[[#This Row],[Glucose]]&gt;=100),1,0)</f>
        <v>0</v>
      </c>
      <c r="L431">
        <f>IF(AND(Table2[[#This Row],[Outcome]]=1,Table2[[#This Row],[Glucose]]&gt;=100),1,0)</f>
        <v>0</v>
      </c>
    </row>
    <row r="432" spans="1:12" x14ac:dyDescent="0.25">
      <c r="A432">
        <v>2</v>
      </c>
      <c r="B432">
        <v>99</v>
      </c>
      <c r="C432">
        <v>69</v>
      </c>
      <c r="D432">
        <v>21</v>
      </c>
      <c r="E432">
        <v>80</v>
      </c>
      <c r="F432">
        <v>22</v>
      </c>
      <c r="G432">
        <v>0.67200000000000004</v>
      </c>
      <c r="H432">
        <v>23</v>
      </c>
      <c r="I432">
        <v>0</v>
      </c>
      <c r="J432">
        <f>IF(AND(Table2[[#This Row],[BMI]]&gt;=23,Table2[[#This Row],[Outcome]]=1),1,0)</f>
        <v>0</v>
      </c>
      <c r="K432">
        <f>IF(AND(Table2[[#This Row],[BMI+Outcome]]=1,Table2[[#This Row],[Glucose]]&gt;=100),1,0)</f>
        <v>0</v>
      </c>
      <c r="L432">
        <f>IF(AND(Table2[[#This Row],[Outcome]]=1,Table2[[#This Row],[Glucose]]&gt;=100),1,0)</f>
        <v>0</v>
      </c>
    </row>
    <row r="433" spans="1:12" x14ac:dyDescent="0.25">
      <c r="A433">
        <v>3</v>
      </c>
      <c r="B433">
        <v>89</v>
      </c>
      <c r="C433">
        <v>74</v>
      </c>
      <c r="D433">
        <v>16</v>
      </c>
      <c r="E433">
        <v>85</v>
      </c>
      <c r="F433">
        <v>30</v>
      </c>
      <c r="G433">
        <v>0.67200000000000004</v>
      </c>
      <c r="H433">
        <v>38</v>
      </c>
      <c r="I433">
        <v>0</v>
      </c>
      <c r="J433">
        <f>IF(AND(Table2[[#This Row],[BMI]]&gt;=23,Table2[[#This Row],[Outcome]]=1),1,0)</f>
        <v>0</v>
      </c>
      <c r="K433">
        <f>IF(AND(Table2[[#This Row],[BMI+Outcome]]=1,Table2[[#This Row],[Glucose]]&gt;=100),1,0)</f>
        <v>0</v>
      </c>
      <c r="L433">
        <f>IF(AND(Table2[[#This Row],[Outcome]]=1,Table2[[#This Row],[Glucose]]&gt;=100),1,0)</f>
        <v>0</v>
      </c>
    </row>
    <row r="434" spans="1:12" x14ac:dyDescent="0.25">
      <c r="A434">
        <v>1</v>
      </c>
      <c r="B434">
        <v>80</v>
      </c>
      <c r="C434">
        <v>74</v>
      </c>
      <c r="D434">
        <v>11</v>
      </c>
      <c r="E434">
        <v>60</v>
      </c>
      <c r="F434">
        <v>30</v>
      </c>
      <c r="G434">
        <v>0.67200000000000004</v>
      </c>
      <c r="H434">
        <v>22</v>
      </c>
      <c r="I434">
        <v>0</v>
      </c>
      <c r="J434">
        <f>IF(AND(Table2[[#This Row],[BMI]]&gt;=23,Table2[[#This Row],[Outcome]]=1),1,0)</f>
        <v>0</v>
      </c>
      <c r="K434">
        <f>IF(AND(Table2[[#This Row],[BMI+Outcome]]=1,Table2[[#This Row],[Glucose]]&gt;=100),1,0)</f>
        <v>0</v>
      </c>
      <c r="L434">
        <f>IF(AND(Table2[[#This Row],[Outcome]]=1,Table2[[#This Row],[Glucose]]&gt;=100),1,0)</f>
        <v>0</v>
      </c>
    </row>
    <row r="435" spans="1:12" x14ac:dyDescent="0.25">
      <c r="A435">
        <v>2</v>
      </c>
      <c r="B435">
        <v>139</v>
      </c>
      <c r="C435">
        <v>75</v>
      </c>
      <c r="D435">
        <v>21</v>
      </c>
      <c r="E435">
        <v>80</v>
      </c>
      <c r="F435">
        <v>26</v>
      </c>
      <c r="G435">
        <v>0.67200000000000004</v>
      </c>
      <c r="H435">
        <v>29</v>
      </c>
      <c r="I435">
        <v>0</v>
      </c>
      <c r="J435">
        <f>IF(AND(Table2[[#This Row],[BMI]]&gt;=23,Table2[[#This Row],[Outcome]]=1),1,0)</f>
        <v>0</v>
      </c>
      <c r="K435">
        <f>IF(AND(Table2[[#This Row],[BMI+Outcome]]=1,Table2[[#This Row],[Glucose]]&gt;=100),1,0)</f>
        <v>0</v>
      </c>
      <c r="L435">
        <f>IF(AND(Table2[[#This Row],[Outcome]]=1,Table2[[#This Row],[Glucose]]&gt;=100),1,0)</f>
        <v>0</v>
      </c>
    </row>
    <row r="436" spans="1:12" x14ac:dyDescent="0.25">
      <c r="A436">
        <v>1</v>
      </c>
      <c r="B436">
        <v>90</v>
      </c>
      <c r="C436">
        <v>68</v>
      </c>
      <c r="D436">
        <v>8</v>
      </c>
      <c r="E436">
        <v>80</v>
      </c>
      <c r="F436">
        <v>24</v>
      </c>
      <c r="G436">
        <v>0.67200000000000004</v>
      </c>
      <c r="H436">
        <v>36</v>
      </c>
      <c r="I436">
        <v>0</v>
      </c>
      <c r="J436">
        <f>IF(AND(Table2[[#This Row],[BMI]]&gt;=23,Table2[[#This Row],[Outcome]]=1),1,0)</f>
        <v>0</v>
      </c>
      <c r="K436">
        <f>IF(AND(Table2[[#This Row],[BMI+Outcome]]=1,Table2[[#This Row],[Glucose]]&gt;=100),1,0)</f>
        <v>0</v>
      </c>
      <c r="L436">
        <f>IF(AND(Table2[[#This Row],[Outcome]]=1,Table2[[#This Row],[Glucose]]&gt;=100),1,0)</f>
        <v>0</v>
      </c>
    </row>
    <row r="437" spans="1:12" x14ac:dyDescent="0.25">
      <c r="A437">
        <v>4</v>
      </c>
      <c r="B437">
        <v>141</v>
      </c>
      <c r="C437">
        <v>69</v>
      </c>
      <c r="D437">
        <v>21</v>
      </c>
      <c r="E437">
        <v>80</v>
      </c>
      <c r="F437">
        <v>42</v>
      </c>
      <c r="G437">
        <v>0.67200000000000004</v>
      </c>
      <c r="H437">
        <v>29</v>
      </c>
      <c r="I437">
        <v>1</v>
      </c>
      <c r="J437">
        <f>IF(AND(Table2[[#This Row],[BMI]]&gt;=23,Table2[[#This Row],[Outcome]]=1),1,0)</f>
        <v>1</v>
      </c>
      <c r="K437">
        <f>IF(AND(Table2[[#This Row],[BMI+Outcome]]=1,Table2[[#This Row],[Glucose]]&gt;=100),1,0)</f>
        <v>1</v>
      </c>
      <c r="L437">
        <f>IF(AND(Table2[[#This Row],[Outcome]]=1,Table2[[#This Row],[Glucose]]&gt;=100),1,0)</f>
        <v>1</v>
      </c>
    </row>
    <row r="438" spans="1:12" x14ac:dyDescent="0.25">
      <c r="A438">
        <v>12</v>
      </c>
      <c r="B438">
        <v>140</v>
      </c>
      <c r="C438">
        <v>85</v>
      </c>
      <c r="D438">
        <v>33</v>
      </c>
      <c r="E438">
        <v>80</v>
      </c>
      <c r="F438">
        <v>37</v>
      </c>
      <c r="G438">
        <v>0.67200000000000004</v>
      </c>
      <c r="H438">
        <v>41</v>
      </c>
      <c r="I438">
        <v>0</v>
      </c>
      <c r="J438">
        <f>IF(AND(Table2[[#This Row],[BMI]]&gt;=23,Table2[[#This Row],[Outcome]]=1),1,0)</f>
        <v>0</v>
      </c>
      <c r="K438">
        <f>IF(AND(Table2[[#This Row],[BMI+Outcome]]=1,Table2[[#This Row],[Glucose]]&gt;=100),1,0)</f>
        <v>0</v>
      </c>
      <c r="L438">
        <f>IF(AND(Table2[[#This Row],[Outcome]]=1,Table2[[#This Row],[Glucose]]&gt;=100),1,0)</f>
        <v>0</v>
      </c>
    </row>
    <row r="439" spans="1:12" x14ac:dyDescent="0.25">
      <c r="A439">
        <v>5</v>
      </c>
      <c r="B439">
        <v>147</v>
      </c>
      <c r="C439">
        <v>75</v>
      </c>
      <c r="D439">
        <v>21</v>
      </c>
      <c r="E439">
        <v>80</v>
      </c>
      <c r="F439">
        <v>30</v>
      </c>
      <c r="G439">
        <v>0.67200000000000004</v>
      </c>
      <c r="H439">
        <v>28</v>
      </c>
      <c r="I439">
        <v>0</v>
      </c>
      <c r="J439">
        <f>IF(AND(Table2[[#This Row],[BMI]]&gt;=23,Table2[[#This Row],[Outcome]]=1),1,0)</f>
        <v>0</v>
      </c>
      <c r="K439">
        <f>IF(AND(Table2[[#This Row],[BMI+Outcome]]=1,Table2[[#This Row],[Glucose]]&gt;=100),1,0)</f>
        <v>0</v>
      </c>
      <c r="L439">
        <f>IF(AND(Table2[[#This Row],[Outcome]]=1,Table2[[#This Row],[Glucose]]&gt;=100),1,0)</f>
        <v>0</v>
      </c>
    </row>
    <row r="440" spans="1:12" x14ac:dyDescent="0.25">
      <c r="A440">
        <v>1</v>
      </c>
      <c r="B440">
        <v>97</v>
      </c>
      <c r="C440">
        <v>70</v>
      </c>
      <c r="D440">
        <v>15</v>
      </c>
      <c r="E440">
        <v>80</v>
      </c>
      <c r="F440">
        <v>18</v>
      </c>
      <c r="G440">
        <v>0.67200000000000004</v>
      </c>
      <c r="H440">
        <v>21</v>
      </c>
      <c r="I440">
        <v>0</v>
      </c>
      <c r="J440">
        <f>IF(AND(Table2[[#This Row],[BMI]]&gt;=23,Table2[[#This Row],[Outcome]]=1),1,0)</f>
        <v>0</v>
      </c>
      <c r="K440">
        <f>IF(AND(Table2[[#This Row],[BMI+Outcome]]=1,Table2[[#This Row],[Glucose]]&gt;=100),1,0)</f>
        <v>0</v>
      </c>
      <c r="L440">
        <f>IF(AND(Table2[[#This Row],[Outcome]]=1,Table2[[#This Row],[Glucose]]&gt;=100),1,0)</f>
        <v>0</v>
      </c>
    </row>
    <row r="441" spans="1:12" x14ac:dyDescent="0.25">
      <c r="A441">
        <v>6</v>
      </c>
      <c r="B441">
        <v>107</v>
      </c>
      <c r="C441">
        <v>88</v>
      </c>
      <c r="D441">
        <v>21</v>
      </c>
      <c r="E441">
        <v>80</v>
      </c>
      <c r="F441">
        <v>37</v>
      </c>
      <c r="G441">
        <v>0.67200000000000004</v>
      </c>
      <c r="H441">
        <v>31</v>
      </c>
      <c r="I441">
        <v>0</v>
      </c>
      <c r="J441">
        <f>IF(AND(Table2[[#This Row],[BMI]]&gt;=23,Table2[[#This Row],[Outcome]]=1),1,0)</f>
        <v>0</v>
      </c>
      <c r="K441">
        <f>IF(AND(Table2[[#This Row],[BMI+Outcome]]=1,Table2[[#This Row],[Glucose]]&gt;=100),1,0)</f>
        <v>0</v>
      </c>
      <c r="L441">
        <f>IF(AND(Table2[[#This Row],[Outcome]]=1,Table2[[#This Row],[Glucose]]&gt;=100),1,0)</f>
        <v>0</v>
      </c>
    </row>
    <row r="442" spans="1:12" x14ac:dyDescent="0.25">
      <c r="A442">
        <v>4</v>
      </c>
      <c r="B442">
        <v>189</v>
      </c>
      <c r="C442">
        <v>104</v>
      </c>
      <c r="D442">
        <v>25</v>
      </c>
      <c r="E442">
        <v>80</v>
      </c>
      <c r="F442">
        <v>34</v>
      </c>
      <c r="G442">
        <v>0.67200000000000004</v>
      </c>
      <c r="H442">
        <v>41</v>
      </c>
      <c r="I442">
        <v>1</v>
      </c>
      <c r="J442">
        <f>IF(AND(Table2[[#This Row],[BMI]]&gt;=23,Table2[[#This Row],[Outcome]]=1),1,0)</f>
        <v>1</v>
      </c>
      <c r="K442">
        <f>IF(AND(Table2[[#This Row],[BMI+Outcome]]=1,Table2[[#This Row],[Glucose]]&gt;=100),1,0)</f>
        <v>1</v>
      </c>
      <c r="L442">
        <f>IF(AND(Table2[[#This Row],[Outcome]]=1,Table2[[#This Row],[Glucose]]&gt;=100),1,0)</f>
        <v>1</v>
      </c>
    </row>
    <row r="443" spans="1:12" x14ac:dyDescent="0.25">
      <c r="A443">
        <v>2</v>
      </c>
      <c r="B443">
        <v>83</v>
      </c>
      <c r="C443">
        <v>66</v>
      </c>
      <c r="D443">
        <v>23</v>
      </c>
      <c r="E443">
        <v>50</v>
      </c>
      <c r="F443">
        <v>32</v>
      </c>
      <c r="G443">
        <v>0.67200000000000004</v>
      </c>
      <c r="H443">
        <v>22</v>
      </c>
      <c r="I443">
        <v>0</v>
      </c>
      <c r="J443">
        <f>IF(AND(Table2[[#This Row],[BMI]]&gt;=23,Table2[[#This Row],[Outcome]]=1),1,0)</f>
        <v>0</v>
      </c>
      <c r="K443">
        <f>IF(AND(Table2[[#This Row],[BMI+Outcome]]=1,Table2[[#This Row],[Glucose]]&gt;=100),1,0)</f>
        <v>0</v>
      </c>
      <c r="L443">
        <f>IF(AND(Table2[[#This Row],[Outcome]]=1,Table2[[#This Row],[Glucose]]&gt;=100),1,0)</f>
        <v>0</v>
      </c>
    </row>
    <row r="444" spans="1:12" x14ac:dyDescent="0.25">
      <c r="A444">
        <v>4</v>
      </c>
      <c r="B444">
        <v>117</v>
      </c>
      <c r="C444">
        <v>64</v>
      </c>
      <c r="D444">
        <v>27</v>
      </c>
      <c r="E444">
        <v>120</v>
      </c>
      <c r="F444">
        <v>33</v>
      </c>
      <c r="G444">
        <v>0.67200000000000004</v>
      </c>
      <c r="H444">
        <v>24</v>
      </c>
      <c r="I444">
        <v>0</v>
      </c>
      <c r="J444">
        <f>IF(AND(Table2[[#This Row],[BMI]]&gt;=23,Table2[[#This Row],[Outcome]]=1),1,0)</f>
        <v>0</v>
      </c>
      <c r="K444">
        <f>IF(AND(Table2[[#This Row],[BMI+Outcome]]=1,Table2[[#This Row],[Glucose]]&gt;=100),1,0)</f>
        <v>0</v>
      </c>
      <c r="L444">
        <f>IF(AND(Table2[[#This Row],[Outcome]]=1,Table2[[#This Row],[Glucose]]&gt;=100),1,0)</f>
        <v>0</v>
      </c>
    </row>
    <row r="445" spans="1:12" x14ac:dyDescent="0.25">
      <c r="A445">
        <v>8</v>
      </c>
      <c r="B445">
        <v>108</v>
      </c>
      <c r="C445">
        <v>70</v>
      </c>
      <c r="D445">
        <v>21</v>
      </c>
      <c r="E445">
        <v>80</v>
      </c>
      <c r="F445">
        <v>30</v>
      </c>
      <c r="G445">
        <v>0.67200000000000004</v>
      </c>
      <c r="H445">
        <v>33</v>
      </c>
      <c r="I445">
        <v>1</v>
      </c>
      <c r="J445">
        <f>IF(AND(Table2[[#This Row],[BMI]]&gt;=23,Table2[[#This Row],[Outcome]]=1),1,0)</f>
        <v>1</v>
      </c>
      <c r="K445">
        <f>IF(AND(Table2[[#This Row],[BMI+Outcome]]=1,Table2[[#This Row],[Glucose]]&gt;=100),1,0)</f>
        <v>1</v>
      </c>
      <c r="L445">
        <f>IF(AND(Table2[[#This Row],[Outcome]]=1,Table2[[#This Row],[Glucose]]&gt;=100),1,0)</f>
        <v>1</v>
      </c>
    </row>
    <row r="446" spans="1:12" x14ac:dyDescent="0.25">
      <c r="A446">
        <v>4</v>
      </c>
      <c r="B446">
        <v>117</v>
      </c>
      <c r="C446">
        <v>62</v>
      </c>
      <c r="D446">
        <v>12</v>
      </c>
      <c r="E446">
        <v>80</v>
      </c>
      <c r="F446">
        <v>30</v>
      </c>
      <c r="G446">
        <v>0.67200000000000004</v>
      </c>
      <c r="H446">
        <v>30</v>
      </c>
      <c r="I446">
        <v>1</v>
      </c>
      <c r="J446">
        <f>IF(AND(Table2[[#This Row],[BMI]]&gt;=23,Table2[[#This Row],[Outcome]]=1),1,0)</f>
        <v>1</v>
      </c>
      <c r="K446">
        <f>IF(AND(Table2[[#This Row],[BMI+Outcome]]=1,Table2[[#This Row],[Glucose]]&gt;=100),1,0)</f>
        <v>1</v>
      </c>
      <c r="L446">
        <f>IF(AND(Table2[[#This Row],[Outcome]]=1,Table2[[#This Row],[Glucose]]&gt;=100),1,0)</f>
        <v>1</v>
      </c>
    </row>
    <row r="447" spans="1:12" x14ac:dyDescent="0.25">
      <c r="A447">
        <v>4</v>
      </c>
      <c r="B447">
        <v>180</v>
      </c>
      <c r="C447">
        <v>78</v>
      </c>
      <c r="D447">
        <v>63</v>
      </c>
      <c r="E447">
        <v>14</v>
      </c>
      <c r="F447">
        <v>59</v>
      </c>
      <c r="G447">
        <v>0.67200000000000004</v>
      </c>
      <c r="H447">
        <v>25</v>
      </c>
      <c r="I447">
        <v>1</v>
      </c>
      <c r="J447">
        <f>IF(AND(Table2[[#This Row],[BMI]]&gt;=23,Table2[[#This Row],[Outcome]]=1),1,0)</f>
        <v>1</v>
      </c>
      <c r="K447">
        <f>IF(AND(Table2[[#This Row],[BMI+Outcome]]=1,Table2[[#This Row],[Glucose]]&gt;=100),1,0)</f>
        <v>1</v>
      </c>
      <c r="L447">
        <f>IF(AND(Table2[[#This Row],[Outcome]]=1,Table2[[#This Row],[Glucose]]&gt;=100),1,0)</f>
        <v>1</v>
      </c>
    </row>
    <row r="448" spans="1:12" x14ac:dyDescent="0.25">
      <c r="A448">
        <v>1</v>
      </c>
      <c r="B448">
        <v>100</v>
      </c>
      <c r="C448">
        <v>72</v>
      </c>
      <c r="D448">
        <v>12</v>
      </c>
      <c r="E448">
        <v>70</v>
      </c>
      <c r="F448">
        <v>25</v>
      </c>
      <c r="G448">
        <v>0.67200000000000004</v>
      </c>
      <c r="H448">
        <v>28</v>
      </c>
      <c r="I448">
        <v>0</v>
      </c>
      <c r="J448">
        <f>IF(AND(Table2[[#This Row],[BMI]]&gt;=23,Table2[[#This Row],[Outcome]]=1),1,0)</f>
        <v>0</v>
      </c>
      <c r="K448">
        <f>IF(AND(Table2[[#This Row],[BMI+Outcome]]=1,Table2[[#This Row],[Glucose]]&gt;=100),1,0)</f>
        <v>0</v>
      </c>
      <c r="L448">
        <f>IF(AND(Table2[[#This Row],[Outcome]]=1,Table2[[#This Row],[Glucose]]&gt;=100),1,0)</f>
        <v>0</v>
      </c>
    </row>
    <row r="449" spans="1:12" x14ac:dyDescent="0.25">
      <c r="A449">
        <v>4</v>
      </c>
      <c r="B449">
        <v>95</v>
      </c>
      <c r="C449">
        <v>80</v>
      </c>
      <c r="D449">
        <v>45</v>
      </c>
      <c r="E449">
        <v>92</v>
      </c>
      <c r="F449">
        <v>36</v>
      </c>
      <c r="G449">
        <v>0.67200000000000004</v>
      </c>
      <c r="H449">
        <v>26</v>
      </c>
      <c r="I449">
        <v>0</v>
      </c>
      <c r="J449">
        <f>IF(AND(Table2[[#This Row],[BMI]]&gt;=23,Table2[[#This Row],[Outcome]]=1),1,0)</f>
        <v>0</v>
      </c>
      <c r="K449">
        <f>IF(AND(Table2[[#This Row],[BMI+Outcome]]=1,Table2[[#This Row],[Glucose]]&gt;=100),1,0)</f>
        <v>0</v>
      </c>
      <c r="L449">
        <f>IF(AND(Table2[[#This Row],[Outcome]]=1,Table2[[#This Row],[Glucose]]&gt;=100),1,0)</f>
        <v>0</v>
      </c>
    </row>
    <row r="450" spans="1:12" x14ac:dyDescent="0.25">
      <c r="A450">
        <v>4</v>
      </c>
      <c r="B450">
        <v>104</v>
      </c>
      <c r="C450">
        <v>64</v>
      </c>
      <c r="D450">
        <v>37</v>
      </c>
      <c r="E450">
        <v>64</v>
      </c>
      <c r="F450">
        <v>34</v>
      </c>
      <c r="G450">
        <v>0.67200000000000004</v>
      </c>
      <c r="H450">
        <v>22</v>
      </c>
      <c r="I450">
        <v>1</v>
      </c>
      <c r="J450">
        <f>IF(AND(Table2[[#This Row],[BMI]]&gt;=23,Table2[[#This Row],[Outcome]]=1),1,0)</f>
        <v>1</v>
      </c>
      <c r="K450">
        <f>IF(AND(Table2[[#This Row],[BMI+Outcome]]=1,Table2[[#This Row],[Glucose]]&gt;=100),1,0)</f>
        <v>1</v>
      </c>
      <c r="L450">
        <f>IF(AND(Table2[[#This Row],[Outcome]]=1,Table2[[#This Row],[Glucose]]&gt;=100),1,0)</f>
        <v>1</v>
      </c>
    </row>
    <row r="451" spans="1:12" x14ac:dyDescent="0.25">
      <c r="A451">
        <v>4</v>
      </c>
      <c r="B451">
        <v>120</v>
      </c>
      <c r="C451">
        <v>74</v>
      </c>
      <c r="D451">
        <v>18</v>
      </c>
      <c r="E451">
        <v>63</v>
      </c>
      <c r="F451">
        <v>30</v>
      </c>
      <c r="G451">
        <v>0.67200000000000004</v>
      </c>
      <c r="H451">
        <v>26</v>
      </c>
      <c r="I451">
        <v>0</v>
      </c>
      <c r="J451">
        <f>IF(AND(Table2[[#This Row],[BMI]]&gt;=23,Table2[[#This Row],[Outcome]]=1),1,0)</f>
        <v>0</v>
      </c>
      <c r="K451">
        <f>IF(AND(Table2[[#This Row],[BMI+Outcome]]=1,Table2[[#This Row],[Glucose]]&gt;=100),1,0)</f>
        <v>0</v>
      </c>
      <c r="L451">
        <f>IF(AND(Table2[[#This Row],[Outcome]]=1,Table2[[#This Row],[Glucose]]&gt;=100),1,0)</f>
        <v>0</v>
      </c>
    </row>
    <row r="452" spans="1:12" x14ac:dyDescent="0.25">
      <c r="A452">
        <v>1</v>
      </c>
      <c r="B452">
        <v>82</v>
      </c>
      <c r="C452">
        <v>64</v>
      </c>
      <c r="D452">
        <v>13</v>
      </c>
      <c r="E452">
        <v>95</v>
      </c>
      <c r="F452">
        <v>21</v>
      </c>
      <c r="G452">
        <v>0.67200000000000004</v>
      </c>
      <c r="H452">
        <v>23</v>
      </c>
      <c r="I452">
        <v>0</v>
      </c>
      <c r="J452">
        <f>IF(AND(Table2[[#This Row],[BMI]]&gt;=23,Table2[[#This Row],[Outcome]]=1),1,0)</f>
        <v>0</v>
      </c>
      <c r="K452">
        <f>IF(AND(Table2[[#This Row],[BMI+Outcome]]=1,Table2[[#This Row],[Glucose]]&gt;=100),1,0)</f>
        <v>0</v>
      </c>
      <c r="L452">
        <f>IF(AND(Table2[[#This Row],[Outcome]]=1,Table2[[#This Row],[Glucose]]&gt;=100),1,0)</f>
        <v>0</v>
      </c>
    </row>
    <row r="453" spans="1:12" x14ac:dyDescent="0.25">
      <c r="A453">
        <v>2</v>
      </c>
      <c r="B453">
        <v>134</v>
      </c>
      <c r="C453">
        <v>70</v>
      </c>
      <c r="D453">
        <v>21</v>
      </c>
      <c r="E453">
        <v>80</v>
      </c>
      <c r="F453">
        <v>29</v>
      </c>
      <c r="G453">
        <v>0.67200000000000004</v>
      </c>
      <c r="H453">
        <v>23</v>
      </c>
      <c r="I453">
        <v>1</v>
      </c>
      <c r="J453">
        <f>IF(AND(Table2[[#This Row],[BMI]]&gt;=23,Table2[[#This Row],[Outcome]]=1),1,0)</f>
        <v>1</v>
      </c>
      <c r="K453">
        <f>IF(AND(Table2[[#This Row],[BMI+Outcome]]=1,Table2[[#This Row],[Glucose]]&gt;=100),1,0)</f>
        <v>1</v>
      </c>
      <c r="L453">
        <f>IF(AND(Table2[[#This Row],[Outcome]]=1,Table2[[#This Row],[Glucose]]&gt;=100),1,0)</f>
        <v>1</v>
      </c>
    </row>
    <row r="454" spans="1:12" x14ac:dyDescent="0.25">
      <c r="A454">
        <v>4</v>
      </c>
      <c r="B454">
        <v>91</v>
      </c>
      <c r="C454">
        <v>68</v>
      </c>
      <c r="D454">
        <v>32</v>
      </c>
      <c r="E454">
        <v>210</v>
      </c>
      <c r="F454">
        <v>40</v>
      </c>
      <c r="G454">
        <v>0.67200000000000004</v>
      </c>
      <c r="H454">
        <v>25</v>
      </c>
      <c r="I454">
        <v>0</v>
      </c>
      <c r="J454">
        <f>IF(AND(Table2[[#This Row],[BMI]]&gt;=23,Table2[[#This Row],[Outcome]]=1),1,0)</f>
        <v>0</v>
      </c>
      <c r="K454">
        <f>IF(AND(Table2[[#This Row],[BMI+Outcome]]=1,Table2[[#This Row],[Glucose]]&gt;=100),1,0)</f>
        <v>0</v>
      </c>
      <c r="L454">
        <f>IF(AND(Table2[[#This Row],[Outcome]]=1,Table2[[#This Row],[Glucose]]&gt;=100),1,0)</f>
        <v>0</v>
      </c>
    </row>
    <row r="455" spans="1:12" x14ac:dyDescent="0.25">
      <c r="A455">
        <v>2</v>
      </c>
      <c r="B455">
        <v>119</v>
      </c>
      <c r="C455">
        <v>69</v>
      </c>
      <c r="D455">
        <v>21</v>
      </c>
      <c r="E455">
        <v>80</v>
      </c>
      <c r="F455">
        <v>20</v>
      </c>
      <c r="G455">
        <v>0.67200000000000004</v>
      </c>
      <c r="H455">
        <v>72</v>
      </c>
      <c r="I455">
        <v>0</v>
      </c>
      <c r="J455">
        <f>IF(AND(Table2[[#This Row],[BMI]]&gt;=23,Table2[[#This Row],[Outcome]]=1),1,0)</f>
        <v>0</v>
      </c>
      <c r="K455">
        <f>IF(AND(Table2[[#This Row],[BMI+Outcome]]=1,Table2[[#This Row],[Glucose]]&gt;=100),1,0)</f>
        <v>0</v>
      </c>
      <c r="L455">
        <f>IF(AND(Table2[[#This Row],[Outcome]]=1,Table2[[#This Row],[Glucose]]&gt;=100),1,0)</f>
        <v>0</v>
      </c>
    </row>
    <row r="456" spans="1:12" x14ac:dyDescent="0.25">
      <c r="A456">
        <v>2</v>
      </c>
      <c r="B456">
        <v>100</v>
      </c>
      <c r="C456">
        <v>54</v>
      </c>
      <c r="D456">
        <v>28</v>
      </c>
      <c r="E456">
        <v>105</v>
      </c>
      <c r="F456">
        <v>38</v>
      </c>
      <c r="G456">
        <v>0.67200000000000004</v>
      </c>
      <c r="H456">
        <v>24</v>
      </c>
      <c r="I456">
        <v>0</v>
      </c>
      <c r="J456">
        <f>IF(AND(Table2[[#This Row],[BMI]]&gt;=23,Table2[[#This Row],[Outcome]]=1),1,0)</f>
        <v>0</v>
      </c>
      <c r="K456">
        <f>IF(AND(Table2[[#This Row],[BMI+Outcome]]=1,Table2[[#This Row],[Glucose]]&gt;=100),1,0)</f>
        <v>0</v>
      </c>
      <c r="L456">
        <f>IF(AND(Table2[[#This Row],[Outcome]]=1,Table2[[#This Row],[Glucose]]&gt;=100),1,0)</f>
        <v>0</v>
      </c>
    </row>
    <row r="457" spans="1:12" x14ac:dyDescent="0.25">
      <c r="A457">
        <v>14</v>
      </c>
      <c r="B457">
        <v>175</v>
      </c>
      <c r="C457">
        <v>62</v>
      </c>
      <c r="D457">
        <v>30</v>
      </c>
      <c r="E457">
        <v>80</v>
      </c>
      <c r="F457">
        <v>34</v>
      </c>
      <c r="G457">
        <v>0.67200000000000004</v>
      </c>
      <c r="H457">
        <v>38</v>
      </c>
      <c r="I457">
        <v>1</v>
      </c>
      <c r="J457">
        <f>IF(AND(Table2[[#This Row],[BMI]]&gt;=23,Table2[[#This Row],[Outcome]]=1),1,0)</f>
        <v>1</v>
      </c>
      <c r="K457">
        <f>IF(AND(Table2[[#This Row],[BMI+Outcome]]=1,Table2[[#This Row],[Glucose]]&gt;=100),1,0)</f>
        <v>1</v>
      </c>
      <c r="L457">
        <f>IF(AND(Table2[[#This Row],[Outcome]]=1,Table2[[#This Row],[Glucose]]&gt;=100),1,0)</f>
        <v>1</v>
      </c>
    </row>
    <row r="458" spans="1:12" x14ac:dyDescent="0.25">
      <c r="A458">
        <v>1</v>
      </c>
      <c r="B458">
        <v>135</v>
      </c>
      <c r="C458">
        <v>54</v>
      </c>
      <c r="D458">
        <v>21</v>
      </c>
      <c r="E458">
        <v>80</v>
      </c>
      <c r="F458">
        <v>27</v>
      </c>
      <c r="G458">
        <v>0.67200000000000004</v>
      </c>
      <c r="H458">
        <v>62</v>
      </c>
      <c r="I458">
        <v>0</v>
      </c>
      <c r="J458">
        <f>IF(AND(Table2[[#This Row],[BMI]]&gt;=23,Table2[[#This Row],[Outcome]]=1),1,0)</f>
        <v>0</v>
      </c>
      <c r="K458">
        <f>IF(AND(Table2[[#This Row],[BMI+Outcome]]=1,Table2[[#This Row],[Glucose]]&gt;=100),1,0)</f>
        <v>0</v>
      </c>
      <c r="L458">
        <f>IF(AND(Table2[[#This Row],[Outcome]]=1,Table2[[#This Row],[Glucose]]&gt;=100),1,0)</f>
        <v>0</v>
      </c>
    </row>
    <row r="459" spans="1:12" x14ac:dyDescent="0.25">
      <c r="A459">
        <v>5</v>
      </c>
      <c r="B459">
        <v>86</v>
      </c>
      <c r="C459">
        <v>68</v>
      </c>
      <c r="D459">
        <v>28</v>
      </c>
      <c r="E459">
        <v>71</v>
      </c>
      <c r="F459">
        <v>30</v>
      </c>
      <c r="G459">
        <v>0.67200000000000004</v>
      </c>
      <c r="H459">
        <v>24</v>
      </c>
      <c r="I459">
        <v>0</v>
      </c>
      <c r="J459">
        <f>IF(AND(Table2[[#This Row],[BMI]]&gt;=23,Table2[[#This Row],[Outcome]]=1),1,0)</f>
        <v>0</v>
      </c>
      <c r="K459">
        <f>IF(AND(Table2[[#This Row],[BMI+Outcome]]=1,Table2[[#This Row],[Glucose]]&gt;=100),1,0)</f>
        <v>0</v>
      </c>
      <c r="L459">
        <f>IF(AND(Table2[[#This Row],[Outcome]]=1,Table2[[#This Row],[Glucose]]&gt;=100),1,0)</f>
        <v>0</v>
      </c>
    </row>
    <row r="460" spans="1:12" x14ac:dyDescent="0.25">
      <c r="A460">
        <v>10</v>
      </c>
      <c r="B460">
        <v>148</v>
      </c>
      <c r="C460">
        <v>84</v>
      </c>
      <c r="D460">
        <v>48</v>
      </c>
      <c r="E460">
        <v>237</v>
      </c>
      <c r="F460">
        <v>38</v>
      </c>
      <c r="G460">
        <v>0.67200000000000004</v>
      </c>
      <c r="H460">
        <v>51</v>
      </c>
      <c r="I460">
        <v>1</v>
      </c>
      <c r="J460">
        <f>IF(AND(Table2[[#This Row],[BMI]]&gt;=23,Table2[[#This Row],[Outcome]]=1),1,0)</f>
        <v>1</v>
      </c>
      <c r="K460">
        <f>IF(AND(Table2[[#This Row],[BMI+Outcome]]=1,Table2[[#This Row],[Glucose]]&gt;=100),1,0)</f>
        <v>1</v>
      </c>
      <c r="L460">
        <f>IF(AND(Table2[[#This Row],[Outcome]]=1,Table2[[#This Row],[Glucose]]&gt;=100),1,0)</f>
        <v>1</v>
      </c>
    </row>
    <row r="461" spans="1:12" x14ac:dyDescent="0.25">
      <c r="A461">
        <v>9</v>
      </c>
      <c r="B461">
        <v>134</v>
      </c>
      <c r="C461">
        <v>74</v>
      </c>
      <c r="D461">
        <v>33</v>
      </c>
      <c r="E461">
        <v>60</v>
      </c>
      <c r="F461">
        <v>26</v>
      </c>
      <c r="G461">
        <v>0.67200000000000004</v>
      </c>
      <c r="H461">
        <v>81</v>
      </c>
      <c r="I461">
        <v>0</v>
      </c>
      <c r="J461">
        <f>IF(AND(Table2[[#This Row],[BMI]]&gt;=23,Table2[[#This Row],[Outcome]]=1),1,0)</f>
        <v>0</v>
      </c>
      <c r="K461">
        <f>IF(AND(Table2[[#This Row],[BMI+Outcome]]=1,Table2[[#This Row],[Glucose]]&gt;=100),1,0)</f>
        <v>0</v>
      </c>
      <c r="L461">
        <f>IF(AND(Table2[[#This Row],[Outcome]]=1,Table2[[#This Row],[Glucose]]&gt;=100),1,0)</f>
        <v>0</v>
      </c>
    </row>
    <row r="462" spans="1:12" x14ac:dyDescent="0.25">
      <c r="A462">
        <v>9</v>
      </c>
      <c r="B462">
        <v>120</v>
      </c>
      <c r="C462">
        <v>72</v>
      </c>
      <c r="D462">
        <v>22</v>
      </c>
      <c r="E462">
        <v>56</v>
      </c>
      <c r="F462">
        <v>21</v>
      </c>
      <c r="G462">
        <v>0.67200000000000004</v>
      </c>
      <c r="H462">
        <v>48</v>
      </c>
      <c r="I462">
        <v>0</v>
      </c>
      <c r="J462">
        <f>IF(AND(Table2[[#This Row],[BMI]]&gt;=23,Table2[[#This Row],[Outcome]]=1),1,0)</f>
        <v>0</v>
      </c>
      <c r="K462">
        <f>IF(AND(Table2[[#This Row],[BMI+Outcome]]=1,Table2[[#This Row],[Glucose]]&gt;=100),1,0)</f>
        <v>0</v>
      </c>
      <c r="L462">
        <f>IF(AND(Table2[[#This Row],[Outcome]]=1,Table2[[#This Row],[Glucose]]&gt;=100),1,0)</f>
        <v>0</v>
      </c>
    </row>
    <row r="463" spans="1:12" x14ac:dyDescent="0.25">
      <c r="A463">
        <v>1</v>
      </c>
      <c r="B463">
        <v>71</v>
      </c>
      <c r="C463">
        <v>62</v>
      </c>
      <c r="D463">
        <v>21</v>
      </c>
      <c r="E463">
        <v>80</v>
      </c>
      <c r="F463">
        <v>22</v>
      </c>
      <c r="G463">
        <v>0.67200000000000004</v>
      </c>
      <c r="H463">
        <v>26</v>
      </c>
      <c r="I463">
        <v>0</v>
      </c>
      <c r="J463">
        <f>IF(AND(Table2[[#This Row],[BMI]]&gt;=23,Table2[[#This Row],[Outcome]]=1),1,0)</f>
        <v>0</v>
      </c>
      <c r="K463">
        <f>IF(AND(Table2[[#This Row],[BMI+Outcome]]=1,Table2[[#This Row],[Glucose]]&gt;=100),1,0)</f>
        <v>0</v>
      </c>
      <c r="L463">
        <f>IF(AND(Table2[[#This Row],[Outcome]]=1,Table2[[#This Row],[Glucose]]&gt;=100),1,0)</f>
        <v>0</v>
      </c>
    </row>
    <row r="464" spans="1:12" x14ac:dyDescent="0.25">
      <c r="A464">
        <v>8</v>
      </c>
      <c r="B464">
        <v>74</v>
      </c>
      <c r="C464">
        <v>70</v>
      </c>
      <c r="D464">
        <v>40</v>
      </c>
      <c r="E464">
        <v>49</v>
      </c>
      <c r="F464">
        <v>35</v>
      </c>
      <c r="G464">
        <v>0.67200000000000004</v>
      </c>
      <c r="H464">
        <v>39</v>
      </c>
      <c r="I464">
        <v>0</v>
      </c>
      <c r="J464">
        <f>IF(AND(Table2[[#This Row],[BMI]]&gt;=23,Table2[[#This Row],[Outcome]]=1),1,0)</f>
        <v>0</v>
      </c>
      <c r="K464">
        <f>IF(AND(Table2[[#This Row],[BMI+Outcome]]=1,Table2[[#This Row],[Glucose]]&gt;=100),1,0)</f>
        <v>0</v>
      </c>
      <c r="L464">
        <f>IF(AND(Table2[[#This Row],[Outcome]]=1,Table2[[#This Row],[Glucose]]&gt;=100),1,0)</f>
        <v>0</v>
      </c>
    </row>
    <row r="465" spans="1:12" x14ac:dyDescent="0.25">
      <c r="A465">
        <v>5</v>
      </c>
      <c r="B465">
        <v>88</v>
      </c>
      <c r="C465">
        <v>78</v>
      </c>
      <c r="D465">
        <v>30</v>
      </c>
      <c r="E465">
        <v>80</v>
      </c>
      <c r="F465">
        <v>28</v>
      </c>
      <c r="G465">
        <v>0.67200000000000004</v>
      </c>
      <c r="H465">
        <v>37</v>
      </c>
      <c r="I465">
        <v>0</v>
      </c>
      <c r="J465">
        <f>IF(AND(Table2[[#This Row],[BMI]]&gt;=23,Table2[[#This Row],[Outcome]]=1),1,0)</f>
        <v>0</v>
      </c>
      <c r="K465">
        <f>IF(AND(Table2[[#This Row],[BMI+Outcome]]=1,Table2[[#This Row],[Glucose]]&gt;=100),1,0)</f>
        <v>0</v>
      </c>
      <c r="L465">
        <f>IF(AND(Table2[[#This Row],[Outcome]]=1,Table2[[#This Row],[Glucose]]&gt;=100),1,0)</f>
        <v>0</v>
      </c>
    </row>
    <row r="466" spans="1:12" x14ac:dyDescent="0.25">
      <c r="A466">
        <v>10</v>
      </c>
      <c r="B466">
        <v>115</v>
      </c>
      <c r="C466">
        <v>98</v>
      </c>
      <c r="D466">
        <v>21</v>
      </c>
      <c r="E466">
        <v>80</v>
      </c>
      <c r="F466">
        <v>24</v>
      </c>
      <c r="G466">
        <v>0.67200000000000004</v>
      </c>
      <c r="H466">
        <v>34</v>
      </c>
      <c r="I466">
        <v>0</v>
      </c>
      <c r="J466">
        <f>IF(AND(Table2[[#This Row],[BMI]]&gt;=23,Table2[[#This Row],[Outcome]]=1),1,0)</f>
        <v>0</v>
      </c>
      <c r="K466">
        <f>IF(AND(Table2[[#This Row],[BMI+Outcome]]=1,Table2[[#This Row],[Glucose]]&gt;=100),1,0)</f>
        <v>0</v>
      </c>
      <c r="L466">
        <f>IF(AND(Table2[[#This Row],[Outcome]]=1,Table2[[#This Row],[Glucose]]&gt;=100),1,0)</f>
        <v>0</v>
      </c>
    </row>
    <row r="467" spans="1:12" x14ac:dyDescent="0.25">
      <c r="A467">
        <v>4</v>
      </c>
      <c r="B467">
        <v>124</v>
      </c>
      <c r="C467">
        <v>56</v>
      </c>
      <c r="D467">
        <v>13</v>
      </c>
      <c r="E467">
        <v>105</v>
      </c>
      <c r="F467">
        <v>22</v>
      </c>
      <c r="G467">
        <v>0.67200000000000004</v>
      </c>
      <c r="H467">
        <v>21</v>
      </c>
      <c r="I467">
        <v>0</v>
      </c>
      <c r="J467">
        <f>IF(AND(Table2[[#This Row],[BMI]]&gt;=23,Table2[[#This Row],[Outcome]]=1),1,0)</f>
        <v>0</v>
      </c>
      <c r="K467">
        <f>IF(AND(Table2[[#This Row],[BMI+Outcome]]=1,Table2[[#This Row],[Glucose]]&gt;=100),1,0)</f>
        <v>0</v>
      </c>
      <c r="L467">
        <f>IF(AND(Table2[[#This Row],[Outcome]]=1,Table2[[#This Row],[Glucose]]&gt;=100),1,0)</f>
        <v>0</v>
      </c>
    </row>
    <row r="468" spans="1:12" x14ac:dyDescent="0.25">
      <c r="A468">
        <v>4</v>
      </c>
      <c r="B468">
        <v>74</v>
      </c>
      <c r="C468">
        <v>52</v>
      </c>
      <c r="D468">
        <v>10</v>
      </c>
      <c r="E468">
        <v>36</v>
      </c>
      <c r="F468">
        <v>28</v>
      </c>
      <c r="G468">
        <v>0.67200000000000004</v>
      </c>
      <c r="H468">
        <v>22</v>
      </c>
      <c r="I468">
        <v>0</v>
      </c>
      <c r="J468">
        <f>IF(AND(Table2[[#This Row],[BMI]]&gt;=23,Table2[[#This Row],[Outcome]]=1),1,0)</f>
        <v>0</v>
      </c>
      <c r="K468">
        <f>IF(AND(Table2[[#This Row],[BMI+Outcome]]=1,Table2[[#This Row],[Glucose]]&gt;=100),1,0)</f>
        <v>0</v>
      </c>
      <c r="L468">
        <f>IF(AND(Table2[[#This Row],[Outcome]]=1,Table2[[#This Row],[Glucose]]&gt;=100),1,0)</f>
        <v>0</v>
      </c>
    </row>
    <row r="469" spans="1:12" x14ac:dyDescent="0.25">
      <c r="A469">
        <v>4</v>
      </c>
      <c r="B469">
        <v>97</v>
      </c>
      <c r="C469">
        <v>64</v>
      </c>
      <c r="D469">
        <v>36</v>
      </c>
      <c r="E469">
        <v>100</v>
      </c>
      <c r="F469">
        <v>37</v>
      </c>
      <c r="G469">
        <v>0.67200000000000004</v>
      </c>
      <c r="H469">
        <v>25</v>
      </c>
      <c r="I469">
        <v>0</v>
      </c>
      <c r="J469">
        <f>IF(AND(Table2[[#This Row],[BMI]]&gt;=23,Table2[[#This Row],[Outcome]]=1),1,0)</f>
        <v>0</v>
      </c>
      <c r="K469">
        <f>IF(AND(Table2[[#This Row],[BMI+Outcome]]=1,Table2[[#This Row],[Glucose]]&gt;=100),1,0)</f>
        <v>0</v>
      </c>
      <c r="L469">
        <f>IF(AND(Table2[[#This Row],[Outcome]]=1,Table2[[#This Row],[Glucose]]&gt;=100),1,0)</f>
        <v>0</v>
      </c>
    </row>
    <row r="470" spans="1:12" x14ac:dyDescent="0.25">
      <c r="A470">
        <v>8</v>
      </c>
      <c r="B470">
        <v>120</v>
      </c>
      <c r="C470">
        <v>69</v>
      </c>
      <c r="D470">
        <v>21</v>
      </c>
      <c r="E470">
        <v>80</v>
      </c>
      <c r="F470">
        <v>30</v>
      </c>
      <c r="G470">
        <v>0.67200000000000004</v>
      </c>
      <c r="H470">
        <v>38</v>
      </c>
      <c r="I470">
        <v>1</v>
      </c>
      <c r="J470">
        <f>IF(AND(Table2[[#This Row],[BMI]]&gt;=23,Table2[[#This Row],[Outcome]]=1),1,0)</f>
        <v>1</v>
      </c>
      <c r="K470">
        <f>IF(AND(Table2[[#This Row],[BMI+Outcome]]=1,Table2[[#This Row],[Glucose]]&gt;=100),1,0)</f>
        <v>1</v>
      </c>
      <c r="L470">
        <f>IF(AND(Table2[[#This Row],[Outcome]]=1,Table2[[#This Row],[Glucose]]&gt;=100),1,0)</f>
        <v>1</v>
      </c>
    </row>
    <row r="471" spans="1:12" x14ac:dyDescent="0.25">
      <c r="A471">
        <v>6</v>
      </c>
      <c r="B471">
        <v>154</v>
      </c>
      <c r="C471">
        <v>78</v>
      </c>
      <c r="D471">
        <v>41</v>
      </c>
      <c r="E471">
        <v>140</v>
      </c>
      <c r="F471">
        <v>46</v>
      </c>
      <c r="G471">
        <v>0.67200000000000004</v>
      </c>
      <c r="H471">
        <v>27</v>
      </c>
      <c r="I471">
        <v>0</v>
      </c>
      <c r="J471">
        <f>IF(AND(Table2[[#This Row],[BMI]]&gt;=23,Table2[[#This Row],[Outcome]]=1),1,0)</f>
        <v>0</v>
      </c>
      <c r="K471">
        <f>IF(AND(Table2[[#This Row],[BMI+Outcome]]=1,Table2[[#This Row],[Glucose]]&gt;=100),1,0)</f>
        <v>0</v>
      </c>
      <c r="L471">
        <f>IF(AND(Table2[[#This Row],[Outcome]]=1,Table2[[#This Row],[Glucose]]&gt;=100),1,0)</f>
        <v>0</v>
      </c>
    </row>
    <row r="472" spans="1:12" x14ac:dyDescent="0.25">
      <c r="A472">
        <v>1</v>
      </c>
      <c r="B472">
        <v>144</v>
      </c>
      <c r="C472">
        <v>82</v>
      </c>
      <c r="D472">
        <v>40</v>
      </c>
      <c r="E472">
        <v>80</v>
      </c>
      <c r="F472">
        <v>41</v>
      </c>
      <c r="G472">
        <v>0.67200000000000004</v>
      </c>
      <c r="H472">
        <v>28</v>
      </c>
      <c r="I472">
        <v>0</v>
      </c>
      <c r="J472">
        <f>IF(AND(Table2[[#This Row],[BMI]]&gt;=23,Table2[[#This Row],[Outcome]]=1),1,0)</f>
        <v>0</v>
      </c>
      <c r="K472">
        <f>IF(AND(Table2[[#This Row],[BMI+Outcome]]=1,Table2[[#This Row],[Glucose]]&gt;=100),1,0)</f>
        <v>0</v>
      </c>
      <c r="L472">
        <f>IF(AND(Table2[[#This Row],[Outcome]]=1,Table2[[#This Row],[Glucose]]&gt;=100),1,0)</f>
        <v>0</v>
      </c>
    </row>
    <row r="473" spans="1:12" x14ac:dyDescent="0.25">
      <c r="A473">
        <v>4</v>
      </c>
      <c r="B473">
        <v>137</v>
      </c>
      <c r="C473">
        <v>70</v>
      </c>
      <c r="D473">
        <v>38</v>
      </c>
      <c r="E473">
        <v>80</v>
      </c>
      <c r="F473">
        <v>33</v>
      </c>
      <c r="G473">
        <v>0.67200000000000004</v>
      </c>
      <c r="H473">
        <v>22</v>
      </c>
      <c r="I473">
        <v>0</v>
      </c>
      <c r="J473">
        <f>IF(AND(Table2[[#This Row],[BMI]]&gt;=23,Table2[[#This Row],[Outcome]]=1),1,0)</f>
        <v>0</v>
      </c>
      <c r="K473">
        <f>IF(AND(Table2[[#This Row],[BMI+Outcome]]=1,Table2[[#This Row],[Glucose]]&gt;=100),1,0)</f>
        <v>0</v>
      </c>
      <c r="L473">
        <f>IF(AND(Table2[[#This Row],[Outcome]]=1,Table2[[#This Row],[Glucose]]&gt;=100),1,0)</f>
        <v>0</v>
      </c>
    </row>
    <row r="474" spans="1:12" x14ac:dyDescent="0.25">
      <c r="A474">
        <v>4</v>
      </c>
      <c r="B474">
        <v>119</v>
      </c>
      <c r="C474">
        <v>66</v>
      </c>
      <c r="D474">
        <v>27</v>
      </c>
      <c r="E474">
        <v>80</v>
      </c>
      <c r="F474">
        <v>39</v>
      </c>
      <c r="G474">
        <v>0.67200000000000004</v>
      </c>
      <c r="H474">
        <v>22</v>
      </c>
      <c r="I474">
        <v>0</v>
      </c>
      <c r="J474">
        <f>IF(AND(Table2[[#This Row],[BMI]]&gt;=23,Table2[[#This Row],[Outcome]]=1),1,0)</f>
        <v>0</v>
      </c>
      <c r="K474">
        <f>IF(AND(Table2[[#This Row],[BMI+Outcome]]=1,Table2[[#This Row],[Glucose]]&gt;=100),1,0)</f>
        <v>0</v>
      </c>
      <c r="L474">
        <f>IF(AND(Table2[[#This Row],[Outcome]]=1,Table2[[#This Row],[Glucose]]&gt;=100),1,0)</f>
        <v>0</v>
      </c>
    </row>
    <row r="475" spans="1:12" x14ac:dyDescent="0.25">
      <c r="A475">
        <v>7</v>
      </c>
      <c r="B475">
        <v>136</v>
      </c>
      <c r="C475">
        <v>90</v>
      </c>
      <c r="D475">
        <v>21</v>
      </c>
      <c r="E475">
        <v>80</v>
      </c>
      <c r="F475">
        <v>30</v>
      </c>
      <c r="G475">
        <v>0.67200000000000004</v>
      </c>
      <c r="H475">
        <v>50</v>
      </c>
      <c r="I475">
        <v>0</v>
      </c>
      <c r="J475">
        <f>IF(AND(Table2[[#This Row],[BMI]]&gt;=23,Table2[[#This Row],[Outcome]]=1),1,0)</f>
        <v>0</v>
      </c>
      <c r="K475">
        <f>IF(AND(Table2[[#This Row],[BMI+Outcome]]=1,Table2[[#This Row],[Glucose]]&gt;=100),1,0)</f>
        <v>0</v>
      </c>
      <c r="L475">
        <f>IF(AND(Table2[[#This Row],[Outcome]]=1,Table2[[#This Row],[Glucose]]&gt;=100),1,0)</f>
        <v>0</v>
      </c>
    </row>
    <row r="476" spans="1:12" x14ac:dyDescent="0.25">
      <c r="A476">
        <v>4</v>
      </c>
      <c r="B476">
        <v>114</v>
      </c>
      <c r="C476">
        <v>64</v>
      </c>
      <c r="D476">
        <v>21</v>
      </c>
      <c r="E476">
        <v>80</v>
      </c>
      <c r="F476">
        <v>29</v>
      </c>
      <c r="G476">
        <v>0.67200000000000004</v>
      </c>
      <c r="H476">
        <v>24</v>
      </c>
      <c r="I476">
        <v>0</v>
      </c>
      <c r="J476">
        <f>IF(AND(Table2[[#This Row],[BMI]]&gt;=23,Table2[[#This Row],[Outcome]]=1),1,0)</f>
        <v>0</v>
      </c>
      <c r="K476">
        <f>IF(AND(Table2[[#This Row],[BMI+Outcome]]=1,Table2[[#This Row],[Glucose]]&gt;=100),1,0)</f>
        <v>0</v>
      </c>
      <c r="L476">
        <f>IF(AND(Table2[[#This Row],[Outcome]]=1,Table2[[#This Row],[Glucose]]&gt;=100),1,0)</f>
        <v>0</v>
      </c>
    </row>
    <row r="477" spans="1:12" x14ac:dyDescent="0.25">
      <c r="A477">
        <v>4</v>
      </c>
      <c r="B477">
        <v>137</v>
      </c>
      <c r="C477">
        <v>84</v>
      </c>
      <c r="D477">
        <v>27</v>
      </c>
      <c r="E477">
        <v>80</v>
      </c>
      <c r="F477">
        <v>27</v>
      </c>
      <c r="G477">
        <v>0.67200000000000004</v>
      </c>
      <c r="H477">
        <v>59</v>
      </c>
      <c r="I477">
        <v>0</v>
      </c>
      <c r="J477">
        <f>IF(AND(Table2[[#This Row],[BMI]]&gt;=23,Table2[[#This Row],[Outcome]]=1),1,0)</f>
        <v>0</v>
      </c>
      <c r="K477">
        <f>IF(AND(Table2[[#This Row],[BMI+Outcome]]=1,Table2[[#This Row],[Glucose]]&gt;=100),1,0)</f>
        <v>0</v>
      </c>
      <c r="L477">
        <f>IF(AND(Table2[[#This Row],[Outcome]]=1,Table2[[#This Row],[Glucose]]&gt;=100),1,0)</f>
        <v>0</v>
      </c>
    </row>
    <row r="478" spans="1:12" x14ac:dyDescent="0.25">
      <c r="A478">
        <v>2</v>
      </c>
      <c r="B478">
        <v>105</v>
      </c>
      <c r="C478">
        <v>80</v>
      </c>
      <c r="D478">
        <v>45</v>
      </c>
      <c r="E478">
        <v>191</v>
      </c>
      <c r="F478">
        <v>34</v>
      </c>
      <c r="G478">
        <v>0.67200000000000004</v>
      </c>
      <c r="H478">
        <v>29</v>
      </c>
      <c r="I478">
        <v>1</v>
      </c>
      <c r="J478">
        <f>IF(AND(Table2[[#This Row],[BMI]]&gt;=23,Table2[[#This Row],[Outcome]]=1),1,0)</f>
        <v>1</v>
      </c>
      <c r="K478">
        <f>IF(AND(Table2[[#This Row],[BMI+Outcome]]=1,Table2[[#This Row],[Glucose]]&gt;=100),1,0)</f>
        <v>1</v>
      </c>
      <c r="L478">
        <f>IF(AND(Table2[[#This Row],[Outcome]]=1,Table2[[#This Row],[Glucose]]&gt;=100),1,0)</f>
        <v>1</v>
      </c>
    </row>
    <row r="479" spans="1:12" x14ac:dyDescent="0.25">
      <c r="A479">
        <v>7</v>
      </c>
      <c r="B479">
        <v>114</v>
      </c>
      <c r="C479">
        <v>76</v>
      </c>
      <c r="D479">
        <v>17</v>
      </c>
      <c r="E479">
        <v>110</v>
      </c>
      <c r="F479">
        <v>24</v>
      </c>
      <c r="G479">
        <v>0.67200000000000004</v>
      </c>
      <c r="H479">
        <v>31</v>
      </c>
      <c r="I479">
        <v>0</v>
      </c>
      <c r="J479">
        <f>IF(AND(Table2[[#This Row],[BMI]]&gt;=23,Table2[[#This Row],[Outcome]]=1),1,0)</f>
        <v>0</v>
      </c>
      <c r="K479">
        <f>IF(AND(Table2[[#This Row],[BMI+Outcome]]=1,Table2[[#This Row],[Glucose]]&gt;=100),1,0)</f>
        <v>0</v>
      </c>
      <c r="L479">
        <f>IF(AND(Table2[[#This Row],[Outcome]]=1,Table2[[#This Row],[Glucose]]&gt;=100),1,0)</f>
        <v>0</v>
      </c>
    </row>
    <row r="480" spans="1:12" x14ac:dyDescent="0.25">
      <c r="A480">
        <v>8</v>
      </c>
      <c r="B480">
        <v>126</v>
      </c>
      <c r="C480">
        <v>74</v>
      </c>
      <c r="D480">
        <v>38</v>
      </c>
      <c r="E480">
        <v>75</v>
      </c>
      <c r="F480">
        <v>26</v>
      </c>
      <c r="G480">
        <v>0.67200000000000004</v>
      </c>
      <c r="H480">
        <v>39</v>
      </c>
      <c r="I480">
        <v>0</v>
      </c>
      <c r="J480">
        <f>IF(AND(Table2[[#This Row],[BMI]]&gt;=23,Table2[[#This Row],[Outcome]]=1),1,0)</f>
        <v>0</v>
      </c>
      <c r="K480">
        <f>IF(AND(Table2[[#This Row],[BMI+Outcome]]=1,Table2[[#This Row],[Glucose]]&gt;=100),1,0)</f>
        <v>0</v>
      </c>
      <c r="L480">
        <f>IF(AND(Table2[[#This Row],[Outcome]]=1,Table2[[#This Row],[Glucose]]&gt;=100),1,0)</f>
        <v>0</v>
      </c>
    </row>
    <row r="481" spans="1:12" x14ac:dyDescent="0.25">
      <c r="A481">
        <v>4</v>
      </c>
      <c r="B481">
        <v>132</v>
      </c>
      <c r="C481">
        <v>86</v>
      </c>
      <c r="D481">
        <v>31</v>
      </c>
      <c r="E481">
        <v>80</v>
      </c>
      <c r="F481">
        <v>28</v>
      </c>
      <c r="G481">
        <v>0.67200000000000004</v>
      </c>
      <c r="H481">
        <v>63</v>
      </c>
      <c r="I481">
        <v>0</v>
      </c>
      <c r="J481">
        <f>IF(AND(Table2[[#This Row],[BMI]]&gt;=23,Table2[[#This Row],[Outcome]]=1),1,0)</f>
        <v>0</v>
      </c>
      <c r="K481">
        <f>IF(AND(Table2[[#This Row],[BMI+Outcome]]=1,Table2[[#This Row],[Glucose]]&gt;=100),1,0)</f>
        <v>0</v>
      </c>
      <c r="L481">
        <f>IF(AND(Table2[[#This Row],[Outcome]]=1,Table2[[#This Row],[Glucose]]&gt;=100),1,0)</f>
        <v>0</v>
      </c>
    </row>
    <row r="482" spans="1:12" x14ac:dyDescent="0.25">
      <c r="A482">
        <v>3</v>
      </c>
      <c r="B482">
        <v>158</v>
      </c>
      <c r="C482">
        <v>70</v>
      </c>
      <c r="D482">
        <v>30</v>
      </c>
      <c r="E482">
        <v>328</v>
      </c>
      <c r="F482">
        <v>36</v>
      </c>
      <c r="G482">
        <v>0.67200000000000004</v>
      </c>
      <c r="H482">
        <v>35</v>
      </c>
      <c r="I482">
        <v>1</v>
      </c>
      <c r="J482">
        <f>IF(AND(Table2[[#This Row],[BMI]]&gt;=23,Table2[[#This Row],[Outcome]]=1),1,0)</f>
        <v>1</v>
      </c>
      <c r="K482">
        <f>IF(AND(Table2[[#This Row],[BMI+Outcome]]=1,Table2[[#This Row],[Glucose]]&gt;=100),1,0)</f>
        <v>1</v>
      </c>
      <c r="L482">
        <f>IF(AND(Table2[[#This Row],[Outcome]]=1,Table2[[#This Row],[Glucose]]&gt;=100),1,0)</f>
        <v>1</v>
      </c>
    </row>
    <row r="483" spans="1:12" x14ac:dyDescent="0.25">
      <c r="A483">
        <v>4</v>
      </c>
      <c r="B483">
        <v>123</v>
      </c>
      <c r="C483">
        <v>88</v>
      </c>
      <c r="D483">
        <v>37</v>
      </c>
      <c r="E483">
        <v>80</v>
      </c>
      <c r="F483">
        <v>35</v>
      </c>
      <c r="G483">
        <v>0.67200000000000004</v>
      </c>
      <c r="H483">
        <v>29</v>
      </c>
      <c r="I483">
        <v>0</v>
      </c>
      <c r="J483">
        <f>IF(AND(Table2[[#This Row],[BMI]]&gt;=23,Table2[[#This Row],[Outcome]]=1),1,0)</f>
        <v>0</v>
      </c>
      <c r="K483">
        <f>IF(AND(Table2[[#This Row],[BMI+Outcome]]=1,Table2[[#This Row],[Glucose]]&gt;=100),1,0)</f>
        <v>0</v>
      </c>
      <c r="L483">
        <f>IF(AND(Table2[[#This Row],[Outcome]]=1,Table2[[#This Row],[Glucose]]&gt;=100),1,0)</f>
        <v>0</v>
      </c>
    </row>
    <row r="484" spans="1:12" x14ac:dyDescent="0.25">
      <c r="A484">
        <v>4</v>
      </c>
      <c r="B484">
        <v>85</v>
      </c>
      <c r="C484">
        <v>58</v>
      </c>
      <c r="D484">
        <v>22</v>
      </c>
      <c r="E484">
        <v>49</v>
      </c>
      <c r="F484">
        <v>28</v>
      </c>
      <c r="G484">
        <v>0.67200000000000004</v>
      </c>
      <c r="H484">
        <v>28</v>
      </c>
      <c r="I484">
        <v>0</v>
      </c>
      <c r="J484">
        <f>IF(AND(Table2[[#This Row],[BMI]]&gt;=23,Table2[[#This Row],[Outcome]]=1),1,0)</f>
        <v>0</v>
      </c>
      <c r="K484">
        <f>IF(AND(Table2[[#This Row],[BMI+Outcome]]=1,Table2[[#This Row],[Glucose]]&gt;=100),1,0)</f>
        <v>0</v>
      </c>
      <c r="L484">
        <f>IF(AND(Table2[[#This Row],[Outcome]]=1,Table2[[#This Row],[Glucose]]&gt;=100),1,0)</f>
        <v>0</v>
      </c>
    </row>
    <row r="485" spans="1:12" x14ac:dyDescent="0.25">
      <c r="A485">
        <v>4</v>
      </c>
      <c r="B485">
        <v>84</v>
      </c>
      <c r="C485">
        <v>82</v>
      </c>
      <c r="D485">
        <v>31</v>
      </c>
      <c r="E485">
        <v>125</v>
      </c>
      <c r="F485">
        <v>38</v>
      </c>
      <c r="G485">
        <v>0.67200000000000004</v>
      </c>
      <c r="H485">
        <v>23</v>
      </c>
      <c r="I485">
        <v>0</v>
      </c>
      <c r="J485">
        <f>IF(AND(Table2[[#This Row],[BMI]]&gt;=23,Table2[[#This Row],[Outcome]]=1),1,0)</f>
        <v>0</v>
      </c>
      <c r="K485">
        <f>IF(AND(Table2[[#This Row],[BMI+Outcome]]=1,Table2[[#This Row],[Glucose]]&gt;=100),1,0)</f>
        <v>0</v>
      </c>
      <c r="L485">
        <f>IF(AND(Table2[[#This Row],[Outcome]]=1,Table2[[#This Row],[Glucose]]&gt;=100),1,0)</f>
        <v>0</v>
      </c>
    </row>
    <row r="486" spans="1:12" x14ac:dyDescent="0.25">
      <c r="A486">
        <v>4</v>
      </c>
      <c r="B486">
        <v>145</v>
      </c>
      <c r="C486">
        <v>69</v>
      </c>
      <c r="D486">
        <v>21</v>
      </c>
      <c r="E486">
        <v>80</v>
      </c>
      <c r="F486">
        <v>44</v>
      </c>
      <c r="G486">
        <v>0.67200000000000004</v>
      </c>
      <c r="H486">
        <v>31</v>
      </c>
      <c r="I486">
        <v>1</v>
      </c>
      <c r="J486">
        <f>IF(AND(Table2[[#This Row],[BMI]]&gt;=23,Table2[[#This Row],[Outcome]]=1),1,0)</f>
        <v>1</v>
      </c>
      <c r="K486">
        <f>IF(AND(Table2[[#This Row],[BMI+Outcome]]=1,Table2[[#This Row],[Glucose]]&gt;=100),1,0)</f>
        <v>1</v>
      </c>
      <c r="L486">
        <f>IF(AND(Table2[[#This Row],[Outcome]]=1,Table2[[#This Row],[Glucose]]&gt;=100),1,0)</f>
        <v>1</v>
      </c>
    </row>
    <row r="487" spans="1:12" x14ac:dyDescent="0.25">
      <c r="A487">
        <v>4</v>
      </c>
      <c r="B487">
        <v>135</v>
      </c>
      <c r="C487">
        <v>68</v>
      </c>
      <c r="D487">
        <v>42</v>
      </c>
      <c r="E487">
        <v>250</v>
      </c>
      <c r="F487">
        <v>42</v>
      </c>
      <c r="G487">
        <v>0.67200000000000004</v>
      </c>
      <c r="H487">
        <v>24</v>
      </c>
      <c r="I487">
        <v>1</v>
      </c>
      <c r="J487">
        <f>IF(AND(Table2[[#This Row],[BMI]]&gt;=23,Table2[[#This Row],[Outcome]]=1),1,0)</f>
        <v>1</v>
      </c>
      <c r="K487">
        <f>IF(AND(Table2[[#This Row],[BMI+Outcome]]=1,Table2[[#This Row],[Glucose]]&gt;=100),1,0)</f>
        <v>1</v>
      </c>
      <c r="L487">
        <f>IF(AND(Table2[[#This Row],[Outcome]]=1,Table2[[#This Row],[Glucose]]&gt;=100),1,0)</f>
        <v>1</v>
      </c>
    </row>
    <row r="488" spans="1:12" x14ac:dyDescent="0.25">
      <c r="A488">
        <v>1</v>
      </c>
      <c r="B488">
        <v>139</v>
      </c>
      <c r="C488">
        <v>62</v>
      </c>
      <c r="D488">
        <v>41</v>
      </c>
      <c r="E488">
        <v>480</v>
      </c>
      <c r="F488">
        <v>41</v>
      </c>
      <c r="G488">
        <v>0.67200000000000004</v>
      </c>
      <c r="H488">
        <v>21</v>
      </c>
      <c r="I488">
        <v>0</v>
      </c>
      <c r="J488">
        <f>IF(AND(Table2[[#This Row],[BMI]]&gt;=23,Table2[[#This Row],[Outcome]]=1),1,0)</f>
        <v>0</v>
      </c>
      <c r="K488">
        <f>IF(AND(Table2[[#This Row],[BMI+Outcome]]=1,Table2[[#This Row],[Glucose]]&gt;=100),1,0)</f>
        <v>0</v>
      </c>
      <c r="L488">
        <f>IF(AND(Table2[[#This Row],[Outcome]]=1,Table2[[#This Row],[Glucose]]&gt;=100),1,0)</f>
        <v>0</v>
      </c>
    </row>
    <row r="489" spans="1:12" x14ac:dyDescent="0.25">
      <c r="A489">
        <v>4</v>
      </c>
      <c r="B489">
        <v>173</v>
      </c>
      <c r="C489">
        <v>78</v>
      </c>
      <c r="D489">
        <v>32</v>
      </c>
      <c r="E489">
        <v>265</v>
      </c>
      <c r="F489">
        <v>46</v>
      </c>
      <c r="G489">
        <v>0.67200000000000004</v>
      </c>
      <c r="H489">
        <v>58</v>
      </c>
      <c r="I489">
        <v>0</v>
      </c>
      <c r="J489">
        <f>IF(AND(Table2[[#This Row],[BMI]]&gt;=23,Table2[[#This Row],[Outcome]]=1),1,0)</f>
        <v>0</v>
      </c>
      <c r="K489">
        <f>IF(AND(Table2[[#This Row],[BMI+Outcome]]=1,Table2[[#This Row],[Glucose]]&gt;=100),1,0)</f>
        <v>0</v>
      </c>
      <c r="L489">
        <f>IF(AND(Table2[[#This Row],[Outcome]]=1,Table2[[#This Row],[Glucose]]&gt;=100),1,0)</f>
        <v>0</v>
      </c>
    </row>
    <row r="490" spans="1:12" x14ac:dyDescent="0.25">
      <c r="A490">
        <v>4</v>
      </c>
      <c r="B490">
        <v>99</v>
      </c>
      <c r="C490">
        <v>72</v>
      </c>
      <c r="D490">
        <v>17</v>
      </c>
      <c r="E490">
        <v>80</v>
      </c>
      <c r="F490">
        <v>26</v>
      </c>
      <c r="G490">
        <v>0.67200000000000004</v>
      </c>
      <c r="H490">
        <v>28</v>
      </c>
      <c r="I490">
        <v>0</v>
      </c>
      <c r="J490">
        <f>IF(AND(Table2[[#This Row],[BMI]]&gt;=23,Table2[[#This Row],[Outcome]]=1),1,0)</f>
        <v>0</v>
      </c>
      <c r="K490">
        <f>IF(AND(Table2[[#This Row],[BMI+Outcome]]=1,Table2[[#This Row],[Glucose]]&gt;=100),1,0)</f>
        <v>0</v>
      </c>
      <c r="L490">
        <f>IF(AND(Table2[[#This Row],[Outcome]]=1,Table2[[#This Row],[Glucose]]&gt;=100),1,0)</f>
        <v>0</v>
      </c>
    </row>
    <row r="491" spans="1:12" x14ac:dyDescent="0.25">
      <c r="A491">
        <v>8</v>
      </c>
      <c r="B491">
        <v>194</v>
      </c>
      <c r="C491">
        <v>80</v>
      </c>
      <c r="D491">
        <v>21</v>
      </c>
      <c r="E491">
        <v>80</v>
      </c>
      <c r="F491">
        <v>26</v>
      </c>
      <c r="G491">
        <v>0.67200000000000004</v>
      </c>
      <c r="H491">
        <v>67</v>
      </c>
      <c r="I491">
        <v>0</v>
      </c>
      <c r="J491">
        <f>IF(AND(Table2[[#This Row],[BMI]]&gt;=23,Table2[[#This Row],[Outcome]]=1),1,0)</f>
        <v>0</v>
      </c>
      <c r="K491">
        <f>IF(AND(Table2[[#This Row],[BMI+Outcome]]=1,Table2[[#This Row],[Glucose]]&gt;=100),1,0)</f>
        <v>0</v>
      </c>
      <c r="L491">
        <f>IF(AND(Table2[[#This Row],[Outcome]]=1,Table2[[#This Row],[Glucose]]&gt;=100),1,0)</f>
        <v>0</v>
      </c>
    </row>
    <row r="492" spans="1:12" x14ac:dyDescent="0.25">
      <c r="A492">
        <v>2</v>
      </c>
      <c r="B492">
        <v>83</v>
      </c>
      <c r="C492">
        <v>65</v>
      </c>
      <c r="D492">
        <v>28</v>
      </c>
      <c r="E492">
        <v>66</v>
      </c>
      <c r="F492">
        <v>37</v>
      </c>
      <c r="G492">
        <v>0.67200000000000004</v>
      </c>
      <c r="H492">
        <v>24</v>
      </c>
      <c r="I492">
        <v>0</v>
      </c>
      <c r="J492">
        <f>IF(AND(Table2[[#This Row],[BMI]]&gt;=23,Table2[[#This Row],[Outcome]]=1),1,0)</f>
        <v>0</v>
      </c>
      <c r="K492">
        <f>IF(AND(Table2[[#This Row],[BMI+Outcome]]=1,Table2[[#This Row],[Glucose]]&gt;=100),1,0)</f>
        <v>0</v>
      </c>
      <c r="L492">
        <f>IF(AND(Table2[[#This Row],[Outcome]]=1,Table2[[#This Row],[Glucose]]&gt;=100),1,0)</f>
        <v>0</v>
      </c>
    </row>
    <row r="493" spans="1:12" x14ac:dyDescent="0.25">
      <c r="A493">
        <v>2</v>
      </c>
      <c r="B493">
        <v>89</v>
      </c>
      <c r="C493">
        <v>90</v>
      </c>
      <c r="D493">
        <v>30</v>
      </c>
      <c r="E493">
        <v>80</v>
      </c>
      <c r="F493">
        <v>34</v>
      </c>
      <c r="G493">
        <v>0.67200000000000004</v>
      </c>
      <c r="H493">
        <v>42</v>
      </c>
      <c r="I493">
        <v>0</v>
      </c>
      <c r="J493">
        <f>IF(AND(Table2[[#This Row],[BMI]]&gt;=23,Table2[[#This Row],[Outcome]]=1),1,0)</f>
        <v>0</v>
      </c>
      <c r="K493">
        <f>IF(AND(Table2[[#This Row],[BMI+Outcome]]=1,Table2[[#This Row],[Glucose]]&gt;=100),1,0)</f>
        <v>0</v>
      </c>
      <c r="L493">
        <f>IF(AND(Table2[[#This Row],[Outcome]]=1,Table2[[#This Row],[Glucose]]&gt;=100),1,0)</f>
        <v>0</v>
      </c>
    </row>
    <row r="494" spans="1:12" x14ac:dyDescent="0.25">
      <c r="A494">
        <v>4</v>
      </c>
      <c r="B494">
        <v>99</v>
      </c>
      <c r="C494">
        <v>68</v>
      </c>
      <c r="D494">
        <v>38</v>
      </c>
      <c r="E494">
        <v>80</v>
      </c>
      <c r="F494">
        <v>33</v>
      </c>
      <c r="G494">
        <v>0.67200000000000004</v>
      </c>
      <c r="H494">
        <v>33</v>
      </c>
      <c r="I494">
        <v>0</v>
      </c>
      <c r="J494">
        <f>IF(AND(Table2[[#This Row],[BMI]]&gt;=23,Table2[[#This Row],[Outcome]]=1),1,0)</f>
        <v>0</v>
      </c>
      <c r="K494">
        <f>IF(AND(Table2[[#This Row],[BMI+Outcome]]=1,Table2[[#This Row],[Glucose]]&gt;=100),1,0)</f>
        <v>0</v>
      </c>
      <c r="L494">
        <f>IF(AND(Table2[[#This Row],[Outcome]]=1,Table2[[#This Row],[Glucose]]&gt;=100),1,0)</f>
        <v>0</v>
      </c>
    </row>
    <row r="495" spans="1:12" x14ac:dyDescent="0.25">
      <c r="A495">
        <v>4</v>
      </c>
      <c r="B495">
        <v>125</v>
      </c>
      <c r="C495">
        <v>70</v>
      </c>
      <c r="D495">
        <v>18</v>
      </c>
      <c r="E495">
        <v>122</v>
      </c>
      <c r="F495">
        <v>29</v>
      </c>
      <c r="G495">
        <v>0.67200000000000004</v>
      </c>
      <c r="H495">
        <v>45</v>
      </c>
      <c r="I495">
        <v>1</v>
      </c>
      <c r="J495">
        <f>IF(AND(Table2[[#This Row],[BMI]]&gt;=23,Table2[[#This Row],[Outcome]]=1),1,0)</f>
        <v>1</v>
      </c>
      <c r="K495">
        <f>IF(AND(Table2[[#This Row],[BMI+Outcome]]=1,Table2[[#This Row],[Glucose]]&gt;=100),1,0)</f>
        <v>1</v>
      </c>
      <c r="L495">
        <f>IF(AND(Table2[[#This Row],[Outcome]]=1,Table2[[#This Row],[Glucose]]&gt;=100),1,0)</f>
        <v>1</v>
      </c>
    </row>
    <row r="496" spans="1:12" x14ac:dyDescent="0.25">
      <c r="A496">
        <v>3</v>
      </c>
      <c r="B496">
        <v>80</v>
      </c>
      <c r="C496">
        <v>69</v>
      </c>
      <c r="D496">
        <v>21</v>
      </c>
      <c r="E496">
        <v>80</v>
      </c>
      <c r="F496">
        <v>32</v>
      </c>
      <c r="G496">
        <v>0.67200000000000004</v>
      </c>
      <c r="H496">
        <v>22</v>
      </c>
      <c r="I496">
        <v>0</v>
      </c>
      <c r="J496">
        <f>IF(AND(Table2[[#This Row],[BMI]]&gt;=23,Table2[[#This Row],[Outcome]]=1),1,0)</f>
        <v>0</v>
      </c>
      <c r="K496">
        <f>IF(AND(Table2[[#This Row],[BMI+Outcome]]=1,Table2[[#This Row],[Glucose]]&gt;=100),1,0)</f>
        <v>0</v>
      </c>
      <c r="L496">
        <f>IF(AND(Table2[[#This Row],[Outcome]]=1,Table2[[#This Row],[Glucose]]&gt;=100),1,0)</f>
        <v>0</v>
      </c>
    </row>
    <row r="497" spans="1:12" x14ac:dyDescent="0.25">
      <c r="A497">
        <v>6</v>
      </c>
      <c r="B497">
        <v>166</v>
      </c>
      <c r="C497">
        <v>74</v>
      </c>
      <c r="D497">
        <v>21</v>
      </c>
      <c r="E497">
        <v>80</v>
      </c>
      <c r="F497">
        <v>27</v>
      </c>
      <c r="G497">
        <v>0.67200000000000004</v>
      </c>
      <c r="H497">
        <v>66</v>
      </c>
      <c r="I497">
        <v>0</v>
      </c>
      <c r="J497">
        <f>IF(AND(Table2[[#This Row],[BMI]]&gt;=23,Table2[[#This Row],[Outcome]]=1),1,0)</f>
        <v>0</v>
      </c>
      <c r="K497">
        <f>IF(AND(Table2[[#This Row],[BMI+Outcome]]=1,Table2[[#This Row],[Glucose]]&gt;=100),1,0)</f>
        <v>0</v>
      </c>
      <c r="L497">
        <f>IF(AND(Table2[[#This Row],[Outcome]]=1,Table2[[#This Row],[Glucose]]&gt;=100),1,0)</f>
        <v>0</v>
      </c>
    </row>
    <row r="498" spans="1:12" x14ac:dyDescent="0.25">
      <c r="A498">
        <v>5</v>
      </c>
      <c r="B498">
        <v>110</v>
      </c>
      <c r="C498">
        <v>68</v>
      </c>
      <c r="D498">
        <v>21</v>
      </c>
      <c r="E498">
        <v>80</v>
      </c>
      <c r="F498">
        <v>26</v>
      </c>
      <c r="G498">
        <v>0.67200000000000004</v>
      </c>
      <c r="H498">
        <v>30</v>
      </c>
      <c r="I498">
        <v>0</v>
      </c>
      <c r="J498">
        <f>IF(AND(Table2[[#This Row],[BMI]]&gt;=23,Table2[[#This Row],[Outcome]]=1),1,0)</f>
        <v>0</v>
      </c>
      <c r="K498">
        <f>IF(AND(Table2[[#This Row],[BMI+Outcome]]=1,Table2[[#This Row],[Glucose]]&gt;=100),1,0)</f>
        <v>0</v>
      </c>
      <c r="L498">
        <f>IF(AND(Table2[[#This Row],[Outcome]]=1,Table2[[#This Row],[Glucose]]&gt;=100),1,0)</f>
        <v>0</v>
      </c>
    </row>
    <row r="499" spans="1:12" x14ac:dyDescent="0.25">
      <c r="A499">
        <v>2</v>
      </c>
      <c r="B499">
        <v>81</v>
      </c>
      <c r="C499">
        <v>72</v>
      </c>
      <c r="D499">
        <v>15</v>
      </c>
      <c r="E499">
        <v>76</v>
      </c>
      <c r="F499">
        <v>30</v>
      </c>
      <c r="G499">
        <v>0.67200000000000004</v>
      </c>
      <c r="H499">
        <v>25</v>
      </c>
      <c r="I499">
        <v>0</v>
      </c>
      <c r="J499">
        <f>IF(AND(Table2[[#This Row],[BMI]]&gt;=23,Table2[[#This Row],[Outcome]]=1),1,0)</f>
        <v>0</v>
      </c>
      <c r="K499">
        <f>IF(AND(Table2[[#This Row],[BMI+Outcome]]=1,Table2[[#This Row],[Glucose]]&gt;=100),1,0)</f>
        <v>0</v>
      </c>
      <c r="L499">
        <f>IF(AND(Table2[[#This Row],[Outcome]]=1,Table2[[#This Row],[Glucose]]&gt;=100),1,0)</f>
        <v>0</v>
      </c>
    </row>
    <row r="500" spans="1:12" x14ac:dyDescent="0.25">
      <c r="A500">
        <v>7</v>
      </c>
      <c r="B500">
        <v>195</v>
      </c>
      <c r="C500">
        <v>70</v>
      </c>
      <c r="D500">
        <v>33</v>
      </c>
      <c r="E500">
        <v>145</v>
      </c>
      <c r="F500">
        <v>25</v>
      </c>
      <c r="G500">
        <v>0.67200000000000004</v>
      </c>
      <c r="H500">
        <v>55</v>
      </c>
      <c r="I500">
        <v>1</v>
      </c>
      <c r="J500">
        <f>IF(AND(Table2[[#This Row],[BMI]]&gt;=23,Table2[[#This Row],[Outcome]]=1),1,0)</f>
        <v>1</v>
      </c>
      <c r="K500">
        <f>IF(AND(Table2[[#This Row],[BMI+Outcome]]=1,Table2[[#This Row],[Glucose]]&gt;=100),1,0)</f>
        <v>1</v>
      </c>
      <c r="L500">
        <f>IF(AND(Table2[[#This Row],[Outcome]]=1,Table2[[#This Row],[Glucose]]&gt;=100),1,0)</f>
        <v>1</v>
      </c>
    </row>
    <row r="501" spans="1:12" x14ac:dyDescent="0.25">
      <c r="A501">
        <v>6</v>
      </c>
      <c r="B501">
        <v>154</v>
      </c>
      <c r="C501">
        <v>74</v>
      </c>
      <c r="D501">
        <v>32</v>
      </c>
      <c r="E501">
        <v>193</v>
      </c>
      <c r="F501">
        <v>29</v>
      </c>
      <c r="G501">
        <v>0.67200000000000004</v>
      </c>
      <c r="H501">
        <v>39</v>
      </c>
      <c r="I501">
        <v>0</v>
      </c>
      <c r="J501">
        <f>IF(AND(Table2[[#This Row],[BMI]]&gt;=23,Table2[[#This Row],[Outcome]]=1),1,0)</f>
        <v>0</v>
      </c>
      <c r="K501">
        <f>IF(AND(Table2[[#This Row],[BMI+Outcome]]=1,Table2[[#This Row],[Glucose]]&gt;=100),1,0)</f>
        <v>0</v>
      </c>
      <c r="L501">
        <f>IF(AND(Table2[[#This Row],[Outcome]]=1,Table2[[#This Row],[Glucose]]&gt;=100),1,0)</f>
        <v>0</v>
      </c>
    </row>
    <row r="502" spans="1:12" x14ac:dyDescent="0.25">
      <c r="A502">
        <v>2</v>
      </c>
      <c r="B502">
        <v>117</v>
      </c>
      <c r="C502">
        <v>90</v>
      </c>
      <c r="D502">
        <v>19</v>
      </c>
      <c r="E502">
        <v>71</v>
      </c>
      <c r="F502">
        <v>25</v>
      </c>
      <c r="G502">
        <v>0.67200000000000004</v>
      </c>
      <c r="H502">
        <v>21</v>
      </c>
      <c r="I502">
        <v>0</v>
      </c>
      <c r="J502">
        <f>IF(AND(Table2[[#This Row],[BMI]]&gt;=23,Table2[[#This Row],[Outcome]]=1),1,0)</f>
        <v>0</v>
      </c>
      <c r="K502">
        <f>IF(AND(Table2[[#This Row],[BMI+Outcome]]=1,Table2[[#This Row],[Glucose]]&gt;=100),1,0)</f>
        <v>0</v>
      </c>
      <c r="L502">
        <f>IF(AND(Table2[[#This Row],[Outcome]]=1,Table2[[#This Row],[Glucose]]&gt;=100),1,0)</f>
        <v>0</v>
      </c>
    </row>
    <row r="503" spans="1:12" x14ac:dyDescent="0.25">
      <c r="A503">
        <v>3</v>
      </c>
      <c r="B503">
        <v>84</v>
      </c>
      <c r="C503">
        <v>72</v>
      </c>
      <c r="D503">
        <v>32</v>
      </c>
      <c r="E503">
        <v>80</v>
      </c>
      <c r="F503">
        <v>37</v>
      </c>
      <c r="G503">
        <v>0.67200000000000004</v>
      </c>
      <c r="H503">
        <v>28</v>
      </c>
      <c r="I503">
        <v>0</v>
      </c>
      <c r="J503">
        <f>IF(AND(Table2[[#This Row],[BMI]]&gt;=23,Table2[[#This Row],[Outcome]]=1),1,0)</f>
        <v>0</v>
      </c>
      <c r="K503">
        <f>IF(AND(Table2[[#This Row],[BMI+Outcome]]=1,Table2[[#This Row],[Glucose]]&gt;=100),1,0)</f>
        <v>0</v>
      </c>
      <c r="L503">
        <f>IF(AND(Table2[[#This Row],[Outcome]]=1,Table2[[#This Row],[Glucose]]&gt;=100),1,0)</f>
        <v>0</v>
      </c>
    </row>
    <row r="504" spans="1:12" x14ac:dyDescent="0.25">
      <c r="A504">
        <v>6</v>
      </c>
      <c r="B504">
        <v>121</v>
      </c>
      <c r="C504">
        <v>68</v>
      </c>
      <c r="D504">
        <v>41</v>
      </c>
      <c r="E504">
        <v>80</v>
      </c>
      <c r="F504">
        <v>39</v>
      </c>
      <c r="G504">
        <v>0.67200000000000004</v>
      </c>
      <c r="H504">
        <v>41</v>
      </c>
      <c r="I504">
        <v>1</v>
      </c>
      <c r="J504">
        <f>IF(AND(Table2[[#This Row],[BMI]]&gt;=23,Table2[[#This Row],[Outcome]]=1),1,0)</f>
        <v>1</v>
      </c>
      <c r="K504">
        <f>IF(AND(Table2[[#This Row],[BMI+Outcome]]=1,Table2[[#This Row],[Glucose]]&gt;=100),1,0)</f>
        <v>1</v>
      </c>
      <c r="L504">
        <f>IF(AND(Table2[[#This Row],[Outcome]]=1,Table2[[#This Row],[Glucose]]&gt;=100),1,0)</f>
        <v>1</v>
      </c>
    </row>
    <row r="505" spans="1:12" x14ac:dyDescent="0.25">
      <c r="A505">
        <v>7</v>
      </c>
      <c r="B505">
        <v>94</v>
      </c>
      <c r="C505">
        <v>64</v>
      </c>
      <c r="D505">
        <v>25</v>
      </c>
      <c r="E505">
        <v>79</v>
      </c>
      <c r="F505">
        <v>33</v>
      </c>
      <c r="G505">
        <v>0.67200000000000004</v>
      </c>
      <c r="H505">
        <v>41</v>
      </c>
      <c r="I505">
        <v>0</v>
      </c>
      <c r="J505">
        <f>IF(AND(Table2[[#This Row],[BMI]]&gt;=23,Table2[[#This Row],[Outcome]]=1),1,0)</f>
        <v>0</v>
      </c>
      <c r="K505">
        <f>IF(AND(Table2[[#This Row],[BMI+Outcome]]=1,Table2[[#This Row],[Glucose]]&gt;=100),1,0)</f>
        <v>0</v>
      </c>
      <c r="L505">
        <f>IF(AND(Table2[[#This Row],[Outcome]]=1,Table2[[#This Row],[Glucose]]&gt;=100),1,0)</f>
        <v>0</v>
      </c>
    </row>
    <row r="506" spans="1:12" x14ac:dyDescent="0.25">
      <c r="A506">
        <v>3</v>
      </c>
      <c r="B506">
        <v>96</v>
      </c>
      <c r="C506">
        <v>78</v>
      </c>
      <c r="D506">
        <v>39</v>
      </c>
      <c r="E506">
        <v>80</v>
      </c>
      <c r="F506">
        <v>37</v>
      </c>
      <c r="G506">
        <v>0.67200000000000004</v>
      </c>
      <c r="H506">
        <v>40</v>
      </c>
      <c r="I506">
        <v>0</v>
      </c>
      <c r="J506">
        <f>IF(AND(Table2[[#This Row],[BMI]]&gt;=23,Table2[[#This Row],[Outcome]]=1),1,0)</f>
        <v>0</v>
      </c>
      <c r="K506">
        <f>IF(AND(Table2[[#This Row],[BMI+Outcome]]=1,Table2[[#This Row],[Glucose]]&gt;=100),1,0)</f>
        <v>0</v>
      </c>
      <c r="L506">
        <f>IF(AND(Table2[[#This Row],[Outcome]]=1,Table2[[#This Row],[Glucose]]&gt;=100),1,0)</f>
        <v>0</v>
      </c>
    </row>
    <row r="507" spans="1:12" x14ac:dyDescent="0.25">
      <c r="A507">
        <v>10</v>
      </c>
      <c r="B507">
        <v>75</v>
      </c>
      <c r="C507">
        <v>82</v>
      </c>
      <c r="D507">
        <v>21</v>
      </c>
      <c r="E507">
        <v>80</v>
      </c>
      <c r="F507">
        <v>33</v>
      </c>
      <c r="G507">
        <v>0.67200000000000004</v>
      </c>
      <c r="H507">
        <v>38</v>
      </c>
      <c r="I507">
        <v>0</v>
      </c>
      <c r="J507">
        <f>IF(AND(Table2[[#This Row],[BMI]]&gt;=23,Table2[[#This Row],[Outcome]]=1),1,0)</f>
        <v>0</v>
      </c>
      <c r="K507">
        <f>IF(AND(Table2[[#This Row],[BMI+Outcome]]=1,Table2[[#This Row],[Glucose]]&gt;=100),1,0)</f>
        <v>0</v>
      </c>
      <c r="L507">
        <f>IF(AND(Table2[[#This Row],[Outcome]]=1,Table2[[#This Row],[Glucose]]&gt;=100),1,0)</f>
        <v>0</v>
      </c>
    </row>
    <row r="508" spans="1:12" x14ac:dyDescent="0.25">
      <c r="A508">
        <v>4</v>
      </c>
      <c r="B508">
        <v>180</v>
      </c>
      <c r="C508">
        <v>90</v>
      </c>
      <c r="D508">
        <v>26</v>
      </c>
      <c r="E508">
        <v>90</v>
      </c>
      <c r="F508">
        <v>36</v>
      </c>
      <c r="G508">
        <v>0.67200000000000004</v>
      </c>
      <c r="H508">
        <v>35</v>
      </c>
      <c r="I508">
        <v>1</v>
      </c>
      <c r="J508">
        <f>IF(AND(Table2[[#This Row],[BMI]]&gt;=23,Table2[[#This Row],[Outcome]]=1),1,0)</f>
        <v>1</v>
      </c>
      <c r="K508">
        <f>IF(AND(Table2[[#This Row],[BMI+Outcome]]=1,Table2[[#This Row],[Glucose]]&gt;=100),1,0)</f>
        <v>1</v>
      </c>
      <c r="L508">
        <f>IF(AND(Table2[[#This Row],[Outcome]]=1,Table2[[#This Row],[Glucose]]&gt;=100),1,0)</f>
        <v>1</v>
      </c>
    </row>
    <row r="509" spans="1:12" x14ac:dyDescent="0.25">
      <c r="A509">
        <v>1</v>
      </c>
      <c r="B509">
        <v>130</v>
      </c>
      <c r="C509">
        <v>60</v>
      </c>
      <c r="D509">
        <v>23</v>
      </c>
      <c r="E509">
        <v>170</v>
      </c>
      <c r="F509">
        <v>29</v>
      </c>
      <c r="G509">
        <v>0.67200000000000004</v>
      </c>
      <c r="H509">
        <v>21</v>
      </c>
      <c r="I509">
        <v>0</v>
      </c>
      <c r="J509">
        <f>IF(AND(Table2[[#This Row],[BMI]]&gt;=23,Table2[[#This Row],[Outcome]]=1),1,0)</f>
        <v>0</v>
      </c>
      <c r="K509">
        <f>IF(AND(Table2[[#This Row],[BMI+Outcome]]=1,Table2[[#This Row],[Glucose]]&gt;=100),1,0)</f>
        <v>0</v>
      </c>
      <c r="L509">
        <f>IF(AND(Table2[[#This Row],[Outcome]]=1,Table2[[#This Row],[Glucose]]&gt;=100),1,0)</f>
        <v>0</v>
      </c>
    </row>
    <row r="510" spans="1:12" x14ac:dyDescent="0.25">
      <c r="A510">
        <v>2</v>
      </c>
      <c r="B510">
        <v>84</v>
      </c>
      <c r="C510">
        <v>50</v>
      </c>
      <c r="D510">
        <v>23</v>
      </c>
      <c r="E510">
        <v>76</v>
      </c>
      <c r="F510">
        <v>30</v>
      </c>
      <c r="G510">
        <v>0.67200000000000004</v>
      </c>
      <c r="H510">
        <v>21</v>
      </c>
      <c r="I510">
        <v>0</v>
      </c>
      <c r="J510">
        <f>IF(AND(Table2[[#This Row],[BMI]]&gt;=23,Table2[[#This Row],[Outcome]]=1),1,0)</f>
        <v>0</v>
      </c>
      <c r="K510">
        <f>IF(AND(Table2[[#This Row],[BMI+Outcome]]=1,Table2[[#This Row],[Glucose]]&gt;=100),1,0)</f>
        <v>0</v>
      </c>
      <c r="L510">
        <f>IF(AND(Table2[[#This Row],[Outcome]]=1,Table2[[#This Row],[Glucose]]&gt;=100),1,0)</f>
        <v>0</v>
      </c>
    </row>
    <row r="511" spans="1:12" x14ac:dyDescent="0.25">
      <c r="A511">
        <v>8</v>
      </c>
      <c r="B511">
        <v>120</v>
      </c>
      <c r="C511">
        <v>78</v>
      </c>
      <c r="D511">
        <v>21</v>
      </c>
      <c r="E511">
        <v>80</v>
      </c>
      <c r="F511">
        <v>25</v>
      </c>
      <c r="G511">
        <v>0.67200000000000004</v>
      </c>
      <c r="H511">
        <v>64</v>
      </c>
      <c r="I511">
        <v>0</v>
      </c>
      <c r="J511">
        <f>IF(AND(Table2[[#This Row],[BMI]]&gt;=23,Table2[[#This Row],[Outcome]]=1),1,0)</f>
        <v>0</v>
      </c>
      <c r="K511">
        <f>IF(AND(Table2[[#This Row],[BMI+Outcome]]=1,Table2[[#This Row],[Glucose]]&gt;=100),1,0)</f>
        <v>0</v>
      </c>
      <c r="L511">
        <f>IF(AND(Table2[[#This Row],[Outcome]]=1,Table2[[#This Row],[Glucose]]&gt;=100),1,0)</f>
        <v>0</v>
      </c>
    </row>
    <row r="512" spans="1:12" x14ac:dyDescent="0.25">
      <c r="A512">
        <v>12</v>
      </c>
      <c r="B512">
        <v>84</v>
      </c>
      <c r="C512">
        <v>72</v>
      </c>
      <c r="D512">
        <v>31</v>
      </c>
      <c r="E512">
        <v>80</v>
      </c>
      <c r="F512">
        <v>30</v>
      </c>
      <c r="G512">
        <v>0.67200000000000004</v>
      </c>
      <c r="H512">
        <v>46</v>
      </c>
      <c r="I512">
        <v>1</v>
      </c>
      <c r="J512">
        <f>IF(AND(Table2[[#This Row],[BMI]]&gt;=23,Table2[[#This Row],[Outcome]]=1),1,0)</f>
        <v>1</v>
      </c>
      <c r="K512">
        <f>IF(AND(Table2[[#This Row],[BMI+Outcome]]=1,Table2[[#This Row],[Glucose]]&gt;=100),1,0)</f>
        <v>0</v>
      </c>
      <c r="L512">
        <f>IF(AND(Table2[[#This Row],[Outcome]]=1,Table2[[#This Row],[Glucose]]&gt;=100),1,0)</f>
        <v>0</v>
      </c>
    </row>
    <row r="513" spans="1:12" x14ac:dyDescent="0.25">
      <c r="A513">
        <v>4</v>
      </c>
      <c r="B513">
        <v>139</v>
      </c>
      <c r="C513">
        <v>62</v>
      </c>
      <c r="D513">
        <v>17</v>
      </c>
      <c r="E513">
        <v>210</v>
      </c>
      <c r="F513">
        <v>22</v>
      </c>
      <c r="G513">
        <v>0.67200000000000004</v>
      </c>
      <c r="H513">
        <v>21</v>
      </c>
      <c r="I513">
        <v>0</v>
      </c>
      <c r="J513">
        <f>IF(AND(Table2[[#This Row],[BMI]]&gt;=23,Table2[[#This Row],[Outcome]]=1),1,0)</f>
        <v>0</v>
      </c>
      <c r="K513">
        <f>IF(AND(Table2[[#This Row],[BMI+Outcome]]=1,Table2[[#This Row],[Glucose]]&gt;=100),1,0)</f>
        <v>0</v>
      </c>
      <c r="L513">
        <f>IF(AND(Table2[[#This Row],[Outcome]]=1,Table2[[#This Row],[Glucose]]&gt;=100),1,0)</f>
        <v>0</v>
      </c>
    </row>
    <row r="514" spans="1:12" x14ac:dyDescent="0.25">
      <c r="A514">
        <v>9</v>
      </c>
      <c r="B514">
        <v>91</v>
      </c>
      <c r="C514">
        <v>68</v>
      </c>
      <c r="D514">
        <v>21</v>
      </c>
      <c r="E514">
        <v>80</v>
      </c>
      <c r="F514">
        <v>24</v>
      </c>
      <c r="G514">
        <v>0.67200000000000004</v>
      </c>
      <c r="H514">
        <v>58</v>
      </c>
      <c r="I514">
        <v>0</v>
      </c>
      <c r="J514">
        <f>IF(AND(Table2[[#This Row],[BMI]]&gt;=23,Table2[[#This Row],[Outcome]]=1),1,0)</f>
        <v>0</v>
      </c>
      <c r="K514">
        <f>IF(AND(Table2[[#This Row],[BMI+Outcome]]=1,Table2[[#This Row],[Glucose]]&gt;=100),1,0)</f>
        <v>0</v>
      </c>
      <c r="L514">
        <f>IF(AND(Table2[[#This Row],[Outcome]]=1,Table2[[#This Row],[Glucose]]&gt;=100),1,0)</f>
        <v>0</v>
      </c>
    </row>
    <row r="515" spans="1:12" x14ac:dyDescent="0.25">
      <c r="A515">
        <v>2</v>
      </c>
      <c r="B515">
        <v>91</v>
      </c>
      <c r="C515">
        <v>62</v>
      </c>
      <c r="D515">
        <v>21</v>
      </c>
      <c r="E515">
        <v>80</v>
      </c>
      <c r="F515">
        <v>27</v>
      </c>
      <c r="G515">
        <v>0.67200000000000004</v>
      </c>
      <c r="H515">
        <v>22</v>
      </c>
      <c r="I515">
        <v>0</v>
      </c>
      <c r="J515">
        <f>IF(AND(Table2[[#This Row],[BMI]]&gt;=23,Table2[[#This Row],[Outcome]]=1),1,0)</f>
        <v>0</v>
      </c>
      <c r="K515">
        <f>IF(AND(Table2[[#This Row],[BMI+Outcome]]=1,Table2[[#This Row],[Glucose]]&gt;=100),1,0)</f>
        <v>0</v>
      </c>
      <c r="L515">
        <f>IF(AND(Table2[[#This Row],[Outcome]]=1,Table2[[#This Row],[Glucose]]&gt;=100),1,0)</f>
        <v>0</v>
      </c>
    </row>
    <row r="516" spans="1:12" x14ac:dyDescent="0.25">
      <c r="A516">
        <v>3</v>
      </c>
      <c r="B516">
        <v>99</v>
      </c>
      <c r="C516">
        <v>54</v>
      </c>
      <c r="D516">
        <v>19</v>
      </c>
      <c r="E516">
        <v>86</v>
      </c>
      <c r="F516">
        <v>26</v>
      </c>
      <c r="G516">
        <v>0.67200000000000004</v>
      </c>
      <c r="H516">
        <v>24</v>
      </c>
      <c r="I516">
        <v>0</v>
      </c>
      <c r="J516">
        <f>IF(AND(Table2[[#This Row],[BMI]]&gt;=23,Table2[[#This Row],[Outcome]]=1),1,0)</f>
        <v>0</v>
      </c>
      <c r="K516">
        <f>IF(AND(Table2[[#This Row],[BMI+Outcome]]=1,Table2[[#This Row],[Glucose]]&gt;=100),1,0)</f>
        <v>0</v>
      </c>
      <c r="L516">
        <f>IF(AND(Table2[[#This Row],[Outcome]]=1,Table2[[#This Row],[Glucose]]&gt;=100),1,0)</f>
        <v>0</v>
      </c>
    </row>
    <row r="517" spans="1:12" x14ac:dyDescent="0.25">
      <c r="A517">
        <v>3</v>
      </c>
      <c r="B517">
        <v>163</v>
      </c>
      <c r="C517">
        <v>70</v>
      </c>
      <c r="D517">
        <v>18</v>
      </c>
      <c r="E517">
        <v>105</v>
      </c>
      <c r="F517">
        <v>32</v>
      </c>
      <c r="G517">
        <v>0.67200000000000004</v>
      </c>
      <c r="H517">
        <v>28</v>
      </c>
      <c r="I517">
        <v>1</v>
      </c>
      <c r="J517">
        <f>IF(AND(Table2[[#This Row],[BMI]]&gt;=23,Table2[[#This Row],[Outcome]]=1),1,0)</f>
        <v>1</v>
      </c>
      <c r="K517">
        <f>IF(AND(Table2[[#This Row],[BMI+Outcome]]=1,Table2[[#This Row],[Glucose]]&gt;=100),1,0)</f>
        <v>1</v>
      </c>
      <c r="L517">
        <f>IF(AND(Table2[[#This Row],[Outcome]]=1,Table2[[#This Row],[Glucose]]&gt;=100),1,0)</f>
        <v>1</v>
      </c>
    </row>
    <row r="518" spans="1:12" x14ac:dyDescent="0.25">
      <c r="A518">
        <v>9</v>
      </c>
      <c r="B518">
        <v>145</v>
      </c>
      <c r="C518">
        <v>88</v>
      </c>
      <c r="D518">
        <v>34</v>
      </c>
      <c r="E518">
        <v>165</v>
      </c>
      <c r="F518">
        <v>30</v>
      </c>
      <c r="G518">
        <v>0.67200000000000004</v>
      </c>
      <c r="H518">
        <v>53</v>
      </c>
      <c r="I518">
        <v>1</v>
      </c>
      <c r="J518">
        <f>IF(AND(Table2[[#This Row],[BMI]]&gt;=23,Table2[[#This Row],[Outcome]]=1),1,0)</f>
        <v>1</v>
      </c>
      <c r="K518">
        <f>IF(AND(Table2[[#This Row],[BMI+Outcome]]=1,Table2[[#This Row],[Glucose]]&gt;=100),1,0)</f>
        <v>1</v>
      </c>
      <c r="L518">
        <f>IF(AND(Table2[[#This Row],[Outcome]]=1,Table2[[#This Row],[Glucose]]&gt;=100),1,0)</f>
        <v>1</v>
      </c>
    </row>
    <row r="519" spans="1:12" x14ac:dyDescent="0.25">
      <c r="A519">
        <v>7</v>
      </c>
      <c r="B519">
        <v>125</v>
      </c>
      <c r="C519">
        <v>86</v>
      </c>
      <c r="D519">
        <v>21</v>
      </c>
      <c r="E519">
        <v>80</v>
      </c>
      <c r="F519">
        <v>38</v>
      </c>
      <c r="G519">
        <v>0.67200000000000004</v>
      </c>
      <c r="H519">
        <v>51</v>
      </c>
      <c r="I519">
        <v>0</v>
      </c>
      <c r="J519">
        <f>IF(AND(Table2[[#This Row],[BMI]]&gt;=23,Table2[[#This Row],[Outcome]]=1),1,0)</f>
        <v>0</v>
      </c>
      <c r="K519">
        <f>IF(AND(Table2[[#This Row],[BMI+Outcome]]=1,Table2[[#This Row],[Glucose]]&gt;=100),1,0)</f>
        <v>0</v>
      </c>
      <c r="L519">
        <f>IF(AND(Table2[[#This Row],[Outcome]]=1,Table2[[#This Row],[Glucose]]&gt;=100),1,0)</f>
        <v>0</v>
      </c>
    </row>
    <row r="520" spans="1:12" x14ac:dyDescent="0.25">
      <c r="A520">
        <v>13</v>
      </c>
      <c r="B520">
        <v>76</v>
      </c>
      <c r="C520">
        <v>60</v>
      </c>
      <c r="D520">
        <v>21</v>
      </c>
      <c r="E520">
        <v>80</v>
      </c>
      <c r="F520">
        <v>33</v>
      </c>
      <c r="G520">
        <v>0.67200000000000004</v>
      </c>
      <c r="H520">
        <v>41</v>
      </c>
      <c r="I520">
        <v>0</v>
      </c>
      <c r="J520">
        <f>IF(AND(Table2[[#This Row],[BMI]]&gt;=23,Table2[[#This Row],[Outcome]]=1),1,0)</f>
        <v>0</v>
      </c>
      <c r="K520">
        <f>IF(AND(Table2[[#This Row],[BMI+Outcome]]=1,Table2[[#This Row],[Glucose]]&gt;=100),1,0)</f>
        <v>0</v>
      </c>
      <c r="L520">
        <f>IF(AND(Table2[[#This Row],[Outcome]]=1,Table2[[#This Row],[Glucose]]&gt;=100),1,0)</f>
        <v>0</v>
      </c>
    </row>
    <row r="521" spans="1:12" x14ac:dyDescent="0.25">
      <c r="A521">
        <v>6</v>
      </c>
      <c r="B521">
        <v>129</v>
      </c>
      <c r="C521">
        <v>90</v>
      </c>
      <c r="D521">
        <v>7</v>
      </c>
      <c r="E521">
        <v>326</v>
      </c>
      <c r="F521">
        <v>20</v>
      </c>
      <c r="G521">
        <v>0.67200000000000004</v>
      </c>
      <c r="H521">
        <v>60</v>
      </c>
      <c r="I521">
        <v>0</v>
      </c>
      <c r="J521">
        <f>IF(AND(Table2[[#This Row],[BMI]]&gt;=23,Table2[[#This Row],[Outcome]]=1),1,0)</f>
        <v>0</v>
      </c>
      <c r="K521">
        <f>IF(AND(Table2[[#This Row],[BMI+Outcome]]=1,Table2[[#This Row],[Glucose]]&gt;=100),1,0)</f>
        <v>0</v>
      </c>
      <c r="L521">
        <f>IF(AND(Table2[[#This Row],[Outcome]]=1,Table2[[#This Row],[Glucose]]&gt;=100),1,0)</f>
        <v>0</v>
      </c>
    </row>
    <row r="522" spans="1:12" x14ac:dyDescent="0.25">
      <c r="A522">
        <v>2</v>
      </c>
      <c r="B522">
        <v>68</v>
      </c>
      <c r="C522">
        <v>70</v>
      </c>
      <c r="D522">
        <v>32</v>
      </c>
      <c r="E522">
        <v>66</v>
      </c>
      <c r="F522">
        <v>25</v>
      </c>
      <c r="G522">
        <v>0.67200000000000004</v>
      </c>
      <c r="H522">
        <v>25</v>
      </c>
      <c r="I522">
        <v>0</v>
      </c>
      <c r="J522">
        <f>IF(AND(Table2[[#This Row],[BMI]]&gt;=23,Table2[[#This Row],[Outcome]]=1),1,0)</f>
        <v>0</v>
      </c>
      <c r="K522">
        <f>IF(AND(Table2[[#This Row],[BMI+Outcome]]=1,Table2[[#This Row],[Glucose]]&gt;=100),1,0)</f>
        <v>0</v>
      </c>
      <c r="L522">
        <f>IF(AND(Table2[[#This Row],[Outcome]]=1,Table2[[#This Row],[Glucose]]&gt;=100),1,0)</f>
        <v>0</v>
      </c>
    </row>
    <row r="523" spans="1:12" x14ac:dyDescent="0.25">
      <c r="A523">
        <v>3</v>
      </c>
      <c r="B523">
        <v>124</v>
      </c>
      <c r="C523">
        <v>80</v>
      </c>
      <c r="D523">
        <v>33</v>
      </c>
      <c r="E523">
        <v>130</v>
      </c>
      <c r="F523">
        <v>33</v>
      </c>
      <c r="G523">
        <v>0.67200000000000004</v>
      </c>
      <c r="H523">
        <v>26</v>
      </c>
      <c r="I523">
        <v>0</v>
      </c>
      <c r="J523">
        <f>IF(AND(Table2[[#This Row],[BMI]]&gt;=23,Table2[[#This Row],[Outcome]]=1),1,0)</f>
        <v>0</v>
      </c>
      <c r="K523">
        <f>IF(AND(Table2[[#This Row],[BMI+Outcome]]=1,Table2[[#This Row],[Glucose]]&gt;=100),1,0)</f>
        <v>0</v>
      </c>
      <c r="L523">
        <f>IF(AND(Table2[[#This Row],[Outcome]]=1,Table2[[#This Row],[Glucose]]&gt;=100),1,0)</f>
        <v>0</v>
      </c>
    </row>
    <row r="524" spans="1:12" x14ac:dyDescent="0.25">
      <c r="A524">
        <v>6</v>
      </c>
      <c r="B524">
        <v>114</v>
      </c>
      <c r="C524">
        <v>69</v>
      </c>
      <c r="D524">
        <v>21</v>
      </c>
      <c r="E524">
        <v>80</v>
      </c>
      <c r="F524">
        <v>32</v>
      </c>
      <c r="G524">
        <v>0.67200000000000004</v>
      </c>
      <c r="H524">
        <v>26</v>
      </c>
      <c r="I524">
        <v>0</v>
      </c>
      <c r="J524">
        <f>IF(AND(Table2[[#This Row],[BMI]]&gt;=23,Table2[[#This Row],[Outcome]]=1),1,0)</f>
        <v>0</v>
      </c>
      <c r="K524">
        <f>IF(AND(Table2[[#This Row],[BMI+Outcome]]=1,Table2[[#This Row],[Glucose]]&gt;=100),1,0)</f>
        <v>0</v>
      </c>
      <c r="L524">
        <f>IF(AND(Table2[[#This Row],[Outcome]]=1,Table2[[#This Row],[Glucose]]&gt;=100),1,0)</f>
        <v>0</v>
      </c>
    </row>
    <row r="525" spans="1:12" x14ac:dyDescent="0.25">
      <c r="A525">
        <v>9</v>
      </c>
      <c r="B525">
        <v>130</v>
      </c>
      <c r="C525">
        <v>70</v>
      </c>
      <c r="D525">
        <v>21</v>
      </c>
      <c r="E525">
        <v>80</v>
      </c>
      <c r="F525">
        <v>34</v>
      </c>
      <c r="G525">
        <v>0.67200000000000004</v>
      </c>
      <c r="H525">
        <v>45</v>
      </c>
      <c r="I525">
        <v>1</v>
      </c>
      <c r="J525">
        <f>IF(AND(Table2[[#This Row],[BMI]]&gt;=23,Table2[[#This Row],[Outcome]]=1),1,0)</f>
        <v>1</v>
      </c>
      <c r="K525">
        <f>IF(AND(Table2[[#This Row],[BMI+Outcome]]=1,Table2[[#This Row],[Glucose]]&gt;=100),1,0)</f>
        <v>1</v>
      </c>
      <c r="L525">
        <f>IF(AND(Table2[[#This Row],[Outcome]]=1,Table2[[#This Row],[Glucose]]&gt;=100),1,0)</f>
        <v>1</v>
      </c>
    </row>
    <row r="526" spans="1:12" x14ac:dyDescent="0.25">
      <c r="A526">
        <v>3</v>
      </c>
      <c r="B526">
        <v>125</v>
      </c>
      <c r="C526">
        <v>58</v>
      </c>
      <c r="D526">
        <v>21</v>
      </c>
      <c r="E526">
        <v>80</v>
      </c>
      <c r="F526">
        <v>32</v>
      </c>
      <c r="G526">
        <v>0.67200000000000004</v>
      </c>
      <c r="H526">
        <v>24</v>
      </c>
      <c r="I526">
        <v>0</v>
      </c>
      <c r="J526">
        <f>IF(AND(Table2[[#This Row],[BMI]]&gt;=23,Table2[[#This Row],[Outcome]]=1),1,0)</f>
        <v>0</v>
      </c>
      <c r="K526">
        <f>IF(AND(Table2[[#This Row],[BMI+Outcome]]=1,Table2[[#This Row],[Glucose]]&gt;=100),1,0)</f>
        <v>0</v>
      </c>
      <c r="L526">
        <f>IF(AND(Table2[[#This Row],[Outcome]]=1,Table2[[#This Row],[Glucose]]&gt;=100),1,0)</f>
        <v>0</v>
      </c>
    </row>
    <row r="527" spans="1:12" x14ac:dyDescent="0.25">
      <c r="A527">
        <v>3</v>
      </c>
      <c r="B527">
        <v>87</v>
      </c>
      <c r="C527">
        <v>60</v>
      </c>
      <c r="D527">
        <v>18</v>
      </c>
      <c r="E527">
        <v>80</v>
      </c>
      <c r="F527">
        <v>22</v>
      </c>
      <c r="G527">
        <v>0.67200000000000004</v>
      </c>
      <c r="H527">
        <v>21</v>
      </c>
      <c r="I527">
        <v>0</v>
      </c>
      <c r="J527">
        <f>IF(AND(Table2[[#This Row],[BMI]]&gt;=23,Table2[[#This Row],[Outcome]]=1),1,0)</f>
        <v>0</v>
      </c>
      <c r="K527">
        <f>IF(AND(Table2[[#This Row],[BMI+Outcome]]=1,Table2[[#This Row],[Glucose]]&gt;=100),1,0)</f>
        <v>0</v>
      </c>
      <c r="L527">
        <f>IF(AND(Table2[[#This Row],[Outcome]]=1,Table2[[#This Row],[Glucose]]&gt;=100),1,0)</f>
        <v>0</v>
      </c>
    </row>
    <row r="528" spans="1:12" x14ac:dyDescent="0.25">
      <c r="A528">
        <v>1</v>
      </c>
      <c r="B528">
        <v>97</v>
      </c>
      <c r="C528">
        <v>64</v>
      </c>
      <c r="D528">
        <v>19</v>
      </c>
      <c r="E528">
        <v>82</v>
      </c>
      <c r="F528">
        <v>18</v>
      </c>
      <c r="G528">
        <v>0.67200000000000004</v>
      </c>
      <c r="H528">
        <v>21</v>
      </c>
      <c r="I528">
        <v>0</v>
      </c>
      <c r="J528">
        <f>IF(AND(Table2[[#This Row],[BMI]]&gt;=23,Table2[[#This Row],[Outcome]]=1),1,0)</f>
        <v>0</v>
      </c>
      <c r="K528">
        <f>IF(AND(Table2[[#This Row],[BMI+Outcome]]=1,Table2[[#This Row],[Glucose]]&gt;=100),1,0)</f>
        <v>0</v>
      </c>
      <c r="L528">
        <f>IF(AND(Table2[[#This Row],[Outcome]]=1,Table2[[#This Row],[Glucose]]&gt;=100),1,0)</f>
        <v>0</v>
      </c>
    </row>
    <row r="529" spans="1:12" x14ac:dyDescent="0.25">
      <c r="A529">
        <v>3</v>
      </c>
      <c r="B529">
        <v>116</v>
      </c>
      <c r="C529">
        <v>74</v>
      </c>
      <c r="D529">
        <v>15</v>
      </c>
      <c r="E529">
        <v>105</v>
      </c>
      <c r="F529">
        <v>26</v>
      </c>
      <c r="G529">
        <v>0.67200000000000004</v>
      </c>
      <c r="H529">
        <v>24</v>
      </c>
      <c r="I529">
        <v>0</v>
      </c>
      <c r="J529">
        <f>IF(AND(Table2[[#This Row],[BMI]]&gt;=23,Table2[[#This Row],[Outcome]]=1),1,0)</f>
        <v>0</v>
      </c>
      <c r="K529">
        <f>IF(AND(Table2[[#This Row],[BMI+Outcome]]=1,Table2[[#This Row],[Glucose]]&gt;=100),1,0)</f>
        <v>0</v>
      </c>
      <c r="L529">
        <f>IF(AND(Table2[[#This Row],[Outcome]]=1,Table2[[#This Row],[Glucose]]&gt;=100),1,0)</f>
        <v>0</v>
      </c>
    </row>
    <row r="530" spans="1:12" x14ac:dyDescent="0.25">
      <c r="A530">
        <v>4</v>
      </c>
      <c r="B530">
        <v>117</v>
      </c>
      <c r="C530">
        <v>66</v>
      </c>
      <c r="D530">
        <v>31</v>
      </c>
      <c r="E530">
        <v>188</v>
      </c>
      <c r="F530">
        <v>31</v>
      </c>
      <c r="G530">
        <v>0.67200000000000004</v>
      </c>
      <c r="H530">
        <v>22</v>
      </c>
      <c r="I530">
        <v>0</v>
      </c>
      <c r="J530">
        <f>IF(AND(Table2[[#This Row],[BMI]]&gt;=23,Table2[[#This Row],[Outcome]]=1),1,0)</f>
        <v>0</v>
      </c>
      <c r="K530">
        <f>IF(AND(Table2[[#This Row],[BMI+Outcome]]=1,Table2[[#This Row],[Glucose]]&gt;=100),1,0)</f>
        <v>0</v>
      </c>
      <c r="L530">
        <f>IF(AND(Table2[[#This Row],[Outcome]]=1,Table2[[#This Row],[Glucose]]&gt;=100),1,0)</f>
        <v>0</v>
      </c>
    </row>
    <row r="531" spans="1:12" x14ac:dyDescent="0.25">
      <c r="A531">
        <v>4</v>
      </c>
      <c r="B531">
        <v>111</v>
      </c>
      <c r="C531">
        <v>65</v>
      </c>
      <c r="D531">
        <v>21</v>
      </c>
      <c r="E531">
        <v>80</v>
      </c>
      <c r="F531">
        <v>25</v>
      </c>
      <c r="G531">
        <v>0.67200000000000004</v>
      </c>
      <c r="H531">
        <v>31</v>
      </c>
      <c r="I531">
        <v>0</v>
      </c>
      <c r="J531">
        <f>IF(AND(Table2[[#This Row],[BMI]]&gt;=23,Table2[[#This Row],[Outcome]]=1),1,0)</f>
        <v>0</v>
      </c>
      <c r="K531">
        <f>IF(AND(Table2[[#This Row],[BMI+Outcome]]=1,Table2[[#This Row],[Glucose]]&gt;=100),1,0)</f>
        <v>0</v>
      </c>
      <c r="L531">
        <f>IF(AND(Table2[[#This Row],[Outcome]]=1,Table2[[#This Row],[Glucose]]&gt;=100),1,0)</f>
        <v>0</v>
      </c>
    </row>
    <row r="532" spans="1:12" x14ac:dyDescent="0.25">
      <c r="A532">
        <v>2</v>
      </c>
      <c r="B532">
        <v>122</v>
      </c>
      <c r="C532">
        <v>60</v>
      </c>
      <c r="D532">
        <v>18</v>
      </c>
      <c r="E532">
        <v>106</v>
      </c>
      <c r="F532">
        <v>30</v>
      </c>
      <c r="G532">
        <v>0.67200000000000004</v>
      </c>
      <c r="H532">
        <v>22</v>
      </c>
      <c r="I532">
        <v>0</v>
      </c>
      <c r="J532">
        <f>IF(AND(Table2[[#This Row],[BMI]]&gt;=23,Table2[[#This Row],[Outcome]]=1),1,0)</f>
        <v>0</v>
      </c>
      <c r="K532">
        <f>IF(AND(Table2[[#This Row],[BMI+Outcome]]=1,Table2[[#This Row],[Glucose]]&gt;=100),1,0)</f>
        <v>0</v>
      </c>
      <c r="L532">
        <f>IF(AND(Table2[[#This Row],[Outcome]]=1,Table2[[#This Row],[Glucose]]&gt;=100),1,0)</f>
        <v>0</v>
      </c>
    </row>
    <row r="533" spans="1:12" x14ac:dyDescent="0.25">
      <c r="A533">
        <v>4</v>
      </c>
      <c r="B533">
        <v>107</v>
      </c>
      <c r="C533">
        <v>76</v>
      </c>
      <c r="D533">
        <v>21</v>
      </c>
      <c r="E533">
        <v>80</v>
      </c>
      <c r="F533">
        <v>45</v>
      </c>
      <c r="G533">
        <v>0.67200000000000004</v>
      </c>
      <c r="H533">
        <v>24</v>
      </c>
      <c r="I533">
        <v>0</v>
      </c>
      <c r="J533">
        <f>IF(AND(Table2[[#This Row],[BMI]]&gt;=23,Table2[[#This Row],[Outcome]]=1),1,0)</f>
        <v>0</v>
      </c>
      <c r="K533">
        <f>IF(AND(Table2[[#This Row],[BMI+Outcome]]=1,Table2[[#This Row],[Glucose]]&gt;=100),1,0)</f>
        <v>0</v>
      </c>
      <c r="L533">
        <f>IF(AND(Table2[[#This Row],[Outcome]]=1,Table2[[#This Row],[Glucose]]&gt;=100),1,0)</f>
        <v>0</v>
      </c>
    </row>
    <row r="534" spans="1:12" x14ac:dyDescent="0.25">
      <c r="A534">
        <v>1</v>
      </c>
      <c r="B534">
        <v>86</v>
      </c>
      <c r="C534">
        <v>66</v>
      </c>
      <c r="D534">
        <v>52</v>
      </c>
      <c r="E534">
        <v>65</v>
      </c>
      <c r="F534">
        <v>41</v>
      </c>
      <c r="G534">
        <v>0.67200000000000004</v>
      </c>
      <c r="H534">
        <v>29</v>
      </c>
      <c r="I534">
        <v>0</v>
      </c>
      <c r="J534">
        <f>IF(AND(Table2[[#This Row],[BMI]]&gt;=23,Table2[[#This Row],[Outcome]]=1),1,0)</f>
        <v>0</v>
      </c>
      <c r="K534">
        <f>IF(AND(Table2[[#This Row],[BMI+Outcome]]=1,Table2[[#This Row],[Glucose]]&gt;=100),1,0)</f>
        <v>0</v>
      </c>
      <c r="L534">
        <f>IF(AND(Table2[[#This Row],[Outcome]]=1,Table2[[#This Row],[Glucose]]&gt;=100),1,0)</f>
        <v>0</v>
      </c>
    </row>
    <row r="535" spans="1:12" x14ac:dyDescent="0.25">
      <c r="A535">
        <v>6</v>
      </c>
      <c r="B535">
        <v>91</v>
      </c>
      <c r="C535">
        <v>69</v>
      </c>
      <c r="D535">
        <v>21</v>
      </c>
      <c r="E535">
        <v>80</v>
      </c>
      <c r="F535">
        <v>30</v>
      </c>
      <c r="G535">
        <v>0.67200000000000004</v>
      </c>
      <c r="H535">
        <v>31</v>
      </c>
      <c r="I535">
        <v>0</v>
      </c>
      <c r="J535">
        <f>IF(AND(Table2[[#This Row],[BMI]]&gt;=23,Table2[[#This Row],[Outcome]]=1),1,0)</f>
        <v>0</v>
      </c>
      <c r="K535">
        <f>IF(AND(Table2[[#This Row],[BMI+Outcome]]=1,Table2[[#This Row],[Glucose]]&gt;=100),1,0)</f>
        <v>0</v>
      </c>
      <c r="L535">
        <f>IF(AND(Table2[[#This Row],[Outcome]]=1,Table2[[#This Row],[Glucose]]&gt;=100),1,0)</f>
        <v>0</v>
      </c>
    </row>
    <row r="536" spans="1:12" x14ac:dyDescent="0.25">
      <c r="A536">
        <v>1</v>
      </c>
      <c r="B536">
        <v>77</v>
      </c>
      <c r="C536">
        <v>56</v>
      </c>
      <c r="D536">
        <v>30</v>
      </c>
      <c r="E536">
        <v>56</v>
      </c>
      <c r="F536">
        <v>33</v>
      </c>
      <c r="G536">
        <v>0.67200000000000004</v>
      </c>
      <c r="H536">
        <v>24</v>
      </c>
      <c r="I536">
        <v>0</v>
      </c>
      <c r="J536">
        <f>IF(AND(Table2[[#This Row],[BMI]]&gt;=23,Table2[[#This Row],[Outcome]]=1),1,0)</f>
        <v>0</v>
      </c>
      <c r="K536">
        <f>IF(AND(Table2[[#This Row],[BMI+Outcome]]=1,Table2[[#This Row],[Glucose]]&gt;=100),1,0)</f>
        <v>0</v>
      </c>
      <c r="L536">
        <f>IF(AND(Table2[[#This Row],[Outcome]]=1,Table2[[#This Row],[Glucose]]&gt;=100),1,0)</f>
        <v>0</v>
      </c>
    </row>
    <row r="537" spans="1:12" x14ac:dyDescent="0.25">
      <c r="A537">
        <v>4</v>
      </c>
      <c r="B537">
        <v>132</v>
      </c>
      <c r="C537">
        <v>69</v>
      </c>
      <c r="D537">
        <v>21</v>
      </c>
      <c r="E537">
        <v>80</v>
      </c>
      <c r="F537">
        <v>33</v>
      </c>
      <c r="G537">
        <v>0.67200000000000004</v>
      </c>
      <c r="H537">
        <v>23</v>
      </c>
      <c r="I537">
        <v>1</v>
      </c>
      <c r="J537">
        <f>IF(AND(Table2[[#This Row],[BMI]]&gt;=23,Table2[[#This Row],[Outcome]]=1),1,0)</f>
        <v>1</v>
      </c>
      <c r="K537">
        <f>IF(AND(Table2[[#This Row],[BMI+Outcome]]=1,Table2[[#This Row],[Glucose]]&gt;=100),1,0)</f>
        <v>1</v>
      </c>
      <c r="L537">
        <f>IF(AND(Table2[[#This Row],[Outcome]]=1,Table2[[#This Row],[Glucose]]&gt;=100),1,0)</f>
        <v>1</v>
      </c>
    </row>
    <row r="538" spans="1:12" x14ac:dyDescent="0.25">
      <c r="A538">
        <v>4</v>
      </c>
      <c r="B538">
        <v>105</v>
      </c>
      <c r="C538">
        <v>90</v>
      </c>
      <c r="D538">
        <v>21</v>
      </c>
      <c r="E538">
        <v>80</v>
      </c>
      <c r="F538">
        <v>30</v>
      </c>
      <c r="G538">
        <v>0.67200000000000004</v>
      </c>
      <c r="H538">
        <v>46</v>
      </c>
      <c r="I538">
        <v>0</v>
      </c>
      <c r="J538">
        <f>IF(AND(Table2[[#This Row],[BMI]]&gt;=23,Table2[[#This Row],[Outcome]]=1),1,0)</f>
        <v>0</v>
      </c>
      <c r="K538">
        <f>IF(AND(Table2[[#This Row],[BMI+Outcome]]=1,Table2[[#This Row],[Glucose]]&gt;=100),1,0)</f>
        <v>0</v>
      </c>
      <c r="L538">
        <f>IF(AND(Table2[[#This Row],[Outcome]]=1,Table2[[#This Row],[Glucose]]&gt;=100),1,0)</f>
        <v>0</v>
      </c>
    </row>
    <row r="539" spans="1:12" x14ac:dyDescent="0.25">
      <c r="A539">
        <v>4</v>
      </c>
      <c r="B539">
        <v>57</v>
      </c>
      <c r="C539">
        <v>60</v>
      </c>
      <c r="D539">
        <v>21</v>
      </c>
      <c r="E539">
        <v>80</v>
      </c>
      <c r="F539">
        <v>22</v>
      </c>
      <c r="G539">
        <v>0.67200000000000004</v>
      </c>
      <c r="H539">
        <v>67</v>
      </c>
      <c r="I539">
        <v>0</v>
      </c>
      <c r="J539">
        <f>IF(AND(Table2[[#This Row],[BMI]]&gt;=23,Table2[[#This Row],[Outcome]]=1),1,0)</f>
        <v>0</v>
      </c>
      <c r="K539">
        <f>IF(AND(Table2[[#This Row],[BMI+Outcome]]=1,Table2[[#This Row],[Glucose]]&gt;=100),1,0)</f>
        <v>0</v>
      </c>
      <c r="L539">
        <f>IF(AND(Table2[[#This Row],[Outcome]]=1,Table2[[#This Row],[Glucose]]&gt;=100),1,0)</f>
        <v>0</v>
      </c>
    </row>
    <row r="540" spans="1:12" x14ac:dyDescent="0.25">
      <c r="A540">
        <v>4</v>
      </c>
      <c r="B540">
        <v>127</v>
      </c>
      <c r="C540">
        <v>80</v>
      </c>
      <c r="D540">
        <v>37</v>
      </c>
      <c r="E540">
        <v>210</v>
      </c>
      <c r="F540">
        <v>36</v>
      </c>
      <c r="G540">
        <v>0.67200000000000004</v>
      </c>
      <c r="H540">
        <v>23</v>
      </c>
      <c r="I540">
        <v>0</v>
      </c>
      <c r="J540">
        <f>IF(AND(Table2[[#This Row],[BMI]]&gt;=23,Table2[[#This Row],[Outcome]]=1),1,0)</f>
        <v>0</v>
      </c>
      <c r="K540">
        <f>IF(AND(Table2[[#This Row],[BMI+Outcome]]=1,Table2[[#This Row],[Glucose]]&gt;=100),1,0)</f>
        <v>0</v>
      </c>
      <c r="L540">
        <f>IF(AND(Table2[[#This Row],[Outcome]]=1,Table2[[#This Row],[Glucose]]&gt;=100),1,0)</f>
        <v>0</v>
      </c>
    </row>
    <row r="541" spans="1:12" x14ac:dyDescent="0.25">
      <c r="A541">
        <v>3</v>
      </c>
      <c r="B541">
        <v>129</v>
      </c>
      <c r="C541">
        <v>92</v>
      </c>
      <c r="D541">
        <v>49</v>
      </c>
      <c r="E541">
        <v>155</v>
      </c>
      <c r="F541">
        <v>36</v>
      </c>
      <c r="G541">
        <v>0.67200000000000004</v>
      </c>
      <c r="H541">
        <v>32</v>
      </c>
      <c r="I541">
        <v>1</v>
      </c>
      <c r="J541">
        <f>IF(AND(Table2[[#This Row],[BMI]]&gt;=23,Table2[[#This Row],[Outcome]]=1),1,0)</f>
        <v>1</v>
      </c>
      <c r="K541">
        <f>IF(AND(Table2[[#This Row],[BMI+Outcome]]=1,Table2[[#This Row],[Glucose]]&gt;=100),1,0)</f>
        <v>1</v>
      </c>
      <c r="L541">
        <f>IF(AND(Table2[[#This Row],[Outcome]]=1,Table2[[#This Row],[Glucose]]&gt;=100),1,0)</f>
        <v>1</v>
      </c>
    </row>
    <row r="542" spans="1:12" x14ac:dyDescent="0.25">
      <c r="A542">
        <v>8</v>
      </c>
      <c r="B542">
        <v>100</v>
      </c>
      <c r="C542">
        <v>74</v>
      </c>
      <c r="D542">
        <v>40</v>
      </c>
      <c r="E542">
        <v>215</v>
      </c>
      <c r="F542">
        <v>39</v>
      </c>
      <c r="G542">
        <v>0.67200000000000004</v>
      </c>
      <c r="H542">
        <v>43</v>
      </c>
      <c r="I542">
        <v>1</v>
      </c>
      <c r="J542">
        <f>IF(AND(Table2[[#This Row],[BMI]]&gt;=23,Table2[[#This Row],[Outcome]]=1),1,0)</f>
        <v>1</v>
      </c>
      <c r="K542">
        <f>IF(AND(Table2[[#This Row],[BMI+Outcome]]=1,Table2[[#This Row],[Glucose]]&gt;=100),1,0)</f>
        <v>1</v>
      </c>
      <c r="L542">
        <f>IF(AND(Table2[[#This Row],[Outcome]]=1,Table2[[#This Row],[Glucose]]&gt;=100),1,0)</f>
        <v>1</v>
      </c>
    </row>
    <row r="543" spans="1:12" x14ac:dyDescent="0.25">
      <c r="A543">
        <v>3</v>
      </c>
      <c r="B543">
        <v>128</v>
      </c>
      <c r="C543">
        <v>72</v>
      </c>
      <c r="D543">
        <v>25</v>
      </c>
      <c r="E543">
        <v>190</v>
      </c>
      <c r="F543">
        <v>32</v>
      </c>
      <c r="G543">
        <v>0.67200000000000004</v>
      </c>
      <c r="H543">
        <v>27</v>
      </c>
      <c r="I543">
        <v>1</v>
      </c>
      <c r="J543">
        <f>IF(AND(Table2[[#This Row],[BMI]]&gt;=23,Table2[[#This Row],[Outcome]]=1),1,0)</f>
        <v>1</v>
      </c>
      <c r="K543">
        <f>IF(AND(Table2[[#This Row],[BMI+Outcome]]=1,Table2[[#This Row],[Glucose]]&gt;=100),1,0)</f>
        <v>1</v>
      </c>
      <c r="L543">
        <f>IF(AND(Table2[[#This Row],[Outcome]]=1,Table2[[#This Row],[Glucose]]&gt;=100),1,0)</f>
        <v>1</v>
      </c>
    </row>
    <row r="544" spans="1:12" x14ac:dyDescent="0.25">
      <c r="A544">
        <v>10</v>
      </c>
      <c r="B544">
        <v>90</v>
      </c>
      <c r="C544">
        <v>85</v>
      </c>
      <c r="D544">
        <v>32</v>
      </c>
      <c r="E544">
        <v>80</v>
      </c>
      <c r="F544">
        <v>35</v>
      </c>
      <c r="G544">
        <v>0.67200000000000004</v>
      </c>
      <c r="H544">
        <v>56</v>
      </c>
      <c r="I544">
        <v>1</v>
      </c>
      <c r="J544">
        <f>IF(AND(Table2[[#This Row],[BMI]]&gt;=23,Table2[[#This Row],[Outcome]]=1),1,0)</f>
        <v>1</v>
      </c>
      <c r="K544">
        <f>IF(AND(Table2[[#This Row],[BMI+Outcome]]=1,Table2[[#This Row],[Glucose]]&gt;=100),1,0)</f>
        <v>0</v>
      </c>
      <c r="L544">
        <f>IF(AND(Table2[[#This Row],[Outcome]]=1,Table2[[#This Row],[Glucose]]&gt;=100),1,0)</f>
        <v>0</v>
      </c>
    </row>
    <row r="545" spans="1:12" x14ac:dyDescent="0.25">
      <c r="A545">
        <v>4</v>
      </c>
      <c r="B545">
        <v>84</v>
      </c>
      <c r="C545">
        <v>90</v>
      </c>
      <c r="D545">
        <v>23</v>
      </c>
      <c r="E545">
        <v>56</v>
      </c>
      <c r="F545">
        <v>40</v>
      </c>
      <c r="G545">
        <v>0.67200000000000004</v>
      </c>
      <c r="H545">
        <v>25</v>
      </c>
      <c r="I545">
        <v>0</v>
      </c>
      <c r="J545">
        <f>IF(AND(Table2[[#This Row],[BMI]]&gt;=23,Table2[[#This Row],[Outcome]]=1),1,0)</f>
        <v>0</v>
      </c>
      <c r="K545">
        <f>IF(AND(Table2[[#This Row],[BMI+Outcome]]=1,Table2[[#This Row],[Glucose]]&gt;=100),1,0)</f>
        <v>0</v>
      </c>
      <c r="L545">
        <f>IF(AND(Table2[[#This Row],[Outcome]]=1,Table2[[#This Row],[Glucose]]&gt;=100),1,0)</f>
        <v>0</v>
      </c>
    </row>
    <row r="546" spans="1:12" x14ac:dyDescent="0.25">
      <c r="A546">
        <v>1</v>
      </c>
      <c r="B546">
        <v>88</v>
      </c>
      <c r="C546">
        <v>78</v>
      </c>
      <c r="D546">
        <v>29</v>
      </c>
      <c r="E546">
        <v>76</v>
      </c>
      <c r="F546">
        <v>32</v>
      </c>
      <c r="G546">
        <v>0.67200000000000004</v>
      </c>
      <c r="H546">
        <v>29</v>
      </c>
      <c r="I546">
        <v>0</v>
      </c>
      <c r="J546">
        <f>IF(AND(Table2[[#This Row],[BMI]]&gt;=23,Table2[[#This Row],[Outcome]]=1),1,0)</f>
        <v>0</v>
      </c>
      <c r="K546">
        <f>IF(AND(Table2[[#This Row],[BMI+Outcome]]=1,Table2[[#This Row],[Glucose]]&gt;=100),1,0)</f>
        <v>0</v>
      </c>
      <c r="L546">
        <f>IF(AND(Table2[[#This Row],[Outcome]]=1,Table2[[#This Row],[Glucose]]&gt;=100),1,0)</f>
        <v>0</v>
      </c>
    </row>
    <row r="547" spans="1:12" x14ac:dyDescent="0.25">
      <c r="A547">
        <v>8</v>
      </c>
      <c r="B547">
        <v>186</v>
      </c>
      <c r="C547">
        <v>90</v>
      </c>
      <c r="D547">
        <v>35</v>
      </c>
      <c r="E547">
        <v>225</v>
      </c>
      <c r="F547">
        <v>34</v>
      </c>
      <c r="G547">
        <v>0.67200000000000004</v>
      </c>
      <c r="H547">
        <v>37</v>
      </c>
      <c r="I547">
        <v>1</v>
      </c>
      <c r="J547">
        <f>IF(AND(Table2[[#This Row],[BMI]]&gt;=23,Table2[[#This Row],[Outcome]]=1),1,0)</f>
        <v>1</v>
      </c>
      <c r="K547">
        <f>IF(AND(Table2[[#This Row],[BMI+Outcome]]=1,Table2[[#This Row],[Glucose]]&gt;=100),1,0)</f>
        <v>1</v>
      </c>
      <c r="L547">
        <f>IF(AND(Table2[[#This Row],[Outcome]]=1,Table2[[#This Row],[Glucose]]&gt;=100),1,0)</f>
        <v>1</v>
      </c>
    </row>
    <row r="548" spans="1:12" x14ac:dyDescent="0.25">
      <c r="A548">
        <v>5</v>
      </c>
      <c r="B548">
        <v>187</v>
      </c>
      <c r="C548">
        <v>76</v>
      </c>
      <c r="D548">
        <v>27</v>
      </c>
      <c r="E548">
        <v>207</v>
      </c>
      <c r="F548">
        <v>44</v>
      </c>
      <c r="G548">
        <v>0.67200000000000004</v>
      </c>
      <c r="H548">
        <v>53</v>
      </c>
      <c r="I548">
        <v>1</v>
      </c>
      <c r="J548">
        <f>IF(AND(Table2[[#This Row],[BMI]]&gt;=23,Table2[[#This Row],[Outcome]]=1),1,0)</f>
        <v>1</v>
      </c>
      <c r="K548">
        <f>IF(AND(Table2[[#This Row],[BMI+Outcome]]=1,Table2[[#This Row],[Glucose]]&gt;=100),1,0)</f>
        <v>1</v>
      </c>
      <c r="L548">
        <f>IF(AND(Table2[[#This Row],[Outcome]]=1,Table2[[#This Row],[Glucose]]&gt;=100),1,0)</f>
        <v>1</v>
      </c>
    </row>
    <row r="549" spans="1:12" x14ac:dyDescent="0.25">
      <c r="A549">
        <v>4</v>
      </c>
      <c r="B549">
        <v>131</v>
      </c>
      <c r="C549">
        <v>68</v>
      </c>
      <c r="D549">
        <v>21</v>
      </c>
      <c r="E549">
        <v>166</v>
      </c>
      <c r="F549">
        <v>33</v>
      </c>
      <c r="G549">
        <v>0.67200000000000004</v>
      </c>
      <c r="H549">
        <v>28</v>
      </c>
      <c r="I549">
        <v>0</v>
      </c>
      <c r="J549">
        <f>IF(AND(Table2[[#This Row],[BMI]]&gt;=23,Table2[[#This Row],[Outcome]]=1),1,0)</f>
        <v>0</v>
      </c>
      <c r="K549">
        <f>IF(AND(Table2[[#This Row],[BMI+Outcome]]=1,Table2[[#This Row],[Glucose]]&gt;=100),1,0)</f>
        <v>0</v>
      </c>
      <c r="L549">
        <f>IF(AND(Table2[[#This Row],[Outcome]]=1,Table2[[#This Row],[Glucose]]&gt;=100),1,0)</f>
        <v>0</v>
      </c>
    </row>
    <row r="550" spans="1:12" x14ac:dyDescent="0.25">
      <c r="A550">
        <v>1</v>
      </c>
      <c r="B550">
        <v>164</v>
      </c>
      <c r="C550">
        <v>82</v>
      </c>
      <c r="D550">
        <v>43</v>
      </c>
      <c r="E550">
        <v>67</v>
      </c>
      <c r="F550">
        <v>33</v>
      </c>
      <c r="G550">
        <v>0.67200000000000004</v>
      </c>
      <c r="H550">
        <v>50</v>
      </c>
      <c r="I550">
        <v>0</v>
      </c>
      <c r="J550">
        <f>IF(AND(Table2[[#This Row],[BMI]]&gt;=23,Table2[[#This Row],[Outcome]]=1),1,0)</f>
        <v>0</v>
      </c>
      <c r="K550">
        <f>IF(AND(Table2[[#This Row],[BMI+Outcome]]=1,Table2[[#This Row],[Glucose]]&gt;=100),1,0)</f>
        <v>0</v>
      </c>
      <c r="L550">
        <f>IF(AND(Table2[[#This Row],[Outcome]]=1,Table2[[#This Row],[Glucose]]&gt;=100),1,0)</f>
        <v>0</v>
      </c>
    </row>
    <row r="551" spans="1:12" x14ac:dyDescent="0.25">
      <c r="A551">
        <v>4</v>
      </c>
      <c r="B551">
        <v>189</v>
      </c>
      <c r="C551">
        <v>110</v>
      </c>
      <c r="D551">
        <v>31</v>
      </c>
      <c r="E551">
        <v>80</v>
      </c>
      <c r="F551">
        <v>28</v>
      </c>
      <c r="G551">
        <v>0.67200000000000004</v>
      </c>
      <c r="H551">
        <v>37</v>
      </c>
      <c r="I551">
        <v>0</v>
      </c>
      <c r="J551">
        <f>IF(AND(Table2[[#This Row],[BMI]]&gt;=23,Table2[[#This Row],[Outcome]]=1),1,0)</f>
        <v>0</v>
      </c>
      <c r="K551">
        <f>IF(AND(Table2[[#This Row],[BMI+Outcome]]=1,Table2[[#This Row],[Glucose]]&gt;=100),1,0)</f>
        <v>0</v>
      </c>
      <c r="L551">
        <f>IF(AND(Table2[[#This Row],[Outcome]]=1,Table2[[#This Row],[Glucose]]&gt;=100),1,0)</f>
        <v>0</v>
      </c>
    </row>
    <row r="552" spans="1:12" x14ac:dyDescent="0.25">
      <c r="A552">
        <v>1</v>
      </c>
      <c r="B552">
        <v>116</v>
      </c>
      <c r="C552">
        <v>70</v>
      </c>
      <c r="D552">
        <v>28</v>
      </c>
      <c r="E552">
        <v>80</v>
      </c>
      <c r="F552">
        <v>27</v>
      </c>
      <c r="G552">
        <v>0.67200000000000004</v>
      </c>
      <c r="H552">
        <v>21</v>
      </c>
      <c r="I552">
        <v>0</v>
      </c>
      <c r="J552">
        <f>IF(AND(Table2[[#This Row],[BMI]]&gt;=23,Table2[[#This Row],[Outcome]]=1),1,0)</f>
        <v>0</v>
      </c>
      <c r="K552">
        <f>IF(AND(Table2[[#This Row],[BMI+Outcome]]=1,Table2[[#This Row],[Glucose]]&gt;=100),1,0)</f>
        <v>0</v>
      </c>
      <c r="L552">
        <f>IF(AND(Table2[[#This Row],[Outcome]]=1,Table2[[#This Row],[Glucose]]&gt;=100),1,0)</f>
        <v>0</v>
      </c>
    </row>
    <row r="553" spans="1:12" x14ac:dyDescent="0.25">
      <c r="A553">
        <v>3</v>
      </c>
      <c r="B553">
        <v>84</v>
      </c>
      <c r="C553">
        <v>68</v>
      </c>
      <c r="D553">
        <v>30</v>
      </c>
      <c r="E553">
        <v>106</v>
      </c>
      <c r="F553">
        <v>32</v>
      </c>
      <c r="G553">
        <v>0.67200000000000004</v>
      </c>
      <c r="H553">
        <v>25</v>
      </c>
      <c r="I553">
        <v>0</v>
      </c>
      <c r="J553">
        <f>IF(AND(Table2[[#This Row],[BMI]]&gt;=23,Table2[[#This Row],[Outcome]]=1),1,0)</f>
        <v>0</v>
      </c>
      <c r="K553">
        <f>IF(AND(Table2[[#This Row],[BMI+Outcome]]=1,Table2[[#This Row],[Glucose]]&gt;=100),1,0)</f>
        <v>0</v>
      </c>
      <c r="L553">
        <f>IF(AND(Table2[[#This Row],[Outcome]]=1,Table2[[#This Row],[Glucose]]&gt;=100),1,0)</f>
        <v>0</v>
      </c>
    </row>
    <row r="554" spans="1:12" x14ac:dyDescent="0.25">
      <c r="A554">
        <v>6</v>
      </c>
      <c r="B554">
        <v>114</v>
      </c>
      <c r="C554">
        <v>88</v>
      </c>
      <c r="D554">
        <v>21</v>
      </c>
      <c r="E554">
        <v>80</v>
      </c>
      <c r="F554">
        <v>28</v>
      </c>
      <c r="G554">
        <v>0.67200000000000004</v>
      </c>
      <c r="H554">
        <v>66</v>
      </c>
      <c r="I554">
        <v>0</v>
      </c>
      <c r="J554">
        <f>IF(AND(Table2[[#This Row],[BMI]]&gt;=23,Table2[[#This Row],[Outcome]]=1),1,0)</f>
        <v>0</v>
      </c>
      <c r="K554">
        <f>IF(AND(Table2[[#This Row],[BMI+Outcome]]=1,Table2[[#This Row],[Glucose]]&gt;=100),1,0)</f>
        <v>0</v>
      </c>
      <c r="L554">
        <f>IF(AND(Table2[[#This Row],[Outcome]]=1,Table2[[#This Row],[Glucose]]&gt;=100),1,0)</f>
        <v>0</v>
      </c>
    </row>
    <row r="555" spans="1:12" x14ac:dyDescent="0.25">
      <c r="A555">
        <v>1</v>
      </c>
      <c r="B555">
        <v>88</v>
      </c>
      <c r="C555">
        <v>62</v>
      </c>
      <c r="D555">
        <v>24</v>
      </c>
      <c r="E555">
        <v>44</v>
      </c>
      <c r="F555">
        <v>30</v>
      </c>
      <c r="G555">
        <v>0.67200000000000004</v>
      </c>
      <c r="H555">
        <v>23</v>
      </c>
      <c r="I555">
        <v>0</v>
      </c>
      <c r="J555">
        <f>IF(AND(Table2[[#This Row],[BMI]]&gt;=23,Table2[[#This Row],[Outcome]]=1),1,0)</f>
        <v>0</v>
      </c>
      <c r="K555">
        <f>IF(AND(Table2[[#This Row],[BMI+Outcome]]=1,Table2[[#This Row],[Glucose]]&gt;=100),1,0)</f>
        <v>0</v>
      </c>
      <c r="L555">
        <f>IF(AND(Table2[[#This Row],[Outcome]]=1,Table2[[#This Row],[Glucose]]&gt;=100),1,0)</f>
        <v>0</v>
      </c>
    </row>
    <row r="556" spans="1:12" x14ac:dyDescent="0.25">
      <c r="A556">
        <v>1</v>
      </c>
      <c r="B556">
        <v>84</v>
      </c>
      <c r="C556">
        <v>64</v>
      </c>
      <c r="D556">
        <v>23</v>
      </c>
      <c r="E556">
        <v>115</v>
      </c>
      <c r="F556">
        <v>37</v>
      </c>
      <c r="G556">
        <v>0.67200000000000004</v>
      </c>
      <c r="H556">
        <v>28</v>
      </c>
      <c r="I556">
        <v>0</v>
      </c>
      <c r="J556">
        <f>IF(AND(Table2[[#This Row],[BMI]]&gt;=23,Table2[[#This Row],[Outcome]]=1),1,0)</f>
        <v>0</v>
      </c>
      <c r="K556">
        <f>IF(AND(Table2[[#This Row],[BMI+Outcome]]=1,Table2[[#This Row],[Glucose]]&gt;=100),1,0)</f>
        <v>0</v>
      </c>
      <c r="L556">
        <f>IF(AND(Table2[[#This Row],[Outcome]]=1,Table2[[#This Row],[Glucose]]&gt;=100),1,0)</f>
        <v>0</v>
      </c>
    </row>
    <row r="557" spans="1:12" x14ac:dyDescent="0.25">
      <c r="A557">
        <v>7</v>
      </c>
      <c r="B557">
        <v>124</v>
      </c>
      <c r="C557">
        <v>70</v>
      </c>
      <c r="D557">
        <v>33</v>
      </c>
      <c r="E557">
        <v>215</v>
      </c>
      <c r="F557">
        <v>26</v>
      </c>
      <c r="G557">
        <v>0.67200000000000004</v>
      </c>
      <c r="H557">
        <v>37</v>
      </c>
      <c r="I557">
        <v>0</v>
      </c>
      <c r="J557">
        <f>IF(AND(Table2[[#This Row],[BMI]]&gt;=23,Table2[[#This Row],[Outcome]]=1),1,0)</f>
        <v>0</v>
      </c>
      <c r="K557">
        <f>IF(AND(Table2[[#This Row],[BMI+Outcome]]=1,Table2[[#This Row],[Glucose]]&gt;=100),1,0)</f>
        <v>0</v>
      </c>
      <c r="L557">
        <f>IF(AND(Table2[[#This Row],[Outcome]]=1,Table2[[#This Row],[Glucose]]&gt;=100),1,0)</f>
        <v>0</v>
      </c>
    </row>
    <row r="558" spans="1:12" x14ac:dyDescent="0.25">
      <c r="A558">
        <v>1</v>
      </c>
      <c r="B558">
        <v>97</v>
      </c>
      <c r="C558">
        <v>70</v>
      </c>
      <c r="D558">
        <v>40</v>
      </c>
      <c r="E558">
        <v>80</v>
      </c>
      <c r="F558">
        <v>38</v>
      </c>
      <c r="G558">
        <v>0.67200000000000004</v>
      </c>
      <c r="H558">
        <v>30</v>
      </c>
      <c r="I558">
        <v>0</v>
      </c>
      <c r="J558">
        <f>IF(AND(Table2[[#This Row],[BMI]]&gt;=23,Table2[[#This Row],[Outcome]]=1),1,0)</f>
        <v>0</v>
      </c>
      <c r="K558">
        <f>IF(AND(Table2[[#This Row],[BMI+Outcome]]=1,Table2[[#This Row],[Glucose]]&gt;=100),1,0)</f>
        <v>0</v>
      </c>
      <c r="L558">
        <f>IF(AND(Table2[[#This Row],[Outcome]]=1,Table2[[#This Row],[Glucose]]&gt;=100),1,0)</f>
        <v>0</v>
      </c>
    </row>
    <row r="559" spans="1:12" x14ac:dyDescent="0.25">
      <c r="A559">
        <v>8</v>
      </c>
      <c r="B559">
        <v>110</v>
      </c>
      <c r="C559">
        <v>76</v>
      </c>
      <c r="D559">
        <v>21</v>
      </c>
      <c r="E559">
        <v>80</v>
      </c>
      <c r="F559">
        <v>28</v>
      </c>
      <c r="G559">
        <v>0.67200000000000004</v>
      </c>
      <c r="H559">
        <v>58</v>
      </c>
      <c r="I559">
        <v>0</v>
      </c>
      <c r="J559">
        <f>IF(AND(Table2[[#This Row],[BMI]]&gt;=23,Table2[[#This Row],[Outcome]]=1),1,0)</f>
        <v>0</v>
      </c>
      <c r="K559">
        <f>IF(AND(Table2[[#This Row],[BMI+Outcome]]=1,Table2[[#This Row],[Glucose]]&gt;=100),1,0)</f>
        <v>0</v>
      </c>
      <c r="L559">
        <f>IF(AND(Table2[[#This Row],[Outcome]]=1,Table2[[#This Row],[Glucose]]&gt;=100),1,0)</f>
        <v>0</v>
      </c>
    </row>
    <row r="560" spans="1:12" x14ac:dyDescent="0.25">
      <c r="A560">
        <v>11</v>
      </c>
      <c r="B560">
        <v>103</v>
      </c>
      <c r="C560">
        <v>68</v>
      </c>
      <c r="D560">
        <v>40</v>
      </c>
      <c r="E560">
        <v>80</v>
      </c>
      <c r="F560">
        <v>46</v>
      </c>
      <c r="G560">
        <v>0.67200000000000004</v>
      </c>
      <c r="H560">
        <v>42</v>
      </c>
      <c r="I560">
        <v>0</v>
      </c>
      <c r="J560">
        <f>IF(AND(Table2[[#This Row],[BMI]]&gt;=23,Table2[[#This Row],[Outcome]]=1),1,0)</f>
        <v>0</v>
      </c>
      <c r="K560">
        <f>IF(AND(Table2[[#This Row],[BMI+Outcome]]=1,Table2[[#This Row],[Glucose]]&gt;=100),1,0)</f>
        <v>0</v>
      </c>
      <c r="L560">
        <f>IF(AND(Table2[[#This Row],[Outcome]]=1,Table2[[#This Row],[Glucose]]&gt;=100),1,0)</f>
        <v>0</v>
      </c>
    </row>
    <row r="561" spans="1:12" x14ac:dyDescent="0.25">
      <c r="A561">
        <v>11</v>
      </c>
      <c r="B561">
        <v>85</v>
      </c>
      <c r="C561">
        <v>74</v>
      </c>
      <c r="D561">
        <v>21</v>
      </c>
      <c r="E561">
        <v>80</v>
      </c>
      <c r="F561">
        <v>30</v>
      </c>
      <c r="G561">
        <v>0.67200000000000004</v>
      </c>
      <c r="H561">
        <v>35</v>
      </c>
      <c r="I561">
        <v>0</v>
      </c>
      <c r="J561">
        <f>IF(AND(Table2[[#This Row],[BMI]]&gt;=23,Table2[[#This Row],[Outcome]]=1),1,0)</f>
        <v>0</v>
      </c>
      <c r="K561">
        <f>IF(AND(Table2[[#This Row],[BMI+Outcome]]=1,Table2[[#This Row],[Glucose]]&gt;=100),1,0)</f>
        <v>0</v>
      </c>
      <c r="L561">
        <f>IF(AND(Table2[[#This Row],[Outcome]]=1,Table2[[#This Row],[Glucose]]&gt;=100),1,0)</f>
        <v>0</v>
      </c>
    </row>
    <row r="562" spans="1:12" x14ac:dyDescent="0.25">
      <c r="A562">
        <v>6</v>
      </c>
      <c r="B562">
        <v>125</v>
      </c>
      <c r="C562">
        <v>76</v>
      </c>
      <c r="D562">
        <v>21</v>
      </c>
      <c r="E562">
        <v>80</v>
      </c>
      <c r="F562">
        <v>34</v>
      </c>
      <c r="G562">
        <v>0.67200000000000004</v>
      </c>
      <c r="H562">
        <v>54</v>
      </c>
      <c r="I562">
        <v>1</v>
      </c>
      <c r="J562">
        <f>IF(AND(Table2[[#This Row],[BMI]]&gt;=23,Table2[[#This Row],[Outcome]]=1),1,0)</f>
        <v>1</v>
      </c>
      <c r="K562">
        <f>IF(AND(Table2[[#This Row],[BMI+Outcome]]=1,Table2[[#This Row],[Glucose]]&gt;=100),1,0)</f>
        <v>1</v>
      </c>
      <c r="L562">
        <f>IF(AND(Table2[[#This Row],[Outcome]]=1,Table2[[#This Row],[Glucose]]&gt;=100),1,0)</f>
        <v>1</v>
      </c>
    </row>
    <row r="563" spans="1:12" x14ac:dyDescent="0.25">
      <c r="A563">
        <v>4</v>
      </c>
      <c r="B563">
        <v>198</v>
      </c>
      <c r="C563">
        <v>66</v>
      </c>
      <c r="D563">
        <v>32</v>
      </c>
      <c r="E563">
        <v>274</v>
      </c>
      <c r="F563">
        <v>41</v>
      </c>
      <c r="G563">
        <v>0.67200000000000004</v>
      </c>
      <c r="H563">
        <v>28</v>
      </c>
      <c r="I563">
        <v>1</v>
      </c>
      <c r="J563">
        <f>IF(AND(Table2[[#This Row],[BMI]]&gt;=23,Table2[[#This Row],[Outcome]]=1),1,0)</f>
        <v>1</v>
      </c>
      <c r="K563">
        <f>IF(AND(Table2[[#This Row],[BMI+Outcome]]=1,Table2[[#This Row],[Glucose]]&gt;=100),1,0)</f>
        <v>1</v>
      </c>
      <c r="L563">
        <f>IF(AND(Table2[[#This Row],[Outcome]]=1,Table2[[#This Row],[Glucose]]&gt;=100),1,0)</f>
        <v>1</v>
      </c>
    </row>
    <row r="564" spans="1:12" x14ac:dyDescent="0.25">
      <c r="A564">
        <v>1</v>
      </c>
      <c r="B564">
        <v>87</v>
      </c>
      <c r="C564">
        <v>68</v>
      </c>
      <c r="D564">
        <v>34</v>
      </c>
      <c r="E564">
        <v>77</v>
      </c>
      <c r="F564">
        <v>38</v>
      </c>
      <c r="G564">
        <v>0.67200000000000004</v>
      </c>
      <c r="H564">
        <v>24</v>
      </c>
      <c r="I564">
        <v>0</v>
      </c>
      <c r="J564">
        <f>IF(AND(Table2[[#This Row],[BMI]]&gt;=23,Table2[[#This Row],[Outcome]]=1),1,0)</f>
        <v>0</v>
      </c>
      <c r="K564">
        <f>IF(AND(Table2[[#This Row],[BMI+Outcome]]=1,Table2[[#This Row],[Glucose]]&gt;=100),1,0)</f>
        <v>0</v>
      </c>
      <c r="L564">
        <f>IF(AND(Table2[[#This Row],[Outcome]]=1,Table2[[#This Row],[Glucose]]&gt;=100),1,0)</f>
        <v>0</v>
      </c>
    </row>
    <row r="565" spans="1:12" x14ac:dyDescent="0.25">
      <c r="A565">
        <v>6</v>
      </c>
      <c r="B565">
        <v>99</v>
      </c>
      <c r="C565">
        <v>60</v>
      </c>
      <c r="D565">
        <v>19</v>
      </c>
      <c r="E565">
        <v>54</v>
      </c>
      <c r="F565">
        <v>27</v>
      </c>
      <c r="G565">
        <v>0.67200000000000004</v>
      </c>
      <c r="H565">
        <v>32</v>
      </c>
      <c r="I565">
        <v>0</v>
      </c>
      <c r="J565">
        <f>IF(AND(Table2[[#This Row],[BMI]]&gt;=23,Table2[[#This Row],[Outcome]]=1),1,0)</f>
        <v>0</v>
      </c>
      <c r="K565">
        <f>IF(AND(Table2[[#This Row],[BMI+Outcome]]=1,Table2[[#This Row],[Glucose]]&gt;=100),1,0)</f>
        <v>0</v>
      </c>
      <c r="L565">
        <f>IF(AND(Table2[[#This Row],[Outcome]]=1,Table2[[#This Row],[Glucose]]&gt;=100),1,0)</f>
        <v>0</v>
      </c>
    </row>
    <row r="566" spans="1:12" x14ac:dyDescent="0.25">
      <c r="A566">
        <v>4</v>
      </c>
      <c r="B566">
        <v>91</v>
      </c>
      <c r="C566">
        <v>80</v>
      </c>
      <c r="D566">
        <v>21</v>
      </c>
      <c r="E566">
        <v>80</v>
      </c>
      <c r="F566">
        <v>32</v>
      </c>
      <c r="G566">
        <v>0.67200000000000004</v>
      </c>
      <c r="H566">
        <v>27</v>
      </c>
      <c r="I566">
        <v>0</v>
      </c>
      <c r="J566">
        <f>IF(AND(Table2[[#This Row],[BMI]]&gt;=23,Table2[[#This Row],[Outcome]]=1),1,0)</f>
        <v>0</v>
      </c>
      <c r="K566">
        <f>IF(AND(Table2[[#This Row],[BMI+Outcome]]=1,Table2[[#This Row],[Glucose]]&gt;=100),1,0)</f>
        <v>0</v>
      </c>
      <c r="L566">
        <f>IF(AND(Table2[[#This Row],[Outcome]]=1,Table2[[#This Row],[Glucose]]&gt;=100),1,0)</f>
        <v>0</v>
      </c>
    </row>
    <row r="567" spans="1:12" x14ac:dyDescent="0.25">
      <c r="A567">
        <v>2</v>
      </c>
      <c r="B567">
        <v>95</v>
      </c>
      <c r="C567">
        <v>54</v>
      </c>
      <c r="D567">
        <v>14</v>
      </c>
      <c r="E567">
        <v>88</v>
      </c>
      <c r="F567">
        <v>26</v>
      </c>
      <c r="G567">
        <v>0.67200000000000004</v>
      </c>
      <c r="H567">
        <v>22</v>
      </c>
      <c r="I567">
        <v>0</v>
      </c>
      <c r="J567">
        <f>IF(AND(Table2[[#This Row],[BMI]]&gt;=23,Table2[[#This Row],[Outcome]]=1),1,0)</f>
        <v>0</v>
      </c>
      <c r="K567">
        <f>IF(AND(Table2[[#This Row],[BMI+Outcome]]=1,Table2[[#This Row],[Glucose]]&gt;=100),1,0)</f>
        <v>0</v>
      </c>
      <c r="L567">
        <f>IF(AND(Table2[[#This Row],[Outcome]]=1,Table2[[#This Row],[Glucose]]&gt;=100),1,0)</f>
        <v>0</v>
      </c>
    </row>
    <row r="568" spans="1:12" x14ac:dyDescent="0.25">
      <c r="A568">
        <v>1</v>
      </c>
      <c r="B568">
        <v>99</v>
      </c>
      <c r="C568">
        <v>72</v>
      </c>
      <c r="D568">
        <v>30</v>
      </c>
      <c r="E568">
        <v>18</v>
      </c>
      <c r="F568">
        <v>39</v>
      </c>
      <c r="G568">
        <v>0.67200000000000004</v>
      </c>
      <c r="H568">
        <v>21</v>
      </c>
      <c r="I568">
        <v>0</v>
      </c>
      <c r="J568">
        <f>IF(AND(Table2[[#This Row],[BMI]]&gt;=23,Table2[[#This Row],[Outcome]]=1),1,0)</f>
        <v>0</v>
      </c>
      <c r="K568">
        <f>IF(AND(Table2[[#This Row],[BMI+Outcome]]=1,Table2[[#This Row],[Glucose]]&gt;=100),1,0)</f>
        <v>0</v>
      </c>
      <c r="L568">
        <f>IF(AND(Table2[[#This Row],[Outcome]]=1,Table2[[#This Row],[Glucose]]&gt;=100),1,0)</f>
        <v>0</v>
      </c>
    </row>
    <row r="569" spans="1:12" x14ac:dyDescent="0.25">
      <c r="A569">
        <v>6</v>
      </c>
      <c r="B569">
        <v>92</v>
      </c>
      <c r="C569">
        <v>62</v>
      </c>
      <c r="D569">
        <v>32</v>
      </c>
      <c r="E569">
        <v>126</v>
      </c>
      <c r="F569">
        <v>32</v>
      </c>
      <c r="G569">
        <v>0.67200000000000004</v>
      </c>
      <c r="H569">
        <v>46</v>
      </c>
      <c r="I569">
        <v>0</v>
      </c>
      <c r="J569">
        <f>IF(AND(Table2[[#This Row],[BMI]]&gt;=23,Table2[[#This Row],[Outcome]]=1),1,0)</f>
        <v>0</v>
      </c>
      <c r="K569">
        <f>IF(AND(Table2[[#This Row],[BMI+Outcome]]=1,Table2[[#This Row],[Glucose]]&gt;=100),1,0)</f>
        <v>0</v>
      </c>
      <c r="L569">
        <f>IF(AND(Table2[[#This Row],[Outcome]]=1,Table2[[#This Row],[Glucose]]&gt;=100),1,0)</f>
        <v>0</v>
      </c>
    </row>
    <row r="570" spans="1:12" x14ac:dyDescent="0.25">
      <c r="A570">
        <v>4</v>
      </c>
      <c r="B570">
        <v>154</v>
      </c>
      <c r="C570">
        <v>72</v>
      </c>
      <c r="D570">
        <v>29</v>
      </c>
      <c r="E570">
        <v>126</v>
      </c>
      <c r="F570">
        <v>31</v>
      </c>
      <c r="G570">
        <v>0.67200000000000004</v>
      </c>
      <c r="H570">
        <v>37</v>
      </c>
      <c r="I570">
        <v>0</v>
      </c>
      <c r="J570">
        <f>IF(AND(Table2[[#This Row],[BMI]]&gt;=23,Table2[[#This Row],[Outcome]]=1),1,0)</f>
        <v>0</v>
      </c>
      <c r="K570">
        <f>IF(AND(Table2[[#This Row],[BMI+Outcome]]=1,Table2[[#This Row],[Glucose]]&gt;=100),1,0)</f>
        <v>0</v>
      </c>
      <c r="L570">
        <f>IF(AND(Table2[[#This Row],[Outcome]]=1,Table2[[#This Row],[Glucose]]&gt;=100),1,0)</f>
        <v>0</v>
      </c>
    </row>
    <row r="571" spans="1:12" x14ac:dyDescent="0.25">
      <c r="A571">
        <v>4</v>
      </c>
      <c r="B571">
        <v>121</v>
      </c>
      <c r="C571">
        <v>66</v>
      </c>
      <c r="D571">
        <v>30</v>
      </c>
      <c r="E571">
        <v>165</v>
      </c>
      <c r="F571">
        <v>34</v>
      </c>
      <c r="G571">
        <v>0.67200000000000004</v>
      </c>
      <c r="H571">
        <v>33</v>
      </c>
      <c r="I571">
        <v>1</v>
      </c>
      <c r="J571">
        <f>IF(AND(Table2[[#This Row],[BMI]]&gt;=23,Table2[[#This Row],[Outcome]]=1),1,0)</f>
        <v>1</v>
      </c>
      <c r="K571">
        <f>IF(AND(Table2[[#This Row],[BMI+Outcome]]=1,Table2[[#This Row],[Glucose]]&gt;=100),1,0)</f>
        <v>1</v>
      </c>
      <c r="L571">
        <f>IF(AND(Table2[[#This Row],[Outcome]]=1,Table2[[#This Row],[Glucose]]&gt;=100),1,0)</f>
        <v>1</v>
      </c>
    </row>
    <row r="572" spans="1:12" x14ac:dyDescent="0.25">
      <c r="A572">
        <v>3</v>
      </c>
      <c r="B572">
        <v>78</v>
      </c>
      <c r="C572">
        <v>70</v>
      </c>
      <c r="D572">
        <v>21</v>
      </c>
      <c r="E572">
        <v>80</v>
      </c>
      <c r="F572">
        <v>32</v>
      </c>
      <c r="G572">
        <v>0.67200000000000004</v>
      </c>
      <c r="H572">
        <v>39</v>
      </c>
      <c r="I572">
        <v>0</v>
      </c>
      <c r="J572">
        <f>IF(AND(Table2[[#This Row],[BMI]]&gt;=23,Table2[[#This Row],[Outcome]]=1),1,0)</f>
        <v>0</v>
      </c>
      <c r="K572">
        <f>IF(AND(Table2[[#This Row],[BMI+Outcome]]=1,Table2[[#This Row],[Glucose]]&gt;=100),1,0)</f>
        <v>0</v>
      </c>
      <c r="L572">
        <f>IF(AND(Table2[[#This Row],[Outcome]]=1,Table2[[#This Row],[Glucose]]&gt;=100),1,0)</f>
        <v>0</v>
      </c>
    </row>
    <row r="573" spans="1:12" x14ac:dyDescent="0.25">
      <c r="A573">
        <v>2</v>
      </c>
      <c r="B573">
        <v>130</v>
      </c>
      <c r="C573">
        <v>96</v>
      </c>
      <c r="D573">
        <v>21</v>
      </c>
      <c r="E573">
        <v>80</v>
      </c>
      <c r="F573">
        <v>23</v>
      </c>
      <c r="G573">
        <v>0.67200000000000004</v>
      </c>
      <c r="H573">
        <v>21</v>
      </c>
      <c r="I573">
        <v>0</v>
      </c>
      <c r="J573">
        <f>IF(AND(Table2[[#This Row],[BMI]]&gt;=23,Table2[[#This Row],[Outcome]]=1),1,0)</f>
        <v>0</v>
      </c>
      <c r="K573">
        <f>IF(AND(Table2[[#This Row],[BMI+Outcome]]=1,Table2[[#This Row],[Glucose]]&gt;=100),1,0)</f>
        <v>0</v>
      </c>
      <c r="L573">
        <f>IF(AND(Table2[[#This Row],[Outcome]]=1,Table2[[#This Row],[Glucose]]&gt;=100),1,0)</f>
        <v>0</v>
      </c>
    </row>
    <row r="574" spans="1:12" x14ac:dyDescent="0.25">
      <c r="A574">
        <v>3</v>
      </c>
      <c r="B574">
        <v>111</v>
      </c>
      <c r="C574">
        <v>58</v>
      </c>
      <c r="D574">
        <v>31</v>
      </c>
      <c r="E574">
        <v>44</v>
      </c>
      <c r="F574">
        <v>30</v>
      </c>
      <c r="G574">
        <v>0.67200000000000004</v>
      </c>
      <c r="H574">
        <v>22</v>
      </c>
      <c r="I574">
        <v>0</v>
      </c>
      <c r="J574">
        <f>IF(AND(Table2[[#This Row],[BMI]]&gt;=23,Table2[[#This Row],[Outcome]]=1),1,0)</f>
        <v>0</v>
      </c>
      <c r="K574">
        <f>IF(AND(Table2[[#This Row],[BMI+Outcome]]=1,Table2[[#This Row],[Glucose]]&gt;=100),1,0)</f>
        <v>0</v>
      </c>
      <c r="L574">
        <f>IF(AND(Table2[[#This Row],[Outcome]]=1,Table2[[#This Row],[Glucose]]&gt;=100),1,0)</f>
        <v>0</v>
      </c>
    </row>
    <row r="575" spans="1:12" x14ac:dyDescent="0.25">
      <c r="A575">
        <v>2</v>
      </c>
      <c r="B575">
        <v>98</v>
      </c>
      <c r="C575">
        <v>60</v>
      </c>
      <c r="D575">
        <v>17</v>
      </c>
      <c r="E575">
        <v>120</v>
      </c>
      <c r="F575">
        <v>35</v>
      </c>
      <c r="G575">
        <v>0.67200000000000004</v>
      </c>
      <c r="H575">
        <v>22</v>
      </c>
      <c r="I575">
        <v>0</v>
      </c>
      <c r="J575">
        <f>IF(AND(Table2[[#This Row],[BMI]]&gt;=23,Table2[[#This Row],[Outcome]]=1),1,0)</f>
        <v>0</v>
      </c>
      <c r="K575">
        <f>IF(AND(Table2[[#This Row],[BMI+Outcome]]=1,Table2[[#This Row],[Glucose]]&gt;=100),1,0)</f>
        <v>0</v>
      </c>
      <c r="L575">
        <f>IF(AND(Table2[[#This Row],[Outcome]]=1,Table2[[#This Row],[Glucose]]&gt;=100),1,0)</f>
        <v>0</v>
      </c>
    </row>
    <row r="576" spans="1:12" x14ac:dyDescent="0.25">
      <c r="A576">
        <v>1</v>
      </c>
      <c r="B576">
        <v>143</v>
      </c>
      <c r="C576">
        <v>86</v>
      </c>
      <c r="D576">
        <v>30</v>
      </c>
      <c r="E576">
        <v>330</v>
      </c>
      <c r="F576">
        <v>30</v>
      </c>
      <c r="G576">
        <v>0.67200000000000004</v>
      </c>
      <c r="H576">
        <v>23</v>
      </c>
      <c r="I576">
        <v>0</v>
      </c>
      <c r="J576">
        <f>IF(AND(Table2[[#This Row],[BMI]]&gt;=23,Table2[[#This Row],[Outcome]]=1),1,0)</f>
        <v>0</v>
      </c>
      <c r="K576">
        <f>IF(AND(Table2[[#This Row],[BMI+Outcome]]=1,Table2[[#This Row],[Glucose]]&gt;=100),1,0)</f>
        <v>0</v>
      </c>
      <c r="L576">
        <f>IF(AND(Table2[[#This Row],[Outcome]]=1,Table2[[#This Row],[Glucose]]&gt;=100),1,0)</f>
        <v>0</v>
      </c>
    </row>
    <row r="577" spans="1:12" x14ac:dyDescent="0.25">
      <c r="A577">
        <v>1</v>
      </c>
      <c r="B577">
        <v>119</v>
      </c>
      <c r="C577">
        <v>44</v>
      </c>
      <c r="D577">
        <v>47</v>
      </c>
      <c r="E577">
        <v>63</v>
      </c>
      <c r="F577">
        <v>36</v>
      </c>
      <c r="G577">
        <v>0.67200000000000004</v>
      </c>
      <c r="H577">
        <v>25</v>
      </c>
      <c r="I577">
        <v>0</v>
      </c>
      <c r="J577">
        <f>IF(AND(Table2[[#This Row],[BMI]]&gt;=23,Table2[[#This Row],[Outcome]]=1),1,0)</f>
        <v>0</v>
      </c>
      <c r="K577">
        <f>IF(AND(Table2[[#This Row],[BMI+Outcome]]=1,Table2[[#This Row],[Glucose]]&gt;=100),1,0)</f>
        <v>0</v>
      </c>
      <c r="L577">
        <f>IF(AND(Table2[[#This Row],[Outcome]]=1,Table2[[#This Row],[Glucose]]&gt;=100),1,0)</f>
        <v>0</v>
      </c>
    </row>
    <row r="578" spans="1:12" x14ac:dyDescent="0.25">
      <c r="A578">
        <v>6</v>
      </c>
      <c r="B578">
        <v>108</v>
      </c>
      <c r="C578">
        <v>44</v>
      </c>
      <c r="D578">
        <v>20</v>
      </c>
      <c r="E578">
        <v>130</v>
      </c>
      <c r="F578">
        <v>24</v>
      </c>
      <c r="G578">
        <v>0.67200000000000004</v>
      </c>
      <c r="H578">
        <v>35</v>
      </c>
      <c r="I578">
        <v>0</v>
      </c>
      <c r="J578">
        <f>IF(AND(Table2[[#This Row],[BMI]]&gt;=23,Table2[[#This Row],[Outcome]]=1),1,0)</f>
        <v>0</v>
      </c>
      <c r="K578">
        <f>IF(AND(Table2[[#This Row],[BMI+Outcome]]=1,Table2[[#This Row],[Glucose]]&gt;=100),1,0)</f>
        <v>0</v>
      </c>
      <c r="L578">
        <f>IF(AND(Table2[[#This Row],[Outcome]]=1,Table2[[#This Row],[Glucose]]&gt;=100),1,0)</f>
        <v>0</v>
      </c>
    </row>
    <row r="579" spans="1:12" x14ac:dyDescent="0.25">
      <c r="A579">
        <v>2</v>
      </c>
      <c r="B579">
        <v>118</v>
      </c>
      <c r="C579">
        <v>80</v>
      </c>
      <c r="D579">
        <v>21</v>
      </c>
      <c r="E579">
        <v>80</v>
      </c>
      <c r="F579">
        <v>43</v>
      </c>
      <c r="G579">
        <v>0.67200000000000004</v>
      </c>
      <c r="H579">
        <v>21</v>
      </c>
      <c r="I579">
        <v>1</v>
      </c>
      <c r="J579">
        <f>IF(AND(Table2[[#This Row],[BMI]]&gt;=23,Table2[[#This Row],[Outcome]]=1),1,0)</f>
        <v>1</v>
      </c>
      <c r="K579">
        <f>IF(AND(Table2[[#This Row],[BMI+Outcome]]=1,Table2[[#This Row],[Glucose]]&gt;=100),1,0)</f>
        <v>1</v>
      </c>
      <c r="L579">
        <f>IF(AND(Table2[[#This Row],[Outcome]]=1,Table2[[#This Row],[Glucose]]&gt;=100),1,0)</f>
        <v>1</v>
      </c>
    </row>
    <row r="580" spans="1:12" x14ac:dyDescent="0.25">
      <c r="A580">
        <v>10</v>
      </c>
      <c r="B580">
        <v>133</v>
      </c>
      <c r="C580">
        <v>68</v>
      </c>
      <c r="D580">
        <v>21</v>
      </c>
      <c r="E580">
        <v>80</v>
      </c>
      <c r="F580">
        <v>27</v>
      </c>
      <c r="G580">
        <v>0.67200000000000004</v>
      </c>
      <c r="H580">
        <v>36</v>
      </c>
      <c r="I580">
        <v>0</v>
      </c>
      <c r="J580">
        <f>IF(AND(Table2[[#This Row],[BMI]]&gt;=23,Table2[[#This Row],[Outcome]]=1),1,0)</f>
        <v>0</v>
      </c>
      <c r="K580">
        <f>IF(AND(Table2[[#This Row],[BMI+Outcome]]=1,Table2[[#This Row],[Glucose]]&gt;=100),1,0)</f>
        <v>0</v>
      </c>
      <c r="L580">
        <f>IF(AND(Table2[[#This Row],[Outcome]]=1,Table2[[#This Row],[Glucose]]&gt;=100),1,0)</f>
        <v>0</v>
      </c>
    </row>
    <row r="581" spans="1:12" x14ac:dyDescent="0.25">
      <c r="A581">
        <v>2</v>
      </c>
      <c r="B581">
        <v>197</v>
      </c>
      <c r="C581">
        <v>70</v>
      </c>
      <c r="D581">
        <v>99</v>
      </c>
      <c r="E581">
        <v>80</v>
      </c>
      <c r="F581">
        <v>35</v>
      </c>
      <c r="G581">
        <v>0.67200000000000004</v>
      </c>
      <c r="H581">
        <v>62</v>
      </c>
      <c r="I581">
        <v>1</v>
      </c>
      <c r="J581">
        <f>IF(AND(Table2[[#This Row],[BMI]]&gt;=23,Table2[[#This Row],[Outcome]]=1),1,0)</f>
        <v>1</v>
      </c>
      <c r="K581">
        <f>IF(AND(Table2[[#This Row],[BMI+Outcome]]=1,Table2[[#This Row],[Glucose]]&gt;=100),1,0)</f>
        <v>1</v>
      </c>
      <c r="L581">
        <f>IF(AND(Table2[[#This Row],[Outcome]]=1,Table2[[#This Row],[Glucose]]&gt;=100),1,0)</f>
        <v>1</v>
      </c>
    </row>
    <row r="582" spans="1:12" x14ac:dyDescent="0.25">
      <c r="A582">
        <v>4</v>
      </c>
      <c r="B582">
        <v>151</v>
      </c>
      <c r="C582">
        <v>90</v>
      </c>
      <c r="D582">
        <v>46</v>
      </c>
      <c r="E582">
        <v>80</v>
      </c>
      <c r="F582">
        <v>42</v>
      </c>
      <c r="G582">
        <v>0.67200000000000004</v>
      </c>
      <c r="H582">
        <v>21</v>
      </c>
      <c r="I582">
        <v>1</v>
      </c>
      <c r="J582">
        <f>IF(AND(Table2[[#This Row],[BMI]]&gt;=23,Table2[[#This Row],[Outcome]]=1),1,0)</f>
        <v>1</v>
      </c>
      <c r="K582">
        <f>IF(AND(Table2[[#This Row],[BMI+Outcome]]=1,Table2[[#This Row],[Glucose]]&gt;=100),1,0)</f>
        <v>1</v>
      </c>
      <c r="L582">
        <f>IF(AND(Table2[[#This Row],[Outcome]]=1,Table2[[#This Row],[Glucose]]&gt;=100),1,0)</f>
        <v>1</v>
      </c>
    </row>
    <row r="583" spans="1:12" x14ac:dyDescent="0.25">
      <c r="A583">
        <v>6</v>
      </c>
      <c r="B583">
        <v>109</v>
      </c>
      <c r="C583">
        <v>60</v>
      </c>
      <c r="D583">
        <v>27</v>
      </c>
      <c r="E583">
        <v>80</v>
      </c>
      <c r="F583">
        <v>25</v>
      </c>
      <c r="G583">
        <v>0.67200000000000004</v>
      </c>
      <c r="H583">
        <v>27</v>
      </c>
      <c r="I583">
        <v>0</v>
      </c>
      <c r="J583">
        <f>IF(AND(Table2[[#This Row],[BMI]]&gt;=23,Table2[[#This Row],[Outcome]]=1),1,0)</f>
        <v>0</v>
      </c>
      <c r="K583">
        <f>IF(AND(Table2[[#This Row],[BMI+Outcome]]=1,Table2[[#This Row],[Glucose]]&gt;=100),1,0)</f>
        <v>0</v>
      </c>
      <c r="L583">
        <f>IF(AND(Table2[[#This Row],[Outcome]]=1,Table2[[#This Row],[Glucose]]&gt;=100),1,0)</f>
        <v>0</v>
      </c>
    </row>
    <row r="584" spans="1:12" x14ac:dyDescent="0.25">
      <c r="A584">
        <v>12</v>
      </c>
      <c r="B584">
        <v>121</v>
      </c>
      <c r="C584">
        <v>78</v>
      </c>
      <c r="D584">
        <v>17</v>
      </c>
      <c r="E584">
        <v>80</v>
      </c>
      <c r="F584">
        <v>26</v>
      </c>
      <c r="G584">
        <v>0.67200000000000004</v>
      </c>
      <c r="H584">
        <v>62</v>
      </c>
      <c r="I584">
        <v>0</v>
      </c>
      <c r="J584">
        <f>IF(AND(Table2[[#This Row],[BMI]]&gt;=23,Table2[[#This Row],[Outcome]]=1),1,0)</f>
        <v>0</v>
      </c>
      <c r="K584">
        <f>IF(AND(Table2[[#This Row],[BMI+Outcome]]=1,Table2[[#This Row],[Glucose]]&gt;=100),1,0)</f>
        <v>0</v>
      </c>
      <c r="L584">
        <f>IF(AND(Table2[[#This Row],[Outcome]]=1,Table2[[#This Row],[Glucose]]&gt;=100),1,0)</f>
        <v>0</v>
      </c>
    </row>
    <row r="585" spans="1:12" x14ac:dyDescent="0.25">
      <c r="A585">
        <v>8</v>
      </c>
      <c r="B585">
        <v>100</v>
      </c>
      <c r="C585">
        <v>76</v>
      </c>
      <c r="D585">
        <v>21</v>
      </c>
      <c r="E585">
        <v>80</v>
      </c>
      <c r="F585">
        <v>39</v>
      </c>
      <c r="G585">
        <v>0.67200000000000004</v>
      </c>
      <c r="H585">
        <v>42</v>
      </c>
      <c r="I585">
        <v>0</v>
      </c>
      <c r="J585">
        <f>IF(AND(Table2[[#This Row],[BMI]]&gt;=23,Table2[[#This Row],[Outcome]]=1),1,0)</f>
        <v>0</v>
      </c>
      <c r="K585">
        <f>IF(AND(Table2[[#This Row],[BMI+Outcome]]=1,Table2[[#This Row],[Glucose]]&gt;=100),1,0)</f>
        <v>0</v>
      </c>
      <c r="L585">
        <f>IF(AND(Table2[[#This Row],[Outcome]]=1,Table2[[#This Row],[Glucose]]&gt;=100),1,0)</f>
        <v>0</v>
      </c>
    </row>
    <row r="586" spans="1:12" x14ac:dyDescent="0.25">
      <c r="A586">
        <v>8</v>
      </c>
      <c r="B586">
        <v>124</v>
      </c>
      <c r="C586">
        <v>76</v>
      </c>
      <c r="D586">
        <v>24</v>
      </c>
      <c r="E586">
        <v>600</v>
      </c>
      <c r="F586">
        <v>29</v>
      </c>
      <c r="G586">
        <v>0.67200000000000004</v>
      </c>
      <c r="H586">
        <v>52</v>
      </c>
      <c r="I586">
        <v>1</v>
      </c>
      <c r="J586">
        <f>IF(AND(Table2[[#This Row],[BMI]]&gt;=23,Table2[[#This Row],[Outcome]]=1),1,0)</f>
        <v>1</v>
      </c>
      <c r="K586">
        <f>IF(AND(Table2[[#This Row],[BMI+Outcome]]=1,Table2[[#This Row],[Glucose]]&gt;=100),1,0)</f>
        <v>1</v>
      </c>
      <c r="L586">
        <f>IF(AND(Table2[[#This Row],[Outcome]]=1,Table2[[#This Row],[Glucose]]&gt;=100),1,0)</f>
        <v>1</v>
      </c>
    </row>
    <row r="587" spans="1:12" x14ac:dyDescent="0.25">
      <c r="A587">
        <v>1</v>
      </c>
      <c r="B587">
        <v>93</v>
      </c>
      <c r="C587">
        <v>56</v>
      </c>
      <c r="D587">
        <v>11</v>
      </c>
      <c r="E587">
        <v>80</v>
      </c>
      <c r="F587">
        <v>22</v>
      </c>
      <c r="G587">
        <v>0.67200000000000004</v>
      </c>
      <c r="H587">
        <v>22</v>
      </c>
      <c r="I587">
        <v>0</v>
      </c>
      <c r="J587">
        <f>IF(AND(Table2[[#This Row],[BMI]]&gt;=23,Table2[[#This Row],[Outcome]]=1),1,0)</f>
        <v>0</v>
      </c>
      <c r="K587">
        <f>IF(AND(Table2[[#This Row],[BMI+Outcome]]=1,Table2[[#This Row],[Glucose]]&gt;=100),1,0)</f>
        <v>0</v>
      </c>
      <c r="L587">
        <f>IF(AND(Table2[[#This Row],[Outcome]]=1,Table2[[#This Row],[Glucose]]&gt;=100),1,0)</f>
        <v>0</v>
      </c>
    </row>
    <row r="588" spans="1:12" x14ac:dyDescent="0.25">
      <c r="A588">
        <v>8</v>
      </c>
      <c r="B588">
        <v>143</v>
      </c>
      <c r="C588">
        <v>66</v>
      </c>
      <c r="D588">
        <v>21</v>
      </c>
      <c r="E588">
        <v>80</v>
      </c>
      <c r="F588">
        <v>35</v>
      </c>
      <c r="G588">
        <v>0.67200000000000004</v>
      </c>
      <c r="H588">
        <v>41</v>
      </c>
      <c r="I588">
        <v>1</v>
      </c>
      <c r="J588">
        <f>IF(AND(Table2[[#This Row],[BMI]]&gt;=23,Table2[[#This Row],[Outcome]]=1),1,0)</f>
        <v>1</v>
      </c>
      <c r="K588">
        <f>IF(AND(Table2[[#This Row],[BMI+Outcome]]=1,Table2[[#This Row],[Glucose]]&gt;=100),1,0)</f>
        <v>1</v>
      </c>
      <c r="L588">
        <f>IF(AND(Table2[[#This Row],[Outcome]]=1,Table2[[#This Row],[Glucose]]&gt;=100),1,0)</f>
        <v>1</v>
      </c>
    </row>
    <row r="589" spans="1:12" x14ac:dyDescent="0.25">
      <c r="A589">
        <v>6</v>
      </c>
      <c r="B589">
        <v>103</v>
      </c>
      <c r="C589">
        <v>66</v>
      </c>
      <c r="D589">
        <v>21</v>
      </c>
      <c r="E589">
        <v>80</v>
      </c>
      <c r="F589">
        <v>24</v>
      </c>
      <c r="G589">
        <v>0.67200000000000004</v>
      </c>
      <c r="H589">
        <v>29</v>
      </c>
      <c r="I589">
        <v>0</v>
      </c>
      <c r="J589">
        <f>IF(AND(Table2[[#This Row],[BMI]]&gt;=23,Table2[[#This Row],[Outcome]]=1),1,0)</f>
        <v>0</v>
      </c>
      <c r="K589">
        <f>IF(AND(Table2[[#This Row],[BMI+Outcome]]=1,Table2[[#This Row],[Glucose]]&gt;=100),1,0)</f>
        <v>0</v>
      </c>
      <c r="L589">
        <f>IF(AND(Table2[[#This Row],[Outcome]]=1,Table2[[#This Row],[Glucose]]&gt;=100),1,0)</f>
        <v>0</v>
      </c>
    </row>
    <row r="590" spans="1:12" x14ac:dyDescent="0.25">
      <c r="A590">
        <v>3</v>
      </c>
      <c r="B590">
        <v>176</v>
      </c>
      <c r="C590">
        <v>86</v>
      </c>
      <c r="D590">
        <v>27</v>
      </c>
      <c r="E590">
        <v>156</v>
      </c>
      <c r="F590">
        <v>33</v>
      </c>
      <c r="G590">
        <v>0.67200000000000004</v>
      </c>
      <c r="H590">
        <v>52</v>
      </c>
      <c r="I590">
        <v>1</v>
      </c>
      <c r="J590">
        <f>IF(AND(Table2[[#This Row],[BMI]]&gt;=23,Table2[[#This Row],[Outcome]]=1),1,0)</f>
        <v>1</v>
      </c>
      <c r="K590">
        <f>IF(AND(Table2[[#This Row],[BMI+Outcome]]=1,Table2[[#This Row],[Glucose]]&gt;=100),1,0)</f>
        <v>1</v>
      </c>
      <c r="L590">
        <f>IF(AND(Table2[[#This Row],[Outcome]]=1,Table2[[#This Row],[Glucose]]&gt;=100),1,0)</f>
        <v>1</v>
      </c>
    </row>
    <row r="591" spans="1:12" x14ac:dyDescent="0.25">
      <c r="A591">
        <v>4</v>
      </c>
      <c r="B591">
        <v>73</v>
      </c>
      <c r="C591">
        <v>69</v>
      </c>
      <c r="D591">
        <v>21</v>
      </c>
      <c r="E591">
        <v>80</v>
      </c>
      <c r="F591">
        <v>21</v>
      </c>
      <c r="G591">
        <v>0.67200000000000004</v>
      </c>
      <c r="H591">
        <v>25</v>
      </c>
      <c r="I591">
        <v>0</v>
      </c>
      <c r="J591">
        <f>IF(AND(Table2[[#This Row],[BMI]]&gt;=23,Table2[[#This Row],[Outcome]]=1),1,0)</f>
        <v>0</v>
      </c>
      <c r="K591">
        <f>IF(AND(Table2[[#This Row],[BMI+Outcome]]=1,Table2[[#This Row],[Glucose]]&gt;=100),1,0)</f>
        <v>0</v>
      </c>
      <c r="L591">
        <f>IF(AND(Table2[[#This Row],[Outcome]]=1,Table2[[#This Row],[Glucose]]&gt;=100),1,0)</f>
        <v>0</v>
      </c>
    </row>
    <row r="592" spans="1:12" x14ac:dyDescent="0.25">
      <c r="A592">
        <v>11</v>
      </c>
      <c r="B592">
        <v>111</v>
      </c>
      <c r="C592">
        <v>84</v>
      </c>
      <c r="D592">
        <v>40</v>
      </c>
      <c r="E592">
        <v>80</v>
      </c>
      <c r="F592">
        <v>47</v>
      </c>
      <c r="G592">
        <v>0.67200000000000004</v>
      </c>
      <c r="H592">
        <v>45</v>
      </c>
      <c r="I592">
        <v>1</v>
      </c>
      <c r="J592">
        <f>IF(AND(Table2[[#This Row],[BMI]]&gt;=23,Table2[[#This Row],[Outcome]]=1),1,0)</f>
        <v>1</v>
      </c>
      <c r="K592">
        <f>IF(AND(Table2[[#This Row],[BMI+Outcome]]=1,Table2[[#This Row],[Glucose]]&gt;=100),1,0)</f>
        <v>1</v>
      </c>
      <c r="L592">
        <f>IF(AND(Table2[[#This Row],[Outcome]]=1,Table2[[#This Row],[Glucose]]&gt;=100),1,0)</f>
        <v>1</v>
      </c>
    </row>
    <row r="593" spans="1:12" x14ac:dyDescent="0.25">
      <c r="A593">
        <v>2</v>
      </c>
      <c r="B593">
        <v>112</v>
      </c>
      <c r="C593">
        <v>78</v>
      </c>
      <c r="D593">
        <v>50</v>
      </c>
      <c r="E593">
        <v>140</v>
      </c>
      <c r="F593">
        <v>39</v>
      </c>
      <c r="G593">
        <v>0.67200000000000004</v>
      </c>
      <c r="H593">
        <v>24</v>
      </c>
      <c r="I593">
        <v>0</v>
      </c>
      <c r="J593">
        <f>IF(AND(Table2[[#This Row],[BMI]]&gt;=23,Table2[[#This Row],[Outcome]]=1),1,0)</f>
        <v>0</v>
      </c>
      <c r="K593">
        <f>IF(AND(Table2[[#This Row],[BMI+Outcome]]=1,Table2[[#This Row],[Glucose]]&gt;=100),1,0)</f>
        <v>0</v>
      </c>
      <c r="L593">
        <f>IF(AND(Table2[[#This Row],[Outcome]]=1,Table2[[#This Row],[Glucose]]&gt;=100),1,0)</f>
        <v>0</v>
      </c>
    </row>
    <row r="594" spans="1:12" x14ac:dyDescent="0.25">
      <c r="A594">
        <v>3</v>
      </c>
      <c r="B594">
        <v>132</v>
      </c>
      <c r="C594">
        <v>80</v>
      </c>
      <c r="D594">
        <v>21</v>
      </c>
      <c r="E594">
        <v>80</v>
      </c>
      <c r="F594">
        <v>34</v>
      </c>
      <c r="G594">
        <v>0.67200000000000004</v>
      </c>
      <c r="H594">
        <v>44</v>
      </c>
      <c r="I594">
        <v>1</v>
      </c>
      <c r="J594">
        <f>IF(AND(Table2[[#This Row],[BMI]]&gt;=23,Table2[[#This Row],[Outcome]]=1),1,0)</f>
        <v>1</v>
      </c>
      <c r="K594">
        <f>IF(AND(Table2[[#This Row],[BMI+Outcome]]=1,Table2[[#This Row],[Glucose]]&gt;=100),1,0)</f>
        <v>1</v>
      </c>
      <c r="L594">
        <f>IF(AND(Table2[[#This Row],[Outcome]]=1,Table2[[#This Row],[Glucose]]&gt;=100),1,0)</f>
        <v>1</v>
      </c>
    </row>
    <row r="595" spans="1:12" x14ac:dyDescent="0.25">
      <c r="A595">
        <v>2</v>
      </c>
      <c r="B595">
        <v>82</v>
      </c>
      <c r="C595">
        <v>52</v>
      </c>
      <c r="D595">
        <v>22</v>
      </c>
      <c r="E595">
        <v>115</v>
      </c>
      <c r="F595">
        <v>28</v>
      </c>
      <c r="G595">
        <v>0.67200000000000004</v>
      </c>
      <c r="H595">
        <v>25</v>
      </c>
      <c r="I595">
        <v>0</v>
      </c>
      <c r="J595">
        <f>IF(AND(Table2[[#This Row],[BMI]]&gt;=23,Table2[[#This Row],[Outcome]]=1),1,0)</f>
        <v>0</v>
      </c>
      <c r="K595">
        <f>IF(AND(Table2[[#This Row],[BMI+Outcome]]=1,Table2[[#This Row],[Glucose]]&gt;=100),1,0)</f>
        <v>0</v>
      </c>
      <c r="L595">
        <f>IF(AND(Table2[[#This Row],[Outcome]]=1,Table2[[#This Row],[Glucose]]&gt;=100),1,0)</f>
        <v>0</v>
      </c>
    </row>
    <row r="596" spans="1:12" x14ac:dyDescent="0.25">
      <c r="A596">
        <v>6</v>
      </c>
      <c r="B596">
        <v>123</v>
      </c>
      <c r="C596">
        <v>72</v>
      </c>
      <c r="D596">
        <v>45</v>
      </c>
      <c r="E596">
        <v>230</v>
      </c>
      <c r="F596">
        <v>34</v>
      </c>
      <c r="G596">
        <v>0.67200000000000004</v>
      </c>
      <c r="H596">
        <v>34</v>
      </c>
      <c r="I596">
        <v>0</v>
      </c>
      <c r="J596">
        <f>IF(AND(Table2[[#This Row],[BMI]]&gt;=23,Table2[[#This Row],[Outcome]]=1),1,0)</f>
        <v>0</v>
      </c>
      <c r="K596">
        <f>IF(AND(Table2[[#This Row],[BMI+Outcome]]=1,Table2[[#This Row],[Glucose]]&gt;=100),1,0)</f>
        <v>0</v>
      </c>
      <c r="L596">
        <f>IF(AND(Table2[[#This Row],[Outcome]]=1,Table2[[#This Row],[Glucose]]&gt;=100),1,0)</f>
        <v>0</v>
      </c>
    </row>
    <row r="597" spans="1:12" x14ac:dyDescent="0.25">
      <c r="A597">
        <v>4</v>
      </c>
      <c r="B597">
        <v>188</v>
      </c>
      <c r="C597">
        <v>82</v>
      </c>
      <c r="D597">
        <v>14</v>
      </c>
      <c r="E597">
        <v>185</v>
      </c>
      <c r="F597">
        <v>32</v>
      </c>
      <c r="G597">
        <v>0.67200000000000004</v>
      </c>
      <c r="H597">
        <v>22</v>
      </c>
      <c r="I597">
        <v>1</v>
      </c>
      <c r="J597">
        <f>IF(AND(Table2[[#This Row],[BMI]]&gt;=23,Table2[[#This Row],[Outcome]]=1),1,0)</f>
        <v>1</v>
      </c>
      <c r="K597">
        <f>IF(AND(Table2[[#This Row],[BMI+Outcome]]=1,Table2[[#This Row],[Glucose]]&gt;=100),1,0)</f>
        <v>1</v>
      </c>
      <c r="L597">
        <f>IF(AND(Table2[[#This Row],[Outcome]]=1,Table2[[#This Row],[Glucose]]&gt;=100),1,0)</f>
        <v>1</v>
      </c>
    </row>
    <row r="598" spans="1:12" x14ac:dyDescent="0.25">
      <c r="A598">
        <v>4</v>
      </c>
      <c r="B598">
        <v>67</v>
      </c>
      <c r="C598">
        <v>76</v>
      </c>
      <c r="D598">
        <v>21</v>
      </c>
      <c r="E598">
        <v>80</v>
      </c>
      <c r="F598">
        <v>45</v>
      </c>
      <c r="G598">
        <v>0.67200000000000004</v>
      </c>
      <c r="H598">
        <v>46</v>
      </c>
      <c r="I598">
        <v>0</v>
      </c>
      <c r="J598">
        <f>IF(AND(Table2[[#This Row],[BMI]]&gt;=23,Table2[[#This Row],[Outcome]]=1),1,0)</f>
        <v>0</v>
      </c>
      <c r="K598">
        <f>IF(AND(Table2[[#This Row],[BMI+Outcome]]=1,Table2[[#This Row],[Glucose]]&gt;=100),1,0)</f>
        <v>0</v>
      </c>
      <c r="L598">
        <f>IF(AND(Table2[[#This Row],[Outcome]]=1,Table2[[#This Row],[Glucose]]&gt;=100),1,0)</f>
        <v>0</v>
      </c>
    </row>
    <row r="599" spans="1:12" x14ac:dyDescent="0.25">
      <c r="A599">
        <v>1</v>
      </c>
      <c r="B599">
        <v>89</v>
      </c>
      <c r="C599">
        <v>24</v>
      </c>
      <c r="D599">
        <v>19</v>
      </c>
      <c r="E599">
        <v>25</v>
      </c>
      <c r="F599">
        <v>28</v>
      </c>
      <c r="G599">
        <v>0.67200000000000004</v>
      </c>
      <c r="H599">
        <v>21</v>
      </c>
      <c r="I599">
        <v>0</v>
      </c>
      <c r="J599">
        <f>IF(AND(Table2[[#This Row],[BMI]]&gt;=23,Table2[[#This Row],[Outcome]]=1),1,0)</f>
        <v>0</v>
      </c>
      <c r="K599">
        <f>IF(AND(Table2[[#This Row],[BMI+Outcome]]=1,Table2[[#This Row],[Glucose]]&gt;=100),1,0)</f>
        <v>0</v>
      </c>
      <c r="L599">
        <f>IF(AND(Table2[[#This Row],[Outcome]]=1,Table2[[#This Row],[Glucose]]&gt;=100),1,0)</f>
        <v>0</v>
      </c>
    </row>
    <row r="600" spans="1:12" x14ac:dyDescent="0.25">
      <c r="A600">
        <v>1</v>
      </c>
      <c r="B600">
        <v>173</v>
      </c>
      <c r="C600">
        <v>74</v>
      </c>
      <c r="D600">
        <v>21</v>
      </c>
      <c r="E600">
        <v>80</v>
      </c>
      <c r="F600">
        <v>37</v>
      </c>
      <c r="G600">
        <v>0.67200000000000004</v>
      </c>
      <c r="H600">
        <v>38</v>
      </c>
      <c r="I600">
        <v>1</v>
      </c>
      <c r="J600">
        <f>IF(AND(Table2[[#This Row],[BMI]]&gt;=23,Table2[[#This Row],[Outcome]]=1),1,0)</f>
        <v>1</v>
      </c>
      <c r="K600">
        <f>IF(AND(Table2[[#This Row],[BMI+Outcome]]=1,Table2[[#This Row],[Glucose]]&gt;=100),1,0)</f>
        <v>1</v>
      </c>
      <c r="L600">
        <f>IF(AND(Table2[[#This Row],[Outcome]]=1,Table2[[#This Row],[Glucose]]&gt;=100),1,0)</f>
        <v>1</v>
      </c>
    </row>
    <row r="601" spans="1:12" x14ac:dyDescent="0.25">
      <c r="A601">
        <v>1</v>
      </c>
      <c r="B601">
        <v>109</v>
      </c>
      <c r="C601">
        <v>38</v>
      </c>
      <c r="D601">
        <v>18</v>
      </c>
      <c r="E601">
        <v>120</v>
      </c>
      <c r="F601">
        <v>23</v>
      </c>
      <c r="G601">
        <v>0.67200000000000004</v>
      </c>
      <c r="H601">
        <v>26</v>
      </c>
      <c r="I601">
        <v>0</v>
      </c>
      <c r="J601">
        <f>IF(AND(Table2[[#This Row],[BMI]]&gt;=23,Table2[[#This Row],[Outcome]]=1),1,0)</f>
        <v>0</v>
      </c>
      <c r="K601">
        <f>IF(AND(Table2[[#This Row],[BMI+Outcome]]=1,Table2[[#This Row],[Glucose]]&gt;=100),1,0)</f>
        <v>0</v>
      </c>
      <c r="L601">
        <f>IF(AND(Table2[[#This Row],[Outcome]]=1,Table2[[#This Row],[Glucose]]&gt;=100),1,0)</f>
        <v>0</v>
      </c>
    </row>
    <row r="602" spans="1:12" x14ac:dyDescent="0.25">
      <c r="A602">
        <v>1</v>
      </c>
      <c r="B602">
        <v>108</v>
      </c>
      <c r="C602">
        <v>88</v>
      </c>
      <c r="D602">
        <v>19</v>
      </c>
      <c r="E602">
        <v>80</v>
      </c>
      <c r="F602">
        <v>27</v>
      </c>
      <c r="G602">
        <v>0.67200000000000004</v>
      </c>
      <c r="H602">
        <v>24</v>
      </c>
      <c r="I602">
        <v>0</v>
      </c>
      <c r="J602">
        <f>IF(AND(Table2[[#This Row],[BMI]]&gt;=23,Table2[[#This Row],[Outcome]]=1),1,0)</f>
        <v>0</v>
      </c>
      <c r="K602">
        <f>IF(AND(Table2[[#This Row],[BMI+Outcome]]=1,Table2[[#This Row],[Glucose]]&gt;=100),1,0)</f>
        <v>0</v>
      </c>
      <c r="L602">
        <f>IF(AND(Table2[[#This Row],[Outcome]]=1,Table2[[#This Row],[Glucose]]&gt;=100),1,0)</f>
        <v>0</v>
      </c>
    </row>
    <row r="603" spans="1:12" x14ac:dyDescent="0.25">
      <c r="A603">
        <v>6</v>
      </c>
      <c r="B603">
        <v>96</v>
      </c>
      <c r="C603">
        <v>69</v>
      </c>
      <c r="D603">
        <v>21</v>
      </c>
      <c r="E603">
        <v>80</v>
      </c>
      <c r="F603">
        <v>24</v>
      </c>
      <c r="G603">
        <v>0.67200000000000004</v>
      </c>
      <c r="H603">
        <v>28</v>
      </c>
      <c r="I603">
        <v>0</v>
      </c>
      <c r="J603">
        <f>IF(AND(Table2[[#This Row],[BMI]]&gt;=23,Table2[[#This Row],[Outcome]]=1),1,0)</f>
        <v>0</v>
      </c>
      <c r="K603">
        <f>IF(AND(Table2[[#This Row],[BMI+Outcome]]=1,Table2[[#This Row],[Glucose]]&gt;=100),1,0)</f>
        <v>0</v>
      </c>
      <c r="L603">
        <f>IF(AND(Table2[[#This Row],[Outcome]]=1,Table2[[#This Row],[Glucose]]&gt;=100),1,0)</f>
        <v>0</v>
      </c>
    </row>
    <row r="604" spans="1:12" x14ac:dyDescent="0.25">
      <c r="A604">
        <v>1</v>
      </c>
      <c r="B604">
        <v>124</v>
      </c>
      <c r="C604">
        <v>74</v>
      </c>
      <c r="D604">
        <v>36</v>
      </c>
      <c r="E604">
        <v>80</v>
      </c>
      <c r="F604">
        <v>28</v>
      </c>
      <c r="G604">
        <v>0.67200000000000004</v>
      </c>
      <c r="H604">
        <v>30</v>
      </c>
      <c r="I604">
        <v>0</v>
      </c>
      <c r="J604">
        <f>IF(AND(Table2[[#This Row],[BMI]]&gt;=23,Table2[[#This Row],[Outcome]]=1),1,0)</f>
        <v>0</v>
      </c>
      <c r="K604">
        <f>IF(AND(Table2[[#This Row],[BMI+Outcome]]=1,Table2[[#This Row],[Glucose]]&gt;=100),1,0)</f>
        <v>0</v>
      </c>
      <c r="L604">
        <f>IF(AND(Table2[[#This Row],[Outcome]]=1,Table2[[#This Row],[Glucose]]&gt;=100),1,0)</f>
        <v>0</v>
      </c>
    </row>
    <row r="605" spans="1:12" x14ac:dyDescent="0.25">
      <c r="A605">
        <v>7</v>
      </c>
      <c r="B605">
        <v>150</v>
      </c>
      <c r="C605">
        <v>78</v>
      </c>
      <c r="D605">
        <v>29</v>
      </c>
      <c r="E605">
        <v>126</v>
      </c>
      <c r="F605">
        <v>35</v>
      </c>
      <c r="G605">
        <v>0.67200000000000004</v>
      </c>
      <c r="H605">
        <v>54</v>
      </c>
      <c r="I605">
        <v>1</v>
      </c>
      <c r="J605">
        <f>IF(AND(Table2[[#This Row],[BMI]]&gt;=23,Table2[[#This Row],[Outcome]]=1),1,0)</f>
        <v>1</v>
      </c>
      <c r="K605">
        <f>IF(AND(Table2[[#This Row],[BMI+Outcome]]=1,Table2[[#This Row],[Glucose]]&gt;=100),1,0)</f>
        <v>1</v>
      </c>
      <c r="L605">
        <f>IF(AND(Table2[[#This Row],[Outcome]]=1,Table2[[#This Row],[Glucose]]&gt;=100),1,0)</f>
        <v>1</v>
      </c>
    </row>
    <row r="606" spans="1:12" x14ac:dyDescent="0.25">
      <c r="A606">
        <v>4</v>
      </c>
      <c r="B606">
        <v>183</v>
      </c>
      <c r="C606">
        <v>69</v>
      </c>
      <c r="D606">
        <v>21</v>
      </c>
      <c r="E606">
        <v>80</v>
      </c>
      <c r="F606">
        <v>28</v>
      </c>
      <c r="G606">
        <v>0.67200000000000004</v>
      </c>
      <c r="H606">
        <v>36</v>
      </c>
      <c r="I606">
        <v>1</v>
      </c>
      <c r="J606">
        <f>IF(AND(Table2[[#This Row],[BMI]]&gt;=23,Table2[[#This Row],[Outcome]]=1),1,0)</f>
        <v>1</v>
      </c>
      <c r="K606">
        <f>IF(AND(Table2[[#This Row],[BMI+Outcome]]=1,Table2[[#This Row],[Glucose]]&gt;=100),1,0)</f>
        <v>1</v>
      </c>
      <c r="L606">
        <f>IF(AND(Table2[[#This Row],[Outcome]]=1,Table2[[#This Row],[Glucose]]&gt;=100),1,0)</f>
        <v>1</v>
      </c>
    </row>
    <row r="607" spans="1:12" x14ac:dyDescent="0.25">
      <c r="A607">
        <v>1</v>
      </c>
      <c r="B607">
        <v>124</v>
      </c>
      <c r="C607">
        <v>60</v>
      </c>
      <c r="D607">
        <v>32</v>
      </c>
      <c r="E607">
        <v>80</v>
      </c>
      <c r="F607">
        <v>36</v>
      </c>
      <c r="G607">
        <v>0.67200000000000004</v>
      </c>
      <c r="H607">
        <v>21</v>
      </c>
      <c r="I607">
        <v>0</v>
      </c>
      <c r="J607">
        <f>IF(AND(Table2[[#This Row],[BMI]]&gt;=23,Table2[[#This Row],[Outcome]]=1),1,0)</f>
        <v>0</v>
      </c>
      <c r="K607">
        <f>IF(AND(Table2[[#This Row],[BMI+Outcome]]=1,Table2[[#This Row],[Glucose]]&gt;=100),1,0)</f>
        <v>0</v>
      </c>
      <c r="L607">
        <f>IF(AND(Table2[[#This Row],[Outcome]]=1,Table2[[#This Row],[Glucose]]&gt;=100),1,0)</f>
        <v>0</v>
      </c>
    </row>
    <row r="608" spans="1:12" x14ac:dyDescent="0.25">
      <c r="A608">
        <v>1</v>
      </c>
      <c r="B608">
        <v>181</v>
      </c>
      <c r="C608">
        <v>78</v>
      </c>
      <c r="D608">
        <v>42</v>
      </c>
      <c r="E608">
        <v>293</v>
      </c>
      <c r="F608">
        <v>40</v>
      </c>
      <c r="G608">
        <v>0.67200000000000004</v>
      </c>
      <c r="H608">
        <v>22</v>
      </c>
      <c r="I608">
        <v>1</v>
      </c>
      <c r="J608">
        <f>IF(AND(Table2[[#This Row],[BMI]]&gt;=23,Table2[[#This Row],[Outcome]]=1),1,0)</f>
        <v>1</v>
      </c>
      <c r="K608">
        <f>IF(AND(Table2[[#This Row],[BMI+Outcome]]=1,Table2[[#This Row],[Glucose]]&gt;=100),1,0)</f>
        <v>1</v>
      </c>
      <c r="L608">
        <f>IF(AND(Table2[[#This Row],[Outcome]]=1,Table2[[#This Row],[Glucose]]&gt;=100),1,0)</f>
        <v>1</v>
      </c>
    </row>
    <row r="609" spans="1:12" x14ac:dyDescent="0.25">
      <c r="A609">
        <v>1</v>
      </c>
      <c r="B609">
        <v>92</v>
      </c>
      <c r="C609">
        <v>62</v>
      </c>
      <c r="D609">
        <v>25</v>
      </c>
      <c r="E609">
        <v>41</v>
      </c>
      <c r="F609">
        <v>20</v>
      </c>
      <c r="G609">
        <v>0.67200000000000004</v>
      </c>
      <c r="H609">
        <v>25</v>
      </c>
      <c r="I609">
        <v>0</v>
      </c>
      <c r="J609">
        <f>IF(AND(Table2[[#This Row],[BMI]]&gt;=23,Table2[[#This Row],[Outcome]]=1),1,0)</f>
        <v>0</v>
      </c>
      <c r="K609">
        <f>IF(AND(Table2[[#This Row],[BMI+Outcome]]=1,Table2[[#This Row],[Glucose]]&gt;=100),1,0)</f>
        <v>0</v>
      </c>
      <c r="L609">
        <f>IF(AND(Table2[[#This Row],[Outcome]]=1,Table2[[#This Row],[Glucose]]&gt;=100),1,0)</f>
        <v>0</v>
      </c>
    </row>
    <row r="610" spans="1:12" x14ac:dyDescent="0.25">
      <c r="A610">
        <v>4</v>
      </c>
      <c r="B610">
        <v>152</v>
      </c>
      <c r="C610">
        <v>82</v>
      </c>
      <c r="D610">
        <v>39</v>
      </c>
      <c r="E610">
        <v>272</v>
      </c>
      <c r="F610">
        <v>42</v>
      </c>
      <c r="G610">
        <v>0.67200000000000004</v>
      </c>
      <c r="H610">
        <v>27</v>
      </c>
      <c r="I610">
        <v>0</v>
      </c>
      <c r="J610">
        <f>IF(AND(Table2[[#This Row],[BMI]]&gt;=23,Table2[[#This Row],[Outcome]]=1),1,0)</f>
        <v>0</v>
      </c>
      <c r="K610">
        <f>IF(AND(Table2[[#This Row],[BMI+Outcome]]=1,Table2[[#This Row],[Glucose]]&gt;=100),1,0)</f>
        <v>0</v>
      </c>
      <c r="L610">
        <f>IF(AND(Table2[[#This Row],[Outcome]]=1,Table2[[#This Row],[Glucose]]&gt;=100),1,0)</f>
        <v>0</v>
      </c>
    </row>
    <row r="611" spans="1:12" x14ac:dyDescent="0.25">
      <c r="A611">
        <v>1</v>
      </c>
      <c r="B611">
        <v>111</v>
      </c>
      <c r="C611">
        <v>62</v>
      </c>
      <c r="D611">
        <v>13</v>
      </c>
      <c r="E611">
        <v>182</v>
      </c>
      <c r="F611">
        <v>24</v>
      </c>
      <c r="G611">
        <v>0.67200000000000004</v>
      </c>
      <c r="H611">
        <v>23</v>
      </c>
      <c r="I611">
        <v>0</v>
      </c>
      <c r="J611">
        <f>IF(AND(Table2[[#This Row],[BMI]]&gt;=23,Table2[[#This Row],[Outcome]]=1),1,0)</f>
        <v>0</v>
      </c>
      <c r="K611">
        <f>IF(AND(Table2[[#This Row],[BMI+Outcome]]=1,Table2[[#This Row],[Glucose]]&gt;=100),1,0)</f>
        <v>0</v>
      </c>
      <c r="L611">
        <f>IF(AND(Table2[[#This Row],[Outcome]]=1,Table2[[#This Row],[Glucose]]&gt;=100),1,0)</f>
        <v>0</v>
      </c>
    </row>
    <row r="612" spans="1:12" x14ac:dyDescent="0.25">
      <c r="A612">
        <v>3</v>
      </c>
      <c r="B612">
        <v>106</v>
      </c>
      <c r="C612">
        <v>54</v>
      </c>
      <c r="D612">
        <v>21</v>
      </c>
      <c r="E612">
        <v>158</v>
      </c>
      <c r="F612">
        <v>31</v>
      </c>
      <c r="G612">
        <v>0.67200000000000004</v>
      </c>
      <c r="H612">
        <v>24</v>
      </c>
      <c r="I612">
        <v>0</v>
      </c>
      <c r="J612">
        <f>IF(AND(Table2[[#This Row],[BMI]]&gt;=23,Table2[[#This Row],[Outcome]]=1),1,0)</f>
        <v>0</v>
      </c>
      <c r="K612">
        <f>IF(AND(Table2[[#This Row],[BMI+Outcome]]=1,Table2[[#This Row],[Glucose]]&gt;=100),1,0)</f>
        <v>0</v>
      </c>
      <c r="L612">
        <f>IF(AND(Table2[[#This Row],[Outcome]]=1,Table2[[#This Row],[Glucose]]&gt;=100),1,0)</f>
        <v>0</v>
      </c>
    </row>
    <row r="613" spans="1:12" x14ac:dyDescent="0.25">
      <c r="A613">
        <v>3</v>
      </c>
      <c r="B613">
        <v>174</v>
      </c>
      <c r="C613">
        <v>58</v>
      </c>
      <c r="D613">
        <v>22</v>
      </c>
      <c r="E613">
        <v>194</v>
      </c>
      <c r="F613">
        <v>33</v>
      </c>
      <c r="G613">
        <v>0.67200000000000004</v>
      </c>
      <c r="H613">
        <v>36</v>
      </c>
      <c r="I613">
        <v>1</v>
      </c>
      <c r="J613">
        <f>IF(AND(Table2[[#This Row],[BMI]]&gt;=23,Table2[[#This Row],[Outcome]]=1),1,0)</f>
        <v>1</v>
      </c>
      <c r="K613">
        <f>IF(AND(Table2[[#This Row],[BMI+Outcome]]=1,Table2[[#This Row],[Glucose]]&gt;=100),1,0)</f>
        <v>1</v>
      </c>
      <c r="L613">
        <f>IF(AND(Table2[[#This Row],[Outcome]]=1,Table2[[#This Row],[Glucose]]&gt;=100),1,0)</f>
        <v>1</v>
      </c>
    </row>
    <row r="614" spans="1:12" x14ac:dyDescent="0.25">
      <c r="A614">
        <v>7</v>
      </c>
      <c r="B614">
        <v>168</v>
      </c>
      <c r="C614">
        <v>88</v>
      </c>
      <c r="D614">
        <v>42</v>
      </c>
      <c r="E614">
        <v>321</v>
      </c>
      <c r="F614">
        <v>38</v>
      </c>
      <c r="G614">
        <v>0.67200000000000004</v>
      </c>
      <c r="H614">
        <v>40</v>
      </c>
      <c r="I614">
        <v>1</v>
      </c>
      <c r="J614">
        <f>IF(AND(Table2[[#This Row],[BMI]]&gt;=23,Table2[[#This Row],[Outcome]]=1),1,0)</f>
        <v>1</v>
      </c>
      <c r="K614">
        <f>IF(AND(Table2[[#This Row],[BMI+Outcome]]=1,Table2[[#This Row],[Glucose]]&gt;=100),1,0)</f>
        <v>1</v>
      </c>
      <c r="L614">
        <f>IF(AND(Table2[[#This Row],[Outcome]]=1,Table2[[#This Row],[Glucose]]&gt;=100),1,0)</f>
        <v>1</v>
      </c>
    </row>
    <row r="615" spans="1:12" x14ac:dyDescent="0.25">
      <c r="A615">
        <v>6</v>
      </c>
      <c r="B615">
        <v>105</v>
      </c>
      <c r="C615">
        <v>80</v>
      </c>
      <c r="D615">
        <v>28</v>
      </c>
      <c r="E615">
        <v>80</v>
      </c>
      <c r="F615">
        <v>32</v>
      </c>
      <c r="G615">
        <v>0.67200000000000004</v>
      </c>
      <c r="H615">
        <v>26</v>
      </c>
      <c r="I615">
        <v>0</v>
      </c>
      <c r="J615">
        <f>IF(AND(Table2[[#This Row],[BMI]]&gt;=23,Table2[[#This Row],[Outcome]]=1),1,0)</f>
        <v>0</v>
      </c>
      <c r="K615">
        <f>IF(AND(Table2[[#This Row],[BMI+Outcome]]=1,Table2[[#This Row],[Glucose]]&gt;=100),1,0)</f>
        <v>0</v>
      </c>
      <c r="L615">
        <f>IF(AND(Table2[[#This Row],[Outcome]]=1,Table2[[#This Row],[Glucose]]&gt;=100),1,0)</f>
        <v>0</v>
      </c>
    </row>
    <row r="616" spans="1:12" x14ac:dyDescent="0.25">
      <c r="A616">
        <v>11</v>
      </c>
      <c r="B616">
        <v>138</v>
      </c>
      <c r="C616">
        <v>74</v>
      </c>
      <c r="D616">
        <v>26</v>
      </c>
      <c r="E616">
        <v>144</v>
      </c>
      <c r="F616">
        <v>36</v>
      </c>
      <c r="G616">
        <v>0.67200000000000004</v>
      </c>
      <c r="H616">
        <v>50</v>
      </c>
      <c r="I616">
        <v>1</v>
      </c>
      <c r="J616">
        <f>IF(AND(Table2[[#This Row],[BMI]]&gt;=23,Table2[[#This Row],[Outcome]]=1),1,0)</f>
        <v>1</v>
      </c>
      <c r="K616">
        <f>IF(AND(Table2[[#This Row],[BMI+Outcome]]=1,Table2[[#This Row],[Glucose]]&gt;=100),1,0)</f>
        <v>1</v>
      </c>
      <c r="L616">
        <f>IF(AND(Table2[[#This Row],[Outcome]]=1,Table2[[#This Row],[Glucose]]&gt;=100),1,0)</f>
        <v>1</v>
      </c>
    </row>
    <row r="617" spans="1:12" x14ac:dyDescent="0.25">
      <c r="A617">
        <v>3</v>
      </c>
      <c r="B617">
        <v>106</v>
      </c>
      <c r="C617">
        <v>72</v>
      </c>
      <c r="D617">
        <v>21</v>
      </c>
      <c r="E617">
        <v>80</v>
      </c>
      <c r="F617">
        <v>26</v>
      </c>
      <c r="G617">
        <v>0.67200000000000004</v>
      </c>
      <c r="H617">
        <v>27</v>
      </c>
      <c r="I617">
        <v>0</v>
      </c>
      <c r="J617">
        <f>IF(AND(Table2[[#This Row],[BMI]]&gt;=23,Table2[[#This Row],[Outcome]]=1),1,0)</f>
        <v>0</v>
      </c>
      <c r="K617">
        <f>IF(AND(Table2[[#This Row],[BMI+Outcome]]=1,Table2[[#This Row],[Glucose]]&gt;=100),1,0)</f>
        <v>0</v>
      </c>
      <c r="L617">
        <f>IF(AND(Table2[[#This Row],[Outcome]]=1,Table2[[#This Row],[Glucose]]&gt;=100),1,0)</f>
        <v>0</v>
      </c>
    </row>
    <row r="618" spans="1:12" x14ac:dyDescent="0.25">
      <c r="A618">
        <v>6</v>
      </c>
      <c r="B618">
        <v>117</v>
      </c>
      <c r="C618">
        <v>96</v>
      </c>
      <c r="D618">
        <v>21</v>
      </c>
      <c r="E618">
        <v>80</v>
      </c>
      <c r="F618">
        <v>29</v>
      </c>
      <c r="G618">
        <v>0.67200000000000004</v>
      </c>
      <c r="H618">
        <v>30</v>
      </c>
      <c r="I618">
        <v>0</v>
      </c>
      <c r="J618">
        <f>IF(AND(Table2[[#This Row],[BMI]]&gt;=23,Table2[[#This Row],[Outcome]]=1),1,0)</f>
        <v>0</v>
      </c>
      <c r="K618">
        <f>IF(AND(Table2[[#This Row],[BMI+Outcome]]=1,Table2[[#This Row],[Glucose]]&gt;=100),1,0)</f>
        <v>0</v>
      </c>
      <c r="L618">
        <f>IF(AND(Table2[[#This Row],[Outcome]]=1,Table2[[#This Row],[Glucose]]&gt;=100),1,0)</f>
        <v>0</v>
      </c>
    </row>
    <row r="619" spans="1:12" x14ac:dyDescent="0.25">
      <c r="A619">
        <v>2</v>
      </c>
      <c r="B619">
        <v>68</v>
      </c>
      <c r="C619">
        <v>62</v>
      </c>
      <c r="D619">
        <v>13</v>
      </c>
      <c r="E619">
        <v>15</v>
      </c>
      <c r="F619">
        <v>20</v>
      </c>
      <c r="G619">
        <v>0.67200000000000004</v>
      </c>
      <c r="H619">
        <v>23</v>
      </c>
      <c r="I619">
        <v>0</v>
      </c>
      <c r="J619">
        <f>IF(AND(Table2[[#This Row],[BMI]]&gt;=23,Table2[[#This Row],[Outcome]]=1),1,0)</f>
        <v>0</v>
      </c>
      <c r="K619">
        <f>IF(AND(Table2[[#This Row],[BMI+Outcome]]=1,Table2[[#This Row],[Glucose]]&gt;=100),1,0)</f>
        <v>0</v>
      </c>
      <c r="L619">
        <f>IF(AND(Table2[[#This Row],[Outcome]]=1,Table2[[#This Row],[Glucose]]&gt;=100),1,0)</f>
        <v>0</v>
      </c>
    </row>
    <row r="620" spans="1:12" x14ac:dyDescent="0.25">
      <c r="A620">
        <v>9</v>
      </c>
      <c r="B620">
        <v>112</v>
      </c>
      <c r="C620">
        <v>82</v>
      </c>
      <c r="D620">
        <v>24</v>
      </c>
      <c r="E620">
        <v>80</v>
      </c>
      <c r="F620">
        <v>28</v>
      </c>
      <c r="G620">
        <v>0.67200000000000004</v>
      </c>
      <c r="H620">
        <v>50</v>
      </c>
      <c r="I620">
        <v>1</v>
      </c>
      <c r="J620">
        <f>IF(AND(Table2[[#This Row],[BMI]]&gt;=23,Table2[[#This Row],[Outcome]]=1),1,0)</f>
        <v>1</v>
      </c>
      <c r="K620">
        <f>IF(AND(Table2[[#This Row],[BMI+Outcome]]=1,Table2[[#This Row],[Glucose]]&gt;=100),1,0)</f>
        <v>1</v>
      </c>
      <c r="L620">
        <f>IF(AND(Table2[[#This Row],[Outcome]]=1,Table2[[#This Row],[Glucose]]&gt;=100),1,0)</f>
        <v>1</v>
      </c>
    </row>
    <row r="621" spans="1:12" x14ac:dyDescent="0.25">
      <c r="A621">
        <v>4</v>
      </c>
      <c r="B621">
        <v>119</v>
      </c>
      <c r="C621">
        <v>69</v>
      </c>
      <c r="D621">
        <v>21</v>
      </c>
      <c r="E621">
        <v>80</v>
      </c>
      <c r="F621">
        <v>32</v>
      </c>
      <c r="G621">
        <v>0.67200000000000004</v>
      </c>
      <c r="H621">
        <v>24</v>
      </c>
      <c r="I621">
        <v>1</v>
      </c>
      <c r="J621">
        <f>IF(AND(Table2[[#This Row],[BMI]]&gt;=23,Table2[[#This Row],[Outcome]]=1),1,0)</f>
        <v>1</v>
      </c>
      <c r="K621">
        <f>IF(AND(Table2[[#This Row],[BMI+Outcome]]=1,Table2[[#This Row],[Glucose]]&gt;=100),1,0)</f>
        <v>1</v>
      </c>
      <c r="L621">
        <f>IF(AND(Table2[[#This Row],[Outcome]]=1,Table2[[#This Row],[Glucose]]&gt;=100),1,0)</f>
        <v>1</v>
      </c>
    </row>
    <row r="622" spans="1:12" x14ac:dyDescent="0.25">
      <c r="A622">
        <v>2</v>
      </c>
      <c r="B622">
        <v>112</v>
      </c>
      <c r="C622">
        <v>86</v>
      </c>
      <c r="D622">
        <v>42</v>
      </c>
      <c r="E622">
        <v>160</v>
      </c>
      <c r="F622">
        <v>38</v>
      </c>
      <c r="G622">
        <v>0.67200000000000004</v>
      </c>
      <c r="H622">
        <v>28</v>
      </c>
      <c r="I622">
        <v>0</v>
      </c>
      <c r="J622">
        <f>IF(AND(Table2[[#This Row],[BMI]]&gt;=23,Table2[[#This Row],[Outcome]]=1),1,0)</f>
        <v>0</v>
      </c>
      <c r="K622">
        <f>IF(AND(Table2[[#This Row],[BMI+Outcome]]=1,Table2[[#This Row],[Glucose]]&gt;=100),1,0)</f>
        <v>0</v>
      </c>
      <c r="L622">
        <f>IF(AND(Table2[[#This Row],[Outcome]]=1,Table2[[#This Row],[Glucose]]&gt;=100),1,0)</f>
        <v>0</v>
      </c>
    </row>
    <row r="623" spans="1:12" x14ac:dyDescent="0.25">
      <c r="A623">
        <v>2</v>
      </c>
      <c r="B623">
        <v>92</v>
      </c>
      <c r="C623">
        <v>76</v>
      </c>
      <c r="D623">
        <v>20</v>
      </c>
      <c r="E623">
        <v>80</v>
      </c>
      <c r="F623">
        <v>24</v>
      </c>
      <c r="G623">
        <v>0.67200000000000004</v>
      </c>
      <c r="H623">
        <v>28</v>
      </c>
      <c r="I623">
        <v>0</v>
      </c>
      <c r="J623">
        <f>IF(AND(Table2[[#This Row],[BMI]]&gt;=23,Table2[[#This Row],[Outcome]]=1),1,0)</f>
        <v>0</v>
      </c>
      <c r="K623">
        <f>IF(AND(Table2[[#This Row],[BMI+Outcome]]=1,Table2[[#This Row],[Glucose]]&gt;=100),1,0)</f>
        <v>0</v>
      </c>
      <c r="L623">
        <f>IF(AND(Table2[[#This Row],[Outcome]]=1,Table2[[#This Row],[Glucose]]&gt;=100),1,0)</f>
        <v>0</v>
      </c>
    </row>
    <row r="624" spans="1:12" x14ac:dyDescent="0.25">
      <c r="A624">
        <v>6</v>
      </c>
      <c r="B624">
        <v>183</v>
      </c>
      <c r="C624">
        <v>94</v>
      </c>
      <c r="D624">
        <v>21</v>
      </c>
      <c r="E624">
        <v>80</v>
      </c>
      <c r="F624">
        <v>41</v>
      </c>
      <c r="G624">
        <v>0.67200000000000004</v>
      </c>
      <c r="H624">
        <v>45</v>
      </c>
      <c r="I624">
        <v>0</v>
      </c>
      <c r="J624">
        <f>IF(AND(Table2[[#This Row],[BMI]]&gt;=23,Table2[[#This Row],[Outcome]]=1),1,0)</f>
        <v>0</v>
      </c>
      <c r="K624">
        <f>IF(AND(Table2[[#This Row],[BMI+Outcome]]=1,Table2[[#This Row],[Glucose]]&gt;=100),1,0)</f>
        <v>0</v>
      </c>
      <c r="L624">
        <f>IF(AND(Table2[[#This Row],[Outcome]]=1,Table2[[#This Row],[Glucose]]&gt;=100),1,0)</f>
        <v>0</v>
      </c>
    </row>
    <row r="625" spans="1:12" x14ac:dyDescent="0.25">
      <c r="A625">
        <v>4</v>
      </c>
      <c r="B625">
        <v>94</v>
      </c>
      <c r="C625">
        <v>70</v>
      </c>
      <c r="D625">
        <v>27</v>
      </c>
      <c r="E625">
        <v>115</v>
      </c>
      <c r="F625">
        <v>44</v>
      </c>
      <c r="G625">
        <v>0.67200000000000004</v>
      </c>
      <c r="H625">
        <v>21</v>
      </c>
      <c r="I625">
        <v>0</v>
      </c>
      <c r="J625">
        <f>IF(AND(Table2[[#This Row],[BMI]]&gt;=23,Table2[[#This Row],[Outcome]]=1),1,0)</f>
        <v>0</v>
      </c>
      <c r="K625">
        <f>IF(AND(Table2[[#This Row],[BMI+Outcome]]=1,Table2[[#This Row],[Glucose]]&gt;=100),1,0)</f>
        <v>0</v>
      </c>
      <c r="L625">
        <f>IF(AND(Table2[[#This Row],[Outcome]]=1,Table2[[#This Row],[Glucose]]&gt;=100),1,0)</f>
        <v>0</v>
      </c>
    </row>
    <row r="626" spans="1:12" x14ac:dyDescent="0.25">
      <c r="A626">
        <v>2</v>
      </c>
      <c r="B626">
        <v>108</v>
      </c>
      <c r="C626">
        <v>64</v>
      </c>
      <c r="D626">
        <v>21</v>
      </c>
      <c r="E626">
        <v>80</v>
      </c>
      <c r="F626">
        <v>31</v>
      </c>
      <c r="G626">
        <v>0.67200000000000004</v>
      </c>
      <c r="H626">
        <v>21</v>
      </c>
      <c r="I626">
        <v>0</v>
      </c>
      <c r="J626">
        <f>IF(AND(Table2[[#This Row],[BMI]]&gt;=23,Table2[[#This Row],[Outcome]]=1),1,0)</f>
        <v>0</v>
      </c>
      <c r="K626">
        <f>IF(AND(Table2[[#This Row],[BMI+Outcome]]=1,Table2[[#This Row],[Glucose]]&gt;=100),1,0)</f>
        <v>0</v>
      </c>
      <c r="L626">
        <f>IF(AND(Table2[[#This Row],[Outcome]]=1,Table2[[#This Row],[Glucose]]&gt;=100),1,0)</f>
        <v>0</v>
      </c>
    </row>
    <row r="627" spans="1:12" x14ac:dyDescent="0.25">
      <c r="A627">
        <v>4</v>
      </c>
      <c r="B627">
        <v>90</v>
      </c>
      <c r="C627">
        <v>88</v>
      </c>
      <c r="D627">
        <v>47</v>
      </c>
      <c r="E627">
        <v>54</v>
      </c>
      <c r="F627">
        <v>38</v>
      </c>
      <c r="G627">
        <v>0.67200000000000004</v>
      </c>
      <c r="H627">
        <v>29</v>
      </c>
      <c r="I627">
        <v>0</v>
      </c>
      <c r="J627">
        <f>IF(AND(Table2[[#This Row],[BMI]]&gt;=23,Table2[[#This Row],[Outcome]]=1),1,0)</f>
        <v>0</v>
      </c>
      <c r="K627">
        <f>IF(AND(Table2[[#This Row],[BMI+Outcome]]=1,Table2[[#This Row],[Glucose]]&gt;=100),1,0)</f>
        <v>0</v>
      </c>
      <c r="L627">
        <f>IF(AND(Table2[[#This Row],[Outcome]]=1,Table2[[#This Row],[Glucose]]&gt;=100),1,0)</f>
        <v>0</v>
      </c>
    </row>
    <row r="628" spans="1:12" x14ac:dyDescent="0.25">
      <c r="A628">
        <v>4</v>
      </c>
      <c r="B628">
        <v>125</v>
      </c>
      <c r="C628">
        <v>68</v>
      </c>
      <c r="D628">
        <v>21</v>
      </c>
      <c r="E628">
        <v>80</v>
      </c>
      <c r="F628">
        <v>25</v>
      </c>
      <c r="G628">
        <v>0.67200000000000004</v>
      </c>
      <c r="H628">
        <v>21</v>
      </c>
      <c r="I628">
        <v>0</v>
      </c>
      <c r="J628">
        <f>IF(AND(Table2[[#This Row],[BMI]]&gt;=23,Table2[[#This Row],[Outcome]]=1),1,0)</f>
        <v>0</v>
      </c>
      <c r="K628">
        <f>IF(AND(Table2[[#This Row],[BMI+Outcome]]=1,Table2[[#This Row],[Glucose]]&gt;=100),1,0)</f>
        <v>0</v>
      </c>
      <c r="L628">
        <f>IF(AND(Table2[[#This Row],[Outcome]]=1,Table2[[#This Row],[Glucose]]&gt;=100),1,0)</f>
        <v>0</v>
      </c>
    </row>
    <row r="629" spans="1:12" x14ac:dyDescent="0.25">
      <c r="A629">
        <v>4</v>
      </c>
      <c r="B629">
        <v>132</v>
      </c>
      <c r="C629">
        <v>78</v>
      </c>
      <c r="D629">
        <v>21</v>
      </c>
      <c r="E629">
        <v>80</v>
      </c>
      <c r="F629">
        <v>32</v>
      </c>
      <c r="G629">
        <v>0.67200000000000004</v>
      </c>
      <c r="H629">
        <v>21</v>
      </c>
      <c r="I629">
        <v>0</v>
      </c>
      <c r="J629">
        <f>IF(AND(Table2[[#This Row],[BMI]]&gt;=23,Table2[[#This Row],[Outcome]]=1),1,0)</f>
        <v>0</v>
      </c>
      <c r="K629">
        <f>IF(AND(Table2[[#This Row],[BMI+Outcome]]=1,Table2[[#This Row],[Glucose]]&gt;=100),1,0)</f>
        <v>0</v>
      </c>
      <c r="L629">
        <f>IF(AND(Table2[[#This Row],[Outcome]]=1,Table2[[#This Row],[Glucose]]&gt;=100),1,0)</f>
        <v>0</v>
      </c>
    </row>
    <row r="630" spans="1:12" x14ac:dyDescent="0.25">
      <c r="A630">
        <v>5</v>
      </c>
      <c r="B630">
        <v>128</v>
      </c>
      <c r="C630">
        <v>80</v>
      </c>
      <c r="D630">
        <v>21</v>
      </c>
      <c r="E630">
        <v>80</v>
      </c>
      <c r="F630">
        <v>35</v>
      </c>
      <c r="G630">
        <v>0.67200000000000004</v>
      </c>
      <c r="H630">
        <v>45</v>
      </c>
      <c r="I630">
        <v>0</v>
      </c>
      <c r="J630">
        <f>IF(AND(Table2[[#This Row],[BMI]]&gt;=23,Table2[[#This Row],[Outcome]]=1),1,0)</f>
        <v>0</v>
      </c>
      <c r="K630">
        <f>IF(AND(Table2[[#This Row],[BMI+Outcome]]=1,Table2[[#This Row],[Glucose]]&gt;=100),1,0)</f>
        <v>0</v>
      </c>
      <c r="L630">
        <f>IF(AND(Table2[[#This Row],[Outcome]]=1,Table2[[#This Row],[Glucose]]&gt;=100),1,0)</f>
        <v>0</v>
      </c>
    </row>
    <row r="631" spans="1:12" x14ac:dyDescent="0.25">
      <c r="A631">
        <v>4</v>
      </c>
      <c r="B631">
        <v>94</v>
      </c>
      <c r="C631">
        <v>65</v>
      </c>
      <c r="D631">
        <v>22</v>
      </c>
      <c r="E631">
        <v>80</v>
      </c>
      <c r="F631">
        <v>25</v>
      </c>
      <c r="G631">
        <v>0.67200000000000004</v>
      </c>
      <c r="H631">
        <v>21</v>
      </c>
      <c r="I631">
        <v>0</v>
      </c>
      <c r="J631">
        <f>IF(AND(Table2[[#This Row],[BMI]]&gt;=23,Table2[[#This Row],[Outcome]]=1),1,0)</f>
        <v>0</v>
      </c>
      <c r="K631">
        <f>IF(AND(Table2[[#This Row],[BMI+Outcome]]=1,Table2[[#This Row],[Glucose]]&gt;=100),1,0)</f>
        <v>0</v>
      </c>
      <c r="L631">
        <f>IF(AND(Table2[[#This Row],[Outcome]]=1,Table2[[#This Row],[Glucose]]&gt;=100),1,0)</f>
        <v>0</v>
      </c>
    </row>
    <row r="632" spans="1:12" x14ac:dyDescent="0.25">
      <c r="A632">
        <v>7</v>
      </c>
      <c r="B632">
        <v>114</v>
      </c>
      <c r="C632">
        <v>64</v>
      </c>
      <c r="D632">
        <v>21</v>
      </c>
      <c r="E632">
        <v>80</v>
      </c>
      <c r="F632">
        <v>27</v>
      </c>
      <c r="G632">
        <v>0.67200000000000004</v>
      </c>
      <c r="H632">
        <v>34</v>
      </c>
      <c r="I632">
        <v>1</v>
      </c>
      <c r="J632">
        <f>IF(AND(Table2[[#This Row],[BMI]]&gt;=23,Table2[[#This Row],[Outcome]]=1),1,0)</f>
        <v>1</v>
      </c>
      <c r="K632">
        <f>IF(AND(Table2[[#This Row],[BMI+Outcome]]=1,Table2[[#This Row],[Glucose]]&gt;=100),1,0)</f>
        <v>1</v>
      </c>
      <c r="L632">
        <f>IF(AND(Table2[[#This Row],[Outcome]]=1,Table2[[#This Row],[Glucose]]&gt;=100),1,0)</f>
        <v>1</v>
      </c>
    </row>
    <row r="633" spans="1:12" x14ac:dyDescent="0.25">
      <c r="A633">
        <v>4</v>
      </c>
      <c r="B633">
        <v>102</v>
      </c>
      <c r="C633">
        <v>78</v>
      </c>
      <c r="D633">
        <v>40</v>
      </c>
      <c r="E633">
        <v>90</v>
      </c>
      <c r="F633">
        <v>34</v>
      </c>
      <c r="G633">
        <v>0.67200000000000004</v>
      </c>
      <c r="H633">
        <v>24</v>
      </c>
      <c r="I633">
        <v>0</v>
      </c>
      <c r="J633">
        <f>IF(AND(Table2[[#This Row],[BMI]]&gt;=23,Table2[[#This Row],[Outcome]]=1),1,0)</f>
        <v>0</v>
      </c>
      <c r="K633">
        <f>IF(AND(Table2[[#This Row],[BMI+Outcome]]=1,Table2[[#This Row],[Glucose]]&gt;=100),1,0)</f>
        <v>0</v>
      </c>
      <c r="L633">
        <f>IF(AND(Table2[[#This Row],[Outcome]]=1,Table2[[#This Row],[Glucose]]&gt;=100),1,0)</f>
        <v>0</v>
      </c>
    </row>
    <row r="634" spans="1:12" x14ac:dyDescent="0.25">
      <c r="A634">
        <v>2</v>
      </c>
      <c r="B634">
        <v>111</v>
      </c>
      <c r="C634">
        <v>60</v>
      </c>
      <c r="D634">
        <v>21</v>
      </c>
      <c r="E634">
        <v>80</v>
      </c>
      <c r="F634">
        <v>26</v>
      </c>
      <c r="G634">
        <v>0.67200000000000004</v>
      </c>
      <c r="H634">
        <v>23</v>
      </c>
      <c r="I634">
        <v>0</v>
      </c>
      <c r="J634">
        <f>IF(AND(Table2[[#This Row],[BMI]]&gt;=23,Table2[[#This Row],[Outcome]]=1),1,0)</f>
        <v>0</v>
      </c>
      <c r="K634">
        <f>IF(AND(Table2[[#This Row],[BMI+Outcome]]=1,Table2[[#This Row],[Glucose]]&gt;=100),1,0)</f>
        <v>0</v>
      </c>
      <c r="L634">
        <f>IF(AND(Table2[[#This Row],[Outcome]]=1,Table2[[#This Row],[Glucose]]&gt;=100),1,0)</f>
        <v>0</v>
      </c>
    </row>
    <row r="635" spans="1:12" x14ac:dyDescent="0.25">
      <c r="A635">
        <v>1</v>
      </c>
      <c r="B635">
        <v>128</v>
      </c>
      <c r="C635">
        <v>82</v>
      </c>
      <c r="D635">
        <v>17</v>
      </c>
      <c r="E635">
        <v>183</v>
      </c>
      <c r="F635">
        <v>28</v>
      </c>
      <c r="G635">
        <v>0.67200000000000004</v>
      </c>
      <c r="H635">
        <v>22</v>
      </c>
      <c r="I635">
        <v>0</v>
      </c>
      <c r="J635">
        <f>IF(AND(Table2[[#This Row],[BMI]]&gt;=23,Table2[[#This Row],[Outcome]]=1),1,0)</f>
        <v>0</v>
      </c>
      <c r="K635">
        <f>IF(AND(Table2[[#This Row],[BMI+Outcome]]=1,Table2[[#This Row],[Glucose]]&gt;=100),1,0)</f>
        <v>0</v>
      </c>
      <c r="L635">
        <f>IF(AND(Table2[[#This Row],[Outcome]]=1,Table2[[#This Row],[Glucose]]&gt;=100),1,0)</f>
        <v>0</v>
      </c>
    </row>
    <row r="636" spans="1:12" x14ac:dyDescent="0.25">
      <c r="A636">
        <v>10</v>
      </c>
      <c r="B636">
        <v>92</v>
      </c>
      <c r="C636">
        <v>62</v>
      </c>
      <c r="D636">
        <v>21</v>
      </c>
      <c r="E636">
        <v>80</v>
      </c>
      <c r="F636">
        <v>26</v>
      </c>
      <c r="G636">
        <v>0.67200000000000004</v>
      </c>
      <c r="H636">
        <v>31</v>
      </c>
      <c r="I636">
        <v>0</v>
      </c>
      <c r="J636">
        <f>IF(AND(Table2[[#This Row],[BMI]]&gt;=23,Table2[[#This Row],[Outcome]]=1),1,0)</f>
        <v>0</v>
      </c>
      <c r="K636">
        <f>IF(AND(Table2[[#This Row],[BMI+Outcome]]=1,Table2[[#This Row],[Glucose]]&gt;=100),1,0)</f>
        <v>0</v>
      </c>
      <c r="L636">
        <f>IF(AND(Table2[[#This Row],[Outcome]]=1,Table2[[#This Row],[Glucose]]&gt;=100),1,0)</f>
        <v>0</v>
      </c>
    </row>
    <row r="637" spans="1:12" x14ac:dyDescent="0.25">
      <c r="A637">
        <v>13</v>
      </c>
      <c r="B637">
        <v>104</v>
      </c>
      <c r="C637">
        <v>72</v>
      </c>
      <c r="D637">
        <v>21</v>
      </c>
      <c r="E637">
        <v>80</v>
      </c>
      <c r="F637">
        <v>31</v>
      </c>
      <c r="G637">
        <v>0.67200000000000004</v>
      </c>
      <c r="H637">
        <v>38</v>
      </c>
      <c r="I637">
        <v>1</v>
      </c>
      <c r="J637">
        <f>IF(AND(Table2[[#This Row],[BMI]]&gt;=23,Table2[[#This Row],[Outcome]]=1),1,0)</f>
        <v>1</v>
      </c>
      <c r="K637">
        <f>IF(AND(Table2[[#This Row],[BMI+Outcome]]=1,Table2[[#This Row],[Glucose]]&gt;=100),1,0)</f>
        <v>1</v>
      </c>
      <c r="L637">
        <f>IF(AND(Table2[[#This Row],[Outcome]]=1,Table2[[#This Row],[Glucose]]&gt;=100),1,0)</f>
        <v>1</v>
      </c>
    </row>
    <row r="638" spans="1:12" x14ac:dyDescent="0.25">
      <c r="A638">
        <v>5</v>
      </c>
      <c r="B638">
        <v>104</v>
      </c>
      <c r="C638">
        <v>74</v>
      </c>
      <c r="D638">
        <v>21</v>
      </c>
      <c r="E638">
        <v>80</v>
      </c>
      <c r="F638">
        <v>29</v>
      </c>
      <c r="G638">
        <v>0.67200000000000004</v>
      </c>
      <c r="H638">
        <v>48</v>
      </c>
      <c r="I638">
        <v>0</v>
      </c>
      <c r="J638">
        <f>IF(AND(Table2[[#This Row],[BMI]]&gt;=23,Table2[[#This Row],[Outcome]]=1),1,0)</f>
        <v>0</v>
      </c>
      <c r="K638">
        <f>IF(AND(Table2[[#This Row],[BMI+Outcome]]=1,Table2[[#This Row],[Glucose]]&gt;=100),1,0)</f>
        <v>0</v>
      </c>
      <c r="L638">
        <f>IF(AND(Table2[[#This Row],[Outcome]]=1,Table2[[#This Row],[Glucose]]&gt;=100),1,0)</f>
        <v>0</v>
      </c>
    </row>
    <row r="639" spans="1:12" x14ac:dyDescent="0.25">
      <c r="A639">
        <v>2</v>
      </c>
      <c r="B639">
        <v>94</v>
      </c>
      <c r="C639">
        <v>76</v>
      </c>
      <c r="D639">
        <v>18</v>
      </c>
      <c r="E639">
        <v>66</v>
      </c>
      <c r="F639">
        <v>32</v>
      </c>
      <c r="G639">
        <v>0.67200000000000004</v>
      </c>
      <c r="H639">
        <v>23</v>
      </c>
      <c r="I639">
        <v>0</v>
      </c>
      <c r="J639">
        <f>IF(AND(Table2[[#This Row],[BMI]]&gt;=23,Table2[[#This Row],[Outcome]]=1),1,0)</f>
        <v>0</v>
      </c>
      <c r="K639">
        <f>IF(AND(Table2[[#This Row],[BMI+Outcome]]=1,Table2[[#This Row],[Glucose]]&gt;=100),1,0)</f>
        <v>0</v>
      </c>
      <c r="L639">
        <f>IF(AND(Table2[[#This Row],[Outcome]]=1,Table2[[#This Row],[Glucose]]&gt;=100),1,0)</f>
        <v>0</v>
      </c>
    </row>
    <row r="640" spans="1:12" x14ac:dyDescent="0.25">
      <c r="A640">
        <v>7</v>
      </c>
      <c r="B640">
        <v>97</v>
      </c>
      <c r="C640">
        <v>76</v>
      </c>
      <c r="D640">
        <v>32</v>
      </c>
      <c r="E640">
        <v>91</v>
      </c>
      <c r="F640">
        <v>41</v>
      </c>
      <c r="G640">
        <v>0.67200000000000004</v>
      </c>
      <c r="H640">
        <v>32</v>
      </c>
      <c r="I640">
        <v>1</v>
      </c>
      <c r="J640">
        <f>IF(AND(Table2[[#This Row],[BMI]]&gt;=23,Table2[[#This Row],[Outcome]]=1),1,0)</f>
        <v>1</v>
      </c>
      <c r="K640">
        <f>IF(AND(Table2[[#This Row],[BMI+Outcome]]=1,Table2[[#This Row],[Glucose]]&gt;=100),1,0)</f>
        <v>0</v>
      </c>
      <c r="L640">
        <f>IF(AND(Table2[[#This Row],[Outcome]]=1,Table2[[#This Row],[Glucose]]&gt;=100),1,0)</f>
        <v>0</v>
      </c>
    </row>
    <row r="641" spans="1:12" x14ac:dyDescent="0.25">
      <c r="A641">
        <v>1</v>
      </c>
      <c r="B641">
        <v>100</v>
      </c>
      <c r="C641">
        <v>74</v>
      </c>
      <c r="D641">
        <v>12</v>
      </c>
      <c r="E641">
        <v>46</v>
      </c>
      <c r="F641">
        <v>20</v>
      </c>
      <c r="G641">
        <v>0.67200000000000004</v>
      </c>
      <c r="H641">
        <v>28</v>
      </c>
      <c r="I641">
        <v>0</v>
      </c>
      <c r="J641">
        <f>IF(AND(Table2[[#This Row],[BMI]]&gt;=23,Table2[[#This Row],[Outcome]]=1),1,0)</f>
        <v>0</v>
      </c>
      <c r="K641">
        <f>IF(AND(Table2[[#This Row],[BMI+Outcome]]=1,Table2[[#This Row],[Glucose]]&gt;=100),1,0)</f>
        <v>0</v>
      </c>
      <c r="L641">
        <f>IF(AND(Table2[[#This Row],[Outcome]]=1,Table2[[#This Row],[Glucose]]&gt;=100),1,0)</f>
        <v>0</v>
      </c>
    </row>
    <row r="642" spans="1:12" x14ac:dyDescent="0.25">
      <c r="A642">
        <v>4</v>
      </c>
      <c r="B642">
        <v>102</v>
      </c>
      <c r="C642">
        <v>86</v>
      </c>
      <c r="D642">
        <v>17</v>
      </c>
      <c r="E642">
        <v>105</v>
      </c>
      <c r="F642">
        <v>29</v>
      </c>
      <c r="G642">
        <v>0.67200000000000004</v>
      </c>
      <c r="H642">
        <v>27</v>
      </c>
      <c r="I642">
        <v>0</v>
      </c>
      <c r="J642">
        <f>IF(AND(Table2[[#This Row],[BMI]]&gt;=23,Table2[[#This Row],[Outcome]]=1),1,0)</f>
        <v>0</v>
      </c>
      <c r="K642">
        <f>IF(AND(Table2[[#This Row],[BMI+Outcome]]=1,Table2[[#This Row],[Glucose]]&gt;=100),1,0)</f>
        <v>0</v>
      </c>
      <c r="L642">
        <f>IF(AND(Table2[[#This Row],[Outcome]]=1,Table2[[#This Row],[Glucose]]&gt;=100),1,0)</f>
        <v>0</v>
      </c>
    </row>
    <row r="643" spans="1:12" x14ac:dyDescent="0.25">
      <c r="A643">
        <v>4</v>
      </c>
      <c r="B643">
        <v>128</v>
      </c>
      <c r="C643">
        <v>70</v>
      </c>
      <c r="D643">
        <v>21</v>
      </c>
      <c r="E643">
        <v>80</v>
      </c>
      <c r="F643">
        <v>34</v>
      </c>
      <c r="G643">
        <v>0.67200000000000004</v>
      </c>
      <c r="H643">
        <v>24</v>
      </c>
      <c r="I643">
        <v>0</v>
      </c>
      <c r="J643">
        <f>IF(AND(Table2[[#This Row],[BMI]]&gt;=23,Table2[[#This Row],[Outcome]]=1),1,0)</f>
        <v>0</v>
      </c>
      <c r="K643">
        <f>IF(AND(Table2[[#This Row],[BMI+Outcome]]=1,Table2[[#This Row],[Glucose]]&gt;=100),1,0)</f>
        <v>0</v>
      </c>
      <c r="L643">
        <f>IF(AND(Table2[[#This Row],[Outcome]]=1,Table2[[#This Row],[Glucose]]&gt;=100),1,0)</f>
        <v>0</v>
      </c>
    </row>
    <row r="644" spans="1:12" x14ac:dyDescent="0.25">
      <c r="A644">
        <v>6</v>
      </c>
      <c r="B644">
        <v>147</v>
      </c>
      <c r="C644">
        <v>80</v>
      </c>
      <c r="D644">
        <v>21</v>
      </c>
      <c r="E644">
        <v>80</v>
      </c>
      <c r="F644">
        <v>30</v>
      </c>
      <c r="G644">
        <v>0.67200000000000004</v>
      </c>
      <c r="H644">
        <v>50</v>
      </c>
      <c r="I644">
        <v>1</v>
      </c>
      <c r="J644">
        <f>IF(AND(Table2[[#This Row],[BMI]]&gt;=23,Table2[[#This Row],[Outcome]]=1),1,0)</f>
        <v>1</v>
      </c>
      <c r="K644">
        <f>IF(AND(Table2[[#This Row],[BMI+Outcome]]=1,Table2[[#This Row],[Glucose]]&gt;=100),1,0)</f>
        <v>1</v>
      </c>
      <c r="L644">
        <f>IF(AND(Table2[[#This Row],[Outcome]]=1,Table2[[#This Row],[Glucose]]&gt;=100),1,0)</f>
        <v>1</v>
      </c>
    </row>
    <row r="645" spans="1:12" x14ac:dyDescent="0.25">
      <c r="A645">
        <v>4</v>
      </c>
      <c r="B645">
        <v>90</v>
      </c>
      <c r="C645">
        <v>69</v>
      </c>
      <c r="D645">
        <v>21</v>
      </c>
      <c r="E645">
        <v>80</v>
      </c>
      <c r="F645">
        <v>28</v>
      </c>
      <c r="G645">
        <v>0.67200000000000004</v>
      </c>
      <c r="H645">
        <v>31</v>
      </c>
      <c r="I645">
        <v>0</v>
      </c>
      <c r="J645">
        <f>IF(AND(Table2[[#This Row],[BMI]]&gt;=23,Table2[[#This Row],[Outcome]]=1),1,0)</f>
        <v>0</v>
      </c>
      <c r="K645">
        <f>IF(AND(Table2[[#This Row],[BMI+Outcome]]=1,Table2[[#This Row],[Glucose]]&gt;=100),1,0)</f>
        <v>0</v>
      </c>
      <c r="L645">
        <f>IF(AND(Table2[[#This Row],[Outcome]]=1,Table2[[#This Row],[Glucose]]&gt;=100),1,0)</f>
        <v>0</v>
      </c>
    </row>
    <row r="646" spans="1:12" x14ac:dyDescent="0.25">
      <c r="A646">
        <v>3</v>
      </c>
      <c r="B646">
        <v>103</v>
      </c>
      <c r="C646">
        <v>72</v>
      </c>
      <c r="D646">
        <v>30</v>
      </c>
      <c r="E646">
        <v>152</v>
      </c>
      <c r="F646">
        <v>28</v>
      </c>
      <c r="G646">
        <v>0.67200000000000004</v>
      </c>
      <c r="H646">
        <v>27</v>
      </c>
      <c r="I646">
        <v>0</v>
      </c>
      <c r="J646">
        <f>IF(AND(Table2[[#This Row],[BMI]]&gt;=23,Table2[[#This Row],[Outcome]]=1),1,0)</f>
        <v>0</v>
      </c>
      <c r="K646">
        <f>IF(AND(Table2[[#This Row],[BMI+Outcome]]=1,Table2[[#This Row],[Glucose]]&gt;=100),1,0)</f>
        <v>0</v>
      </c>
      <c r="L646">
        <f>IF(AND(Table2[[#This Row],[Outcome]]=1,Table2[[#This Row],[Glucose]]&gt;=100),1,0)</f>
        <v>0</v>
      </c>
    </row>
    <row r="647" spans="1:12" x14ac:dyDescent="0.25">
      <c r="A647">
        <v>2</v>
      </c>
      <c r="B647">
        <v>157</v>
      </c>
      <c r="C647">
        <v>74</v>
      </c>
      <c r="D647">
        <v>35</v>
      </c>
      <c r="E647">
        <v>440</v>
      </c>
      <c r="F647">
        <v>39</v>
      </c>
      <c r="G647">
        <v>0.67200000000000004</v>
      </c>
      <c r="H647">
        <v>30</v>
      </c>
      <c r="I647">
        <v>0</v>
      </c>
      <c r="J647">
        <f>IF(AND(Table2[[#This Row],[BMI]]&gt;=23,Table2[[#This Row],[Outcome]]=1),1,0)</f>
        <v>0</v>
      </c>
      <c r="K647">
        <f>IF(AND(Table2[[#This Row],[BMI+Outcome]]=1,Table2[[#This Row],[Glucose]]&gt;=100),1,0)</f>
        <v>0</v>
      </c>
      <c r="L647">
        <f>IF(AND(Table2[[#This Row],[Outcome]]=1,Table2[[#This Row],[Glucose]]&gt;=100),1,0)</f>
        <v>0</v>
      </c>
    </row>
    <row r="648" spans="1:12" x14ac:dyDescent="0.25">
      <c r="A648">
        <v>1</v>
      </c>
      <c r="B648">
        <v>167</v>
      </c>
      <c r="C648">
        <v>74</v>
      </c>
      <c r="D648">
        <v>17</v>
      </c>
      <c r="E648">
        <v>144</v>
      </c>
      <c r="F648">
        <v>23</v>
      </c>
      <c r="G648">
        <v>0.67200000000000004</v>
      </c>
      <c r="H648">
        <v>33</v>
      </c>
      <c r="I648">
        <v>1</v>
      </c>
      <c r="J648">
        <f>IF(AND(Table2[[#This Row],[BMI]]&gt;=23,Table2[[#This Row],[Outcome]]=1),1,0)</f>
        <v>1</v>
      </c>
      <c r="K648">
        <f>IF(AND(Table2[[#This Row],[BMI+Outcome]]=1,Table2[[#This Row],[Glucose]]&gt;=100),1,0)</f>
        <v>1</v>
      </c>
      <c r="L648">
        <f>IF(AND(Table2[[#This Row],[Outcome]]=1,Table2[[#This Row],[Glucose]]&gt;=100),1,0)</f>
        <v>1</v>
      </c>
    </row>
    <row r="649" spans="1:12" x14ac:dyDescent="0.25">
      <c r="A649">
        <v>4</v>
      </c>
      <c r="B649">
        <v>179</v>
      </c>
      <c r="C649">
        <v>50</v>
      </c>
      <c r="D649">
        <v>36</v>
      </c>
      <c r="E649">
        <v>159</v>
      </c>
      <c r="F649">
        <v>38</v>
      </c>
      <c r="G649">
        <v>0.67200000000000004</v>
      </c>
      <c r="H649">
        <v>22</v>
      </c>
      <c r="I649">
        <v>1</v>
      </c>
      <c r="J649">
        <f>IF(AND(Table2[[#This Row],[BMI]]&gt;=23,Table2[[#This Row],[Outcome]]=1),1,0)</f>
        <v>1</v>
      </c>
      <c r="K649">
        <f>IF(AND(Table2[[#This Row],[BMI+Outcome]]=1,Table2[[#This Row],[Glucose]]&gt;=100),1,0)</f>
        <v>1</v>
      </c>
      <c r="L649">
        <f>IF(AND(Table2[[#This Row],[Outcome]]=1,Table2[[#This Row],[Glucose]]&gt;=100),1,0)</f>
        <v>1</v>
      </c>
    </row>
    <row r="650" spans="1:12" x14ac:dyDescent="0.25">
      <c r="A650">
        <v>11</v>
      </c>
      <c r="B650">
        <v>136</v>
      </c>
      <c r="C650">
        <v>84</v>
      </c>
      <c r="D650">
        <v>35</v>
      </c>
      <c r="E650">
        <v>130</v>
      </c>
      <c r="F650">
        <v>28</v>
      </c>
      <c r="G650">
        <v>0.67200000000000004</v>
      </c>
      <c r="H650">
        <v>42</v>
      </c>
      <c r="I650">
        <v>1</v>
      </c>
      <c r="J650">
        <f>IF(AND(Table2[[#This Row],[BMI]]&gt;=23,Table2[[#This Row],[Outcome]]=1),1,0)</f>
        <v>1</v>
      </c>
      <c r="K650">
        <f>IF(AND(Table2[[#This Row],[BMI+Outcome]]=1,Table2[[#This Row],[Glucose]]&gt;=100),1,0)</f>
        <v>1</v>
      </c>
      <c r="L650">
        <f>IF(AND(Table2[[#This Row],[Outcome]]=1,Table2[[#This Row],[Glucose]]&gt;=100),1,0)</f>
        <v>1</v>
      </c>
    </row>
    <row r="651" spans="1:12" x14ac:dyDescent="0.25">
      <c r="A651">
        <v>4</v>
      </c>
      <c r="B651">
        <v>107</v>
      </c>
      <c r="C651">
        <v>60</v>
      </c>
      <c r="D651">
        <v>25</v>
      </c>
      <c r="E651">
        <v>80</v>
      </c>
      <c r="F651">
        <v>26</v>
      </c>
      <c r="G651">
        <v>0.67200000000000004</v>
      </c>
      <c r="H651">
        <v>23</v>
      </c>
      <c r="I651">
        <v>0</v>
      </c>
      <c r="J651">
        <f>IF(AND(Table2[[#This Row],[BMI]]&gt;=23,Table2[[#This Row],[Outcome]]=1),1,0)</f>
        <v>0</v>
      </c>
      <c r="K651">
        <f>IF(AND(Table2[[#This Row],[BMI+Outcome]]=1,Table2[[#This Row],[Glucose]]&gt;=100),1,0)</f>
        <v>0</v>
      </c>
      <c r="L651">
        <f>IF(AND(Table2[[#This Row],[Outcome]]=1,Table2[[#This Row],[Glucose]]&gt;=100),1,0)</f>
        <v>0</v>
      </c>
    </row>
    <row r="652" spans="1:12" x14ac:dyDescent="0.25">
      <c r="A652">
        <v>1</v>
      </c>
      <c r="B652">
        <v>91</v>
      </c>
      <c r="C652">
        <v>54</v>
      </c>
      <c r="D652">
        <v>25</v>
      </c>
      <c r="E652">
        <v>100</v>
      </c>
      <c r="F652">
        <v>25</v>
      </c>
      <c r="G652">
        <v>0.67200000000000004</v>
      </c>
      <c r="H652">
        <v>23</v>
      </c>
      <c r="I652">
        <v>0</v>
      </c>
      <c r="J652">
        <f>IF(AND(Table2[[#This Row],[BMI]]&gt;=23,Table2[[#This Row],[Outcome]]=1),1,0)</f>
        <v>0</v>
      </c>
      <c r="K652">
        <f>IF(AND(Table2[[#This Row],[BMI+Outcome]]=1,Table2[[#This Row],[Glucose]]&gt;=100),1,0)</f>
        <v>0</v>
      </c>
      <c r="L652">
        <f>IF(AND(Table2[[#This Row],[Outcome]]=1,Table2[[#This Row],[Glucose]]&gt;=100),1,0)</f>
        <v>0</v>
      </c>
    </row>
    <row r="653" spans="1:12" x14ac:dyDescent="0.25">
      <c r="A653">
        <v>1</v>
      </c>
      <c r="B653">
        <v>117</v>
      </c>
      <c r="C653">
        <v>60</v>
      </c>
      <c r="D653">
        <v>23</v>
      </c>
      <c r="E653">
        <v>106</v>
      </c>
      <c r="F653">
        <v>34</v>
      </c>
      <c r="G653">
        <v>0.67200000000000004</v>
      </c>
      <c r="H653">
        <v>27</v>
      </c>
      <c r="I653">
        <v>0</v>
      </c>
      <c r="J653">
        <f>IF(AND(Table2[[#This Row],[BMI]]&gt;=23,Table2[[#This Row],[Outcome]]=1),1,0)</f>
        <v>0</v>
      </c>
      <c r="K653">
        <f>IF(AND(Table2[[#This Row],[BMI+Outcome]]=1,Table2[[#This Row],[Glucose]]&gt;=100),1,0)</f>
        <v>0</v>
      </c>
      <c r="L653">
        <f>IF(AND(Table2[[#This Row],[Outcome]]=1,Table2[[#This Row],[Glucose]]&gt;=100),1,0)</f>
        <v>0</v>
      </c>
    </row>
    <row r="654" spans="1:12" x14ac:dyDescent="0.25">
      <c r="A654">
        <v>5</v>
      </c>
      <c r="B654">
        <v>123</v>
      </c>
      <c r="C654">
        <v>74</v>
      </c>
      <c r="D654">
        <v>40</v>
      </c>
      <c r="E654">
        <v>77</v>
      </c>
      <c r="F654">
        <v>34</v>
      </c>
      <c r="G654">
        <v>0.67200000000000004</v>
      </c>
      <c r="H654">
        <v>28</v>
      </c>
      <c r="I654">
        <v>0</v>
      </c>
      <c r="J654">
        <f>IF(AND(Table2[[#This Row],[BMI]]&gt;=23,Table2[[#This Row],[Outcome]]=1),1,0)</f>
        <v>0</v>
      </c>
      <c r="K654">
        <f>IF(AND(Table2[[#This Row],[BMI+Outcome]]=1,Table2[[#This Row],[Glucose]]&gt;=100),1,0)</f>
        <v>0</v>
      </c>
      <c r="L654">
        <f>IF(AND(Table2[[#This Row],[Outcome]]=1,Table2[[#This Row],[Glucose]]&gt;=100),1,0)</f>
        <v>0</v>
      </c>
    </row>
    <row r="655" spans="1:12" x14ac:dyDescent="0.25">
      <c r="A655">
        <v>2</v>
      </c>
      <c r="B655">
        <v>120</v>
      </c>
      <c r="C655">
        <v>54</v>
      </c>
      <c r="D655">
        <v>21</v>
      </c>
      <c r="E655">
        <v>80</v>
      </c>
      <c r="F655">
        <v>27</v>
      </c>
      <c r="G655">
        <v>0.67200000000000004</v>
      </c>
      <c r="H655">
        <v>27</v>
      </c>
      <c r="I655">
        <v>0</v>
      </c>
      <c r="J655">
        <f>IF(AND(Table2[[#This Row],[BMI]]&gt;=23,Table2[[#This Row],[Outcome]]=1),1,0)</f>
        <v>0</v>
      </c>
      <c r="K655">
        <f>IF(AND(Table2[[#This Row],[BMI+Outcome]]=1,Table2[[#This Row],[Glucose]]&gt;=100),1,0)</f>
        <v>0</v>
      </c>
      <c r="L655">
        <f>IF(AND(Table2[[#This Row],[Outcome]]=1,Table2[[#This Row],[Glucose]]&gt;=100),1,0)</f>
        <v>0</v>
      </c>
    </row>
    <row r="656" spans="1:12" x14ac:dyDescent="0.25">
      <c r="A656">
        <v>1</v>
      </c>
      <c r="B656">
        <v>106</v>
      </c>
      <c r="C656">
        <v>70</v>
      </c>
      <c r="D656">
        <v>28</v>
      </c>
      <c r="E656">
        <v>135</v>
      </c>
      <c r="F656">
        <v>34</v>
      </c>
      <c r="G656">
        <v>0.67200000000000004</v>
      </c>
      <c r="H656">
        <v>22</v>
      </c>
      <c r="I656">
        <v>0</v>
      </c>
      <c r="J656">
        <f>IF(AND(Table2[[#This Row],[BMI]]&gt;=23,Table2[[#This Row],[Outcome]]=1),1,0)</f>
        <v>0</v>
      </c>
      <c r="K656">
        <f>IF(AND(Table2[[#This Row],[BMI+Outcome]]=1,Table2[[#This Row],[Glucose]]&gt;=100),1,0)</f>
        <v>0</v>
      </c>
      <c r="L656">
        <f>IF(AND(Table2[[#This Row],[Outcome]]=1,Table2[[#This Row],[Glucose]]&gt;=100),1,0)</f>
        <v>0</v>
      </c>
    </row>
    <row r="657" spans="1:12" x14ac:dyDescent="0.25">
      <c r="A657">
        <v>2</v>
      </c>
      <c r="B657">
        <v>155</v>
      </c>
      <c r="C657">
        <v>52</v>
      </c>
      <c r="D657">
        <v>27</v>
      </c>
      <c r="E657">
        <v>540</v>
      </c>
      <c r="F657">
        <v>39</v>
      </c>
      <c r="G657">
        <v>0.67200000000000004</v>
      </c>
      <c r="H657">
        <v>25</v>
      </c>
      <c r="I657">
        <v>1</v>
      </c>
      <c r="J657">
        <f>IF(AND(Table2[[#This Row],[BMI]]&gt;=23,Table2[[#This Row],[Outcome]]=1),1,0)</f>
        <v>1</v>
      </c>
      <c r="K657">
        <f>IF(AND(Table2[[#This Row],[BMI+Outcome]]=1,Table2[[#This Row],[Glucose]]&gt;=100),1,0)</f>
        <v>1</v>
      </c>
      <c r="L657">
        <f>IF(AND(Table2[[#This Row],[Outcome]]=1,Table2[[#This Row],[Glucose]]&gt;=100),1,0)</f>
        <v>1</v>
      </c>
    </row>
    <row r="658" spans="1:12" x14ac:dyDescent="0.25">
      <c r="A658">
        <v>2</v>
      </c>
      <c r="B658">
        <v>101</v>
      </c>
      <c r="C658">
        <v>58</v>
      </c>
      <c r="D658">
        <v>35</v>
      </c>
      <c r="E658">
        <v>90</v>
      </c>
      <c r="F658">
        <v>22</v>
      </c>
      <c r="G658">
        <v>0.67200000000000004</v>
      </c>
      <c r="H658">
        <v>22</v>
      </c>
      <c r="I658">
        <v>0</v>
      </c>
      <c r="J658">
        <f>IF(AND(Table2[[#This Row],[BMI]]&gt;=23,Table2[[#This Row],[Outcome]]=1),1,0)</f>
        <v>0</v>
      </c>
      <c r="K658">
        <f>IF(AND(Table2[[#This Row],[BMI+Outcome]]=1,Table2[[#This Row],[Glucose]]&gt;=100),1,0)</f>
        <v>0</v>
      </c>
      <c r="L658">
        <f>IF(AND(Table2[[#This Row],[Outcome]]=1,Table2[[#This Row],[Glucose]]&gt;=100),1,0)</f>
        <v>0</v>
      </c>
    </row>
    <row r="659" spans="1:12" x14ac:dyDescent="0.25">
      <c r="A659">
        <v>1</v>
      </c>
      <c r="B659">
        <v>120</v>
      </c>
      <c r="C659">
        <v>80</v>
      </c>
      <c r="D659">
        <v>48</v>
      </c>
      <c r="E659">
        <v>200</v>
      </c>
      <c r="F659">
        <v>39</v>
      </c>
      <c r="G659">
        <v>0.67200000000000004</v>
      </c>
      <c r="H659">
        <v>41</v>
      </c>
      <c r="I659">
        <v>0</v>
      </c>
      <c r="J659">
        <f>IF(AND(Table2[[#This Row],[BMI]]&gt;=23,Table2[[#This Row],[Outcome]]=1),1,0)</f>
        <v>0</v>
      </c>
      <c r="K659">
        <f>IF(AND(Table2[[#This Row],[BMI+Outcome]]=1,Table2[[#This Row],[Glucose]]&gt;=100),1,0)</f>
        <v>0</v>
      </c>
      <c r="L659">
        <f>IF(AND(Table2[[#This Row],[Outcome]]=1,Table2[[#This Row],[Glucose]]&gt;=100),1,0)</f>
        <v>0</v>
      </c>
    </row>
    <row r="660" spans="1:12" x14ac:dyDescent="0.25">
      <c r="A660">
        <v>11</v>
      </c>
      <c r="B660">
        <v>127</v>
      </c>
      <c r="C660">
        <v>106</v>
      </c>
      <c r="D660">
        <v>21</v>
      </c>
      <c r="E660">
        <v>80</v>
      </c>
      <c r="F660">
        <v>39</v>
      </c>
      <c r="G660">
        <v>0.67200000000000004</v>
      </c>
      <c r="H660">
        <v>51</v>
      </c>
      <c r="I660">
        <v>0</v>
      </c>
      <c r="J660">
        <f>IF(AND(Table2[[#This Row],[BMI]]&gt;=23,Table2[[#This Row],[Outcome]]=1),1,0)</f>
        <v>0</v>
      </c>
      <c r="K660">
        <f>IF(AND(Table2[[#This Row],[BMI+Outcome]]=1,Table2[[#This Row],[Glucose]]&gt;=100),1,0)</f>
        <v>0</v>
      </c>
      <c r="L660">
        <f>IF(AND(Table2[[#This Row],[Outcome]]=1,Table2[[#This Row],[Glucose]]&gt;=100),1,0)</f>
        <v>0</v>
      </c>
    </row>
    <row r="661" spans="1:12" x14ac:dyDescent="0.25">
      <c r="A661">
        <v>3</v>
      </c>
      <c r="B661">
        <v>80</v>
      </c>
      <c r="C661">
        <v>82</v>
      </c>
      <c r="D661">
        <v>31</v>
      </c>
      <c r="E661">
        <v>70</v>
      </c>
      <c r="F661">
        <v>34</v>
      </c>
      <c r="G661">
        <v>0.67200000000000004</v>
      </c>
      <c r="H661">
        <v>27</v>
      </c>
      <c r="I661">
        <v>1</v>
      </c>
      <c r="J661">
        <f>IF(AND(Table2[[#This Row],[BMI]]&gt;=23,Table2[[#This Row],[Outcome]]=1),1,0)</f>
        <v>1</v>
      </c>
      <c r="K661">
        <f>IF(AND(Table2[[#This Row],[BMI+Outcome]]=1,Table2[[#This Row],[Glucose]]&gt;=100),1,0)</f>
        <v>0</v>
      </c>
      <c r="L661">
        <f>IF(AND(Table2[[#This Row],[Outcome]]=1,Table2[[#This Row],[Glucose]]&gt;=100),1,0)</f>
        <v>0</v>
      </c>
    </row>
    <row r="662" spans="1:12" x14ac:dyDescent="0.25">
      <c r="A662">
        <v>10</v>
      </c>
      <c r="B662">
        <v>162</v>
      </c>
      <c r="C662">
        <v>84</v>
      </c>
      <c r="D662">
        <v>21</v>
      </c>
      <c r="E662">
        <v>80</v>
      </c>
      <c r="F662">
        <v>28</v>
      </c>
      <c r="G662">
        <v>0.67200000000000004</v>
      </c>
      <c r="H662">
        <v>54</v>
      </c>
      <c r="I662">
        <v>0</v>
      </c>
      <c r="J662">
        <f>IF(AND(Table2[[#This Row],[BMI]]&gt;=23,Table2[[#This Row],[Outcome]]=1),1,0)</f>
        <v>0</v>
      </c>
      <c r="K662">
        <f>IF(AND(Table2[[#This Row],[BMI+Outcome]]=1,Table2[[#This Row],[Glucose]]&gt;=100),1,0)</f>
        <v>0</v>
      </c>
      <c r="L662">
        <f>IF(AND(Table2[[#This Row],[Outcome]]=1,Table2[[#This Row],[Glucose]]&gt;=100),1,0)</f>
        <v>0</v>
      </c>
    </row>
    <row r="663" spans="1:12" x14ac:dyDescent="0.25">
      <c r="A663">
        <v>1</v>
      </c>
      <c r="B663">
        <v>199</v>
      </c>
      <c r="C663">
        <v>76</v>
      </c>
      <c r="D663">
        <v>43</v>
      </c>
      <c r="E663">
        <v>80</v>
      </c>
      <c r="F663">
        <v>43</v>
      </c>
      <c r="G663">
        <v>0.67200000000000004</v>
      </c>
      <c r="H663">
        <v>22</v>
      </c>
      <c r="I663">
        <v>1</v>
      </c>
      <c r="J663">
        <f>IF(AND(Table2[[#This Row],[BMI]]&gt;=23,Table2[[#This Row],[Outcome]]=1),1,0)</f>
        <v>1</v>
      </c>
      <c r="K663">
        <f>IF(AND(Table2[[#This Row],[BMI+Outcome]]=1,Table2[[#This Row],[Glucose]]&gt;=100),1,0)</f>
        <v>1</v>
      </c>
      <c r="L663">
        <f>IF(AND(Table2[[#This Row],[Outcome]]=1,Table2[[#This Row],[Glucose]]&gt;=100),1,0)</f>
        <v>1</v>
      </c>
    </row>
    <row r="664" spans="1:12" x14ac:dyDescent="0.25">
      <c r="A664">
        <v>8</v>
      </c>
      <c r="B664">
        <v>167</v>
      </c>
      <c r="C664">
        <v>106</v>
      </c>
      <c r="D664">
        <v>46</v>
      </c>
      <c r="E664">
        <v>231</v>
      </c>
      <c r="F664">
        <v>38</v>
      </c>
      <c r="G664">
        <v>0.67200000000000004</v>
      </c>
      <c r="H664">
        <v>43</v>
      </c>
      <c r="I664">
        <v>1</v>
      </c>
      <c r="J664">
        <f>IF(AND(Table2[[#This Row],[BMI]]&gt;=23,Table2[[#This Row],[Outcome]]=1),1,0)</f>
        <v>1</v>
      </c>
      <c r="K664">
        <f>IF(AND(Table2[[#This Row],[BMI+Outcome]]=1,Table2[[#This Row],[Glucose]]&gt;=100),1,0)</f>
        <v>1</v>
      </c>
      <c r="L664">
        <f>IF(AND(Table2[[#This Row],[Outcome]]=1,Table2[[#This Row],[Glucose]]&gt;=100),1,0)</f>
        <v>1</v>
      </c>
    </row>
    <row r="665" spans="1:12" x14ac:dyDescent="0.25">
      <c r="A665">
        <v>9</v>
      </c>
      <c r="B665">
        <v>145</v>
      </c>
      <c r="C665">
        <v>80</v>
      </c>
      <c r="D665">
        <v>46</v>
      </c>
      <c r="E665">
        <v>130</v>
      </c>
      <c r="F665">
        <v>38</v>
      </c>
      <c r="G665">
        <v>0.67200000000000004</v>
      </c>
      <c r="H665">
        <v>40</v>
      </c>
      <c r="I665">
        <v>1</v>
      </c>
      <c r="J665">
        <f>IF(AND(Table2[[#This Row],[BMI]]&gt;=23,Table2[[#This Row],[Outcome]]=1),1,0)</f>
        <v>1</v>
      </c>
      <c r="K665">
        <f>IF(AND(Table2[[#This Row],[BMI+Outcome]]=1,Table2[[#This Row],[Glucose]]&gt;=100),1,0)</f>
        <v>1</v>
      </c>
      <c r="L665">
        <f>IF(AND(Table2[[#This Row],[Outcome]]=1,Table2[[#This Row],[Glucose]]&gt;=100),1,0)</f>
        <v>1</v>
      </c>
    </row>
    <row r="666" spans="1:12" x14ac:dyDescent="0.25">
      <c r="A666">
        <v>6</v>
      </c>
      <c r="B666">
        <v>115</v>
      </c>
      <c r="C666">
        <v>60</v>
      </c>
      <c r="D666">
        <v>39</v>
      </c>
      <c r="E666">
        <v>80</v>
      </c>
      <c r="F666">
        <v>34</v>
      </c>
      <c r="G666">
        <v>0.67200000000000004</v>
      </c>
      <c r="H666">
        <v>40</v>
      </c>
      <c r="I666">
        <v>1</v>
      </c>
      <c r="J666">
        <f>IF(AND(Table2[[#This Row],[BMI]]&gt;=23,Table2[[#This Row],[Outcome]]=1),1,0)</f>
        <v>1</v>
      </c>
      <c r="K666">
        <f>IF(AND(Table2[[#This Row],[BMI+Outcome]]=1,Table2[[#This Row],[Glucose]]&gt;=100),1,0)</f>
        <v>1</v>
      </c>
      <c r="L666">
        <f>IF(AND(Table2[[#This Row],[Outcome]]=1,Table2[[#This Row],[Glucose]]&gt;=100),1,0)</f>
        <v>1</v>
      </c>
    </row>
    <row r="667" spans="1:12" x14ac:dyDescent="0.25">
      <c r="A667">
        <v>1</v>
      </c>
      <c r="B667">
        <v>112</v>
      </c>
      <c r="C667">
        <v>80</v>
      </c>
      <c r="D667">
        <v>45</v>
      </c>
      <c r="E667">
        <v>132</v>
      </c>
      <c r="F667">
        <v>35</v>
      </c>
      <c r="G667">
        <v>0.67200000000000004</v>
      </c>
      <c r="H667">
        <v>24</v>
      </c>
      <c r="I667">
        <v>0</v>
      </c>
      <c r="J667">
        <f>IF(AND(Table2[[#This Row],[BMI]]&gt;=23,Table2[[#This Row],[Outcome]]=1),1,0)</f>
        <v>0</v>
      </c>
      <c r="K667">
        <f>IF(AND(Table2[[#This Row],[BMI+Outcome]]=1,Table2[[#This Row],[Glucose]]&gt;=100),1,0)</f>
        <v>0</v>
      </c>
      <c r="L667">
        <f>IF(AND(Table2[[#This Row],[Outcome]]=1,Table2[[#This Row],[Glucose]]&gt;=100),1,0)</f>
        <v>0</v>
      </c>
    </row>
    <row r="668" spans="1:12" x14ac:dyDescent="0.25">
      <c r="A668">
        <v>4</v>
      </c>
      <c r="B668">
        <v>145</v>
      </c>
      <c r="C668">
        <v>82</v>
      </c>
      <c r="D668">
        <v>18</v>
      </c>
      <c r="E668">
        <v>80</v>
      </c>
      <c r="F668">
        <v>32</v>
      </c>
      <c r="G668">
        <v>0.67200000000000004</v>
      </c>
      <c r="H668">
        <v>70</v>
      </c>
      <c r="I668">
        <v>1</v>
      </c>
      <c r="J668">
        <f>IF(AND(Table2[[#This Row],[BMI]]&gt;=23,Table2[[#This Row],[Outcome]]=1),1,0)</f>
        <v>1</v>
      </c>
      <c r="K668">
        <f>IF(AND(Table2[[#This Row],[BMI+Outcome]]=1,Table2[[#This Row],[Glucose]]&gt;=100),1,0)</f>
        <v>1</v>
      </c>
      <c r="L668">
        <f>IF(AND(Table2[[#This Row],[Outcome]]=1,Table2[[#This Row],[Glucose]]&gt;=100),1,0)</f>
        <v>1</v>
      </c>
    </row>
    <row r="669" spans="1:12" x14ac:dyDescent="0.25">
      <c r="A669">
        <v>10</v>
      </c>
      <c r="B669">
        <v>111</v>
      </c>
      <c r="C669">
        <v>70</v>
      </c>
      <c r="D669">
        <v>27</v>
      </c>
      <c r="E669">
        <v>80</v>
      </c>
      <c r="F669">
        <v>28</v>
      </c>
      <c r="G669">
        <v>0.67200000000000004</v>
      </c>
      <c r="H669">
        <v>40</v>
      </c>
      <c r="I669">
        <v>1</v>
      </c>
      <c r="J669">
        <f>IF(AND(Table2[[#This Row],[BMI]]&gt;=23,Table2[[#This Row],[Outcome]]=1),1,0)</f>
        <v>1</v>
      </c>
      <c r="K669">
        <f>IF(AND(Table2[[#This Row],[BMI+Outcome]]=1,Table2[[#This Row],[Glucose]]&gt;=100),1,0)</f>
        <v>1</v>
      </c>
      <c r="L669">
        <f>IF(AND(Table2[[#This Row],[Outcome]]=1,Table2[[#This Row],[Glucose]]&gt;=100),1,0)</f>
        <v>1</v>
      </c>
    </row>
    <row r="670" spans="1:12" x14ac:dyDescent="0.25">
      <c r="A670">
        <v>6</v>
      </c>
      <c r="B670">
        <v>98</v>
      </c>
      <c r="C670">
        <v>58</v>
      </c>
      <c r="D670">
        <v>33</v>
      </c>
      <c r="E670">
        <v>190</v>
      </c>
      <c r="F670">
        <v>34</v>
      </c>
      <c r="G670">
        <v>0.67200000000000004</v>
      </c>
      <c r="H670">
        <v>43</v>
      </c>
      <c r="I670">
        <v>0</v>
      </c>
      <c r="J670">
        <f>IF(AND(Table2[[#This Row],[BMI]]&gt;=23,Table2[[#This Row],[Outcome]]=1),1,0)</f>
        <v>0</v>
      </c>
      <c r="K670">
        <f>IF(AND(Table2[[#This Row],[BMI+Outcome]]=1,Table2[[#This Row],[Glucose]]&gt;=100),1,0)</f>
        <v>0</v>
      </c>
      <c r="L670">
        <f>IF(AND(Table2[[#This Row],[Outcome]]=1,Table2[[#This Row],[Glucose]]&gt;=100),1,0)</f>
        <v>0</v>
      </c>
    </row>
    <row r="671" spans="1:12" x14ac:dyDescent="0.25">
      <c r="A671">
        <v>9</v>
      </c>
      <c r="B671">
        <v>154</v>
      </c>
      <c r="C671">
        <v>78</v>
      </c>
      <c r="D671">
        <v>30</v>
      </c>
      <c r="E671">
        <v>100</v>
      </c>
      <c r="F671">
        <v>31</v>
      </c>
      <c r="G671">
        <v>0.67200000000000004</v>
      </c>
      <c r="H671">
        <v>45</v>
      </c>
      <c r="I671">
        <v>0</v>
      </c>
      <c r="J671">
        <f>IF(AND(Table2[[#This Row],[BMI]]&gt;=23,Table2[[#This Row],[Outcome]]=1),1,0)</f>
        <v>0</v>
      </c>
      <c r="K671">
        <f>IF(AND(Table2[[#This Row],[BMI+Outcome]]=1,Table2[[#This Row],[Glucose]]&gt;=100),1,0)</f>
        <v>0</v>
      </c>
      <c r="L671">
        <f>IF(AND(Table2[[#This Row],[Outcome]]=1,Table2[[#This Row],[Glucose]]&gt;=100),1,0)</f>
        <v>0</v>
      </c>
    </row>
    <row r="672" spans="1:12" x14ac:dyDescent="0.25">
      <c r="A672">
        <v>6</v>
      </c>
      <c r="B672">
        <v>165</v>
      </c>
      <c r="C672">
        <v>68</v>
      </c>
      <c r="D672">
        <v>26</v>
      </c>
      <c r="E672">
        <v>168</v>
      </c>
      <c r="F672">
        <v>34</v>
      </c>
      <c r="G672">
        <v>0.67200000000000004</v>
      </c>
      <c r="H672">
        <v>49</v>
      </c>
      <c r="I672">
        <v>0</v>
      </c>
      <c r="J672">
        <f>IF(AND(Table2[[#This Row],[BMI]]&gt;=23,Table2[[#This Row],[Outcome]]=1),1,0)</f>
        <v>0</v>
      </c>
      <c r="K672">
        <f>IF(AND(Table2[[#This Row],[BMI+Outcome]]=1,Table2[[#This Row],[Glucose]]&gt;=100),1,0)</f>
        <v>0</v>
      </c>
      <c r="L672">
        <f>IF(AND(Table2[[#This Row],[Outcome]]=1,Table2[[#This Row],[Glucose]]&gt;=100),1,0)</f>
        <v>0</v>
      </c>
    </row>
    <row r="673" spans="1:12" x14ac:dyDescent="0.25">
      <c r="A673">
        <v>1</v>
      </c>
      <c r="B673">
        <v>99</v>
      </c>
      <c r="C673">
        <v>58</v>
      </c>
      <c r="D673">
        <v>10</v>
      </c>
      <c r="E673">
        <v>80</v>
      </c>
      <c r="F673">
        <v>25</v>
      </c>
      <c r="G673">
        <v>0.67200000000000004</v>
      </c>
      <c r="H673">
        <v>21</v>
      </c>
      <c r="I673">
        <v>0</v>
      </c>
      <c r="J673">
        <f>IF(AND(Table2[[#This Row],[BMI]]&gt;=23,Table2[[#This Row],[Outcome]]=1),1,0)</f>
        <v>0</v>
      </c>
      <c r="K673">
        <f>IF(AND(Table2[[#This Row],[BMI+Outcome]]=1,Table2[[#This Row],[Glucose]]&gt;=100),1,0)</f>
        <v>0</v>
      </c>
      <c r="L673">
        <f>IF(AND(Table2[[#This Row],[Outcome]]=1,Table2[[#This Row],[Glucose]]&gt;=100),1,0)</f>
        <v>0</v>
      </c>
    </row>
    <row r="674" spans="1:12" x14ac:dyDescent="0.25">
      <c r="A674">
        <v>10</v>
      </c>
      <c r="B674">
        <v>68</v>
      </c>
      <c r="C674">
        <v>106</v>
      </c>
      <c r="D674">
        <v>23</v>
      </c>
      <c r="E674">
        <v>49</v>
      </c>
      <c r="F674">
        <v>36</v>
      </c>
      <c r="G674">
        <v>0.67200000000000004</v>
      </c>
      <c r="H674">
        <v>47</v>
      </c>
      <c r="I674">
        <v>0</v>
      </c>
      <c r="J674">
        <f>IF(AND(Table2[[#This Row],[BMI]]&gt;=23,Table2[[#This Row],[Outcome]]=1),1,0)</f>
        <v>0</v>
      </c>
      <c r="K674">
        <f>IF(AND(Table2[[#This Row],[BMI+Outcome]]=1,Table2[[#This Row],[Glucose]]&gt;=100),1,0)</f>
        <v>0</v>
      </c>
      <c r="L674">
        <f>IF(AND(Table2[[#This Row],[Outcome]]=1,Table2[[#This Row],[Glucose]]&gt;=100),1,0)</f>
        <v>0</v>
      </c>
    </row>
    <row r="675" spans="1:12" x14ac:dyDescent="0.25">
      <c r="A675">
        <v>3</v>
      </c>
      <c r="B675">
        <v>123</v>
      </c>
      <c r="C675">
        <v>100</v>
      </c>
      <c r="D675">
        <v>35</v>
      </c>
      <c r="E675">
        <v>240</v>
      </c>
      <c r="F675">
        <v>57</v>
      </c>
      <c r="G675">
        <v>0.67200000000000004</v>
      </c>
      <c r="H675">
        <v>22</v>
      </c>
      <c r="I675">
        <v>0</v>
      </c>
      <c r="J675">
        <f>IF(AND(Table2[[#This Row],[BMI]]&gt;=23,Table2[[#This Row],[Outcome]]=1),1,0)</f>
        <v>0</v>
      </c>
      <c r="K675">
        <f>IF(AND(Table2[[#This Row],[BMI+Outcome]]=1,Table2[[#This Row],[Glucose]]&gt;=100),1,0)</f>
        <v>0</v>
      </c>
      <c r="L675">
        <f>IF(AND(Table2[[#This Row],[Outcome]]=1,Table2[[#This Row],[Glucose]]&gt;=100),1,0)</f>
        <v>0</v>
      </c>
    </row>
    <row r="676" spans="1:12" x14ac:dyDescent="0.25">
      <c r="A676">
        <v>8</v>
      </c>
      <c r="B676">
        <v>91</v>
      </c>
      <c r="C676">
        <v>82</v>
      </c>
      <c r="D676">
        <v>21</v>
      </c>
      <c r="E676">
        <v>80</v>
      </c>
      <c r="F676">
        <v>36</v>
      </c>
      <c r="G676">
        <v>0.67200000000000004</v>
      </c>
      <c r="H676">
        <v>68</v>
      </c>
      <c r="I676">
        <v>0</v>
      </c>
      <c r="J676">
        <f>IF(AND(Table2[[#This Row],[BMI]]&gt;=23,Table2[[#This Row],[Outcome]]=1),1,0)</f>
        <v>0</v>
      </c>
      <c r="K676">
        <f>IF(AND(Table2[[#This Row],[BMI+Outcome]]=1,Table2[[#This Row],[Glucose]]&gt;=100),1,0)</f>
        <v>0</v>
      </c>
      <c r="L676">
        <f>IF(AND(Table2[[#This Row],[Outcome]]=1,Table2[[#This Row],[Glucose]]&gt;=100),1,0)</f>
        <v>0</v>
      </c>
    </row>
    <row r="677" spans="1:12" x14ac:dyDescent="0.25">
      <c r="A677">
        <v>6</v>
      </c>
      <c r="B677">
        <v>195</v>
      </c>
      <c r="C677">
        <v>70</v>
      </c>
      <c r="D677">
        <v>21</v>
      </c>
      <c r="E677">
        <v>80</v>
      </c>
      <c r="F677">
        <v>31</v>
      </c>
      <c r="G677">
        <v>0.67200000000000004</v>
      </c>
      <c r="H677">
        <v>31</v>
      </c>
      <c r="I677">
        <v>1</v>
      </c>
      <c r="J677">
        <f>IF(AND(Table2[[#This Row],[BMI]]&gt;=23,Table2[[#This Row],[Outcome]]=1),1,0)</f>
        <v>1</v>
      </c>
      <c r="K677">
        <f>IF(AND(Table2[[#This Row],[BMI+Outcome]]=1,Table2[[#This Row],[Glucose]]&gt;=100),1,0)</f>
        <v>1</v>
      </c>
      <c r="L677">
        <f>IF(AND(Table2[[#This Row],[Outcome]]=1,Table2[[#This Row],[Glucose]]&gt;=100),1,0)</f>
        <v>1</v>
      </c>
    </row>
    <row r="678" spans="1:12" x14ac:dyDescent="0.25">
      <c r="A678">
        <v>9</v>
      </c>
      <c r="B678">
        <v>156</v>
      </c>
      <c r="C678">
        <v>86</v>
      </c>
      <c r="D678">
        <v>21</v>
      </c>
      <c r="E678">
        <v>80</v>
      </c>
      <c r="F678">
        <v>25</v>
      </c>
      <c r="G678">
        <v>0.67200000000000004</v>
      </c>
      <c r="H678">
        <v>53</v>
      </c>
      <c r="I678">
        <v>1</v>
      </c>
      <c r="J678">
        <f>IF(AND(Table2[[#This Row],[BMI]]&gt;=23,Table2[[#This Row],[Outcome]]=1),1,0)</f>
        <v>1</v>
      </c>
      <c r="K678">
        <f>IF(AND(Table2[[#This Row],[BMI+Outcome]]=1,Table2[[#This Row],[Glucose]]&gt;=100),1,0)</f>
        <v>1</v>
      </c>
      <c r="L678">
        <f>IF(AND(Table2[[#This Row],[Outcome]]=1,Table2[[#This Row],[Glucose]]&gt;=100),1,0)</f>
        <v>1</v>
      </c>
    </row>
    <row r="679" spans="1:12" x14ac:dyDescent="0.25">
      <c r="A679">
        <v>4</v>
      </c>
      <c r="B679">
        <v>93</v>
      </c>
      <c r="C679">
        <v>60</v>
      </c>
      <c r="D679">
        <v>21</v>
      </c>
      <c r="E679">
        <v>80</v>
      </c>
      <c r="F679">
        <v>35</v>
      </c>
      <c r="G679">
        <v>0.67200000000000004</v>
      </c>
      <c r="H679">
        <v>25</v>
      </c>
      <c r="I679">
        <v>0</v>
      </c>
      <c r="J679">
        <f>IF(AND(Table2[[#This Row],[BMI]]&gt;=23,Table2[[#This Row],[Outcome]]=1),1,0)</f>
        <v>0</v>
      </c>
      <c r="K679">
        <f>IF(AND(Table2[[#This Row],[BMI+Outcome]]=1,Table2[[#This Row],[Glucose]]&gt;=100),1,0)</f>
        <v>0</v>
      </c>
      <c r="L679">
        <f>IF(AND(Table2[[#This Row],[Outcome]]=1,Table2[[#This Row],[Glucose]]&gt;=100),1,0)</f>
        <v>0</v>
      </c>
    </row>
    <row r="680" spans="1:12" x14ac:dyDescent="0.25">
      <c r="A680">
        <v>3</v>
      </c>
      <c r="B680">
        <v>121</v>
      </c>
      <c r="C680">
        <v>52</v>
      </c>
      <c r="D680">
        <v>21</v>
      </c>
      <c r="E680">
        <v>80</v>
      </c>
      <c r="F680">
        <v>36</v>
      </c>
      <c r="G680">
        <v>0.67200000000000004</v>
      </c>
      <c r="H680">
        <v>25</v>
      </c>
      <c r="I680">
        <v>1</v>
      </c>
      <c r="J680">
        <f>IF(AND(Table2[[#This Row],[BMI]]&gt;=23,Table2[[#This Row],[Outcome]]=1),1,0)</f>
        <v>1</v>
      </c>
      <c r="K680">
        <f>IF(AND(Table2[[#This Row],[BMI+Outcome]]=1,Table2[[#This Row],[Glucose]]&gt;=100),1,0)</f>
        <v>1</v>
      </c>
      <c r="L680">
        <f>IF(AND(Table2[[#This Row],[Outcome]]=1,Table2[[#This Row],[Glucose]]&gt;=100),1,0)</f>
        <v>1</v>
      </c>
    </row>
    <row r="681" spans="1:12" x14ac:dyDescent="0.25">
      <c r="A681">
        <v>2</v>
      </c>
      <c r="B681">
        <v>101</v>
      </c>
      <c r="C681">
        <v>58</v>
      </c>
      <c r="D681">
        <v>17</v>
      </c>
      <c r="E681">
        <v>265</v>
      </c>
      <c r="F681">
        <v>24</v>
      </c>
      <c r="G681">
        <v>0.67200000000000004</v>
      </c>
      <c r="H681">
        <v>23</v>
      </c>
      <c r="I681">
        <v>0</v>
      </c>
      <c r="J681">
        <f>IF(AND(Table2[[#This Row],[BMI]]&gt;=23,Table2[[#This Row],[Outcome]]=1),1,0)</f>
        <v>0</v>
      </c>
      <c r="K681">
        <f>IF(AND(Table2[[#This Row],[BMI+Outcome]]=1,Table2[[#This Row],[Glucose]]&gt;=100),1,0)</f>
        <v>0</v>
      </c>
      <c r="L681">
        <f>IF(AND(Table2[[#This Row],[Outcome]]=1,Table2[[#This Row],[Glucose]]&gt;=100),1,0)</f>
        <v>0</v>
      </c>
    </row>
    <row r="682" spans="1:12" x14ac:dyDescent="0.25">
      <c r="A682">
        <v>2</v>
      </c>
      <c r="B682">
        <v>56</v>
      </c>
      <c r="C682">
        <v>56</v>
      </c>
      <c r="D682">
        <v>28</v>
      </c>
      <c r="E682">
        <v>45</v>
      </c>
      <c r="F682">
        <v>24</v>
      </c>
      <c r="G682">
        <v>0.67200000000000004</v>
      </c>
      <c r="H682">
        <v>22</v>
      </c>
      <c r="I682">
        <v>0</v>
      </c>
      <c r="J682">
        <f>IF(AND(Table2[[#This Row],[BMI]]&gt;=23,Table2[[#This Row],[Outcome]]=1),1,0)</f>
        <v>0</v>
      </c>
      <c r="K682">
        <f>IF(AND(Table2[[#This Row],[BMI+Outcome]]=1,Table2[[#This Row],[Glucose]]&gt;=100),1,0)</f>
        <v>0</v>
      </c>
      <c r="L682">
        <f>IF(AND(Table2[[#This Row],[Outcome]]=1,Table2[[#This Row],[Glucose]]&gt;=100),1,0)</f>
        <v>0</v>
      </c>
    </row>
    <row r="683" spans="1:12" x14ac:dyDescent="0.25">
      <c r="A683">
        <v>4</v>
      </c>
      <c r="B683">
        <v>162</v>
      </c>
      <c r="C683">
        <v>76</v>
      </c>
      <c r="D683">
        <v>36</v>
      </c>
      <c r="E683">
        <v>80</v>
      </c>
      <c r="F683">
        <v>50</v>
      </c>
      <c r="G683">
        <v>0.67200000000000004</v>
      </c>
      <c r="H683">
        <v>26</v>
      </c>
      <c r="I683">
        <v>1</v>
      </c>
      <c r="J683">
        <f>IF(AND(Table2[[#This Row],[BMI]]&gt;=23,Table2[[#This Row],[Outcome]]=1),1,0)</f>
        <v>1</v>
      </c>
      <c r="K683">
        <f>IF(AND(Table2[[#This Row],[BMI+Outcome]]=1,Table2[[#This Row],[Glucose]]&gt;=100),1,0)</f>
        <v>1</v>
      </c>
      <c r="L683">
        <f>IF(AND(Table2[[#This Row],[Outcome]]=1,Table2[[#This Row],[Glucose]]&gt;=100),1,0)</f>
        <v>1</v>
      </c>
    </row>
    <row r="684" spans="1:12" x14ac:dyDescent="0.25">
      <c r="A684">
        <v>4</v>
      </c>
      <c r="B684">
        <v>95</v>
      </c>
      <c r="C684">
        <v>64</v>
      </c>
      <c r="D684">
        <v>39</v>
      </c>
      <c r="E684">
        <v>105</v>
      </c>
      <c r="F684">
        <v>45</v>
      </c>
      <c r="G684">
        <v>0.67200000000000004</v>
      </c>
      <c r="H684">
        <v>22</v>
      </c>
      <c r="I684">
        <v>0</v>
      </c>
      <c r="J684">
        <f>IF(AND(Table2[[#This Row],[BMI]]&gt;=23,Table2[[#This Row],[Outcome]]=1),1,0)</f>
        <v>0</v>
      </c>
      <c r="K684">
        <f>IF(AND(Table2[[#This Row],[BMI+Outcome]]=1,Table2[[#This Row],[Glucose]]&gt;=100),1,0)</f>
        <v>0</v>
      </c>
      <c r="L684">
        <f>IF(AND(Table2[[#This Row],[Outcome]]=1,Table2[[#This Row],[Glucose]]&gt;=100),1,0)</f>
        <v>0</v>
      </c>
    </row>
    <row r="685" spans="1:12" x14ac:dyDescent="0.25">
      <c r="A685">
        <v>4</v>
      </c>
      <c r="B685">
        <v>125</v>
      </c>
      <c r="C685">
        <v>80</v>
      </c>
      <c r="D685">
        <v>21</v>
      </c>
      <c r="E685">
        <v>80</v>
      </c>
      <c r="F685">
        <v>32</v>
      </c>
      <c r="G685">
        <v>0.67200000000000004</v>
      </c>
      <c r="H685">
        <v>27</v>
      </c>
      <c r="I685">
        <v>1</v>
      </c>
      <c r="J685">
        <f>IF(AND(Table2[[#This Row],[BMI]]&gt;=23,Table2[[#This Row],[Outcome]]=1),1,0)</f>
        <v>1</v>
      </c>
      <c r="K685">
        <f>IF(AND(Table2[[#This Row],[BMI+Outcome]]=1,Table2[[#This Row],[Glucose]]&gt;=100),1,0)</f>
        <v>1</v>
      </c>
      <c r="L685">
        <f>IF(AND(Table2[[#This Row],[Outcome]]=1,Table2[[#This Row],[Glucose]]&gt;=100),1,0)</f>
        <v>1</v>
      </c>
    </row>
    <row r="686" spans="1:12" x14ac:dyDescent="0.25">
      <c r="A686">
        <v>5</v>
      </c>
      <c r="B686">
        <v>136</v>
      </c>
      <c r="C686">
        <v>82</v>
      </c>
      <c r="D686">
        <v>21</v>
      </c>
      <c r="E686">
        <v>80</v>
      </c>
      <c r="F686">
        <v>32</v>
      </c>
      <c r="G686">
        <v>0.67200000000000004</v>
      </c>
      <c r="H686">
        <v>69</v>
      </c>
      <c r="I686">
        <v>0</v>
      </c>
      <c r="J686">
        <f>IF(AND(Table2[[#This Row],[BMI]]&gt;=23,Table2[[#This Row],[Outcome]]=1),1,0)</f>
        <v>0</v>
      </c>
      <c r="K686">
        <f>IF(AND(Table2[[#This Row],[BMI+Outcome]]=1,Table2[[#This Row],[Glucose]]&gt;=100),1,0)</f>
        <v>0</v>
      </c>
      <c r="L686">
        <f>IF(AND(Table2[[#This Row],[Outcome]]=1,Table2[[#This Row],[Glucose]]&gt;=100),1,0)</f>
        <v>0</v>
      </c>
    </row>
    <row r="687" spans="1:12" x14ac:dyDescent="0.25">
      <c r="A687">
        <v>2</v>
      </c>
      <c r="B687">
        <v>129</v>
      </c>
      <c r="C687">
        <v>74</v>
      </c>
      <c r="D687">
        <v>26</v>
      </c>
      <c r="E687">
        <v>205</v>
      </c>
      <c r="F687">
        <v>33</v>
      </c>
      <c r="G687">
        <v>0.67200000000000004</v>
      </c>
      <c r="H687">
        <v>25</v>
      </c>
      <c r="I687">
        <v>0</v>
      </c>
      <c r="J687">
        <f>IF(AND(Table2[[#This Row],[BMI]]&gt;=23,Table2[[#This Row],[Outcome]]=1),1,0)</f>
        <v>0</v>
      </c>
      <c r="K687">
        <f>IF(AND(Table2[[#This Row],[BMI+Outcome]]=1,Table2[[#This Row],[Glucose]]&gt;=100),1,0)</f>
        <v>0</v>
      </c>
      <c r="L687">
        <f>IF(AND(Table2[[#This Row],[Outcome]]=1,Table2[[#This Row],[Glucose]]&gt;=100),1,0)</f>
        <v>0</v>
      </c>
    </row>
    <row r="688" spans="1:12" x14ac:dyDescent="0.25">
      <c r="A688">
        <v>3</v>
      </c>
      <c r="B688">
        <v>130</v>
      </c>
      <c r="C688">
        <v>64</v>
      </c>
      <c r="D688">
        <v>21</v>
      </c>
      <c r="E688">
        <v>80</v>
      </c>
      <c r="F688">
        <v>23</v>
      </c>
      <c r="G688">
        <v>0.67200000000000004</v>
      </c>
      <c r="H688">
        <v>22</v>
      </c>
      <c r="I688">
        <v>0</v>
      </c>
      <c r="J688">
        <f>IF(AND(Table2[[#This Row],[BMI]]&gt;=23,Table2[[#This Row],[Outcome]]=1),1,0)</f>
        <v>0</v>
      </c>
      <c r="K688">
        <f>IF(AND(Table2[[#This Row],[BMI+Outcome]]=1,Table2[[#This Row],[Glucose]]&gt;=100),1,0)</f>
        <v>0</v>
      </c>
      <c r="L688">
        <f>IF(AND(Table2[[#This Row],[Outcome]]=1,Table2[[#This Row],[Glucose]]&gt;=100),1,0)</f>
        <v>0</v>
      </c>
    </row>
    <row r="689" spans="1:12" x14ac:dyDescent="0.25">
      <c r="A689">
        <v>1</v>
      </c>
      <c r="B689">
        <v>107</v>
      </c>
      <c r="C689">
        <v>50</v>
      </c>
      <c r="D689">
        <v>19</v>
      </c>
      <c r="E689">
        <v>80</v>
      </c>
      <c r="F689">
        <v>28</v>
      </c>
      <c r="G689">
        <v>0.67200000000000004</v>
      </c>
      <c r="H689">
        <v>29</v>
      </c>
      <c r="I689">
        <v>0</v>
      </c>
      <c r="J689">
        <f>IF(AND(Table2[[#This Row],[BMI]]&gt;=23,Table2[[#This Row],[Outcome]]=1),1,0)</f>
        <v>0</v>
      </c>
      <c r="K689">
        <f>IF(AND(Table2[[#This Row],[BMI+Outcome]]=1,Table2[[#This Row],[Glucose]]&gt;=100),1,0)</f>
        <v>0</v>
      </c>
      <c r="L689">
        <f>IF(AND(Table2[[#This Row],[Outcome]]=1,Table2[[#This Row],[Glucose]]&gt;=100),1,0)</f>
        <v>0</v>
      </c>
    </row>
    <row r="690" spans="1:12" x14ac:dyDescent="0.25">
      <c r="A690">
        <v>1</v>
      </c>
      <c r="B690">
        <v>140</v>
      </c>
      <c r="C690">
        <v>74</v>
      </c>
      <c r="D690">
        <v>26</v>
      </c>
      <c r="E690">
        <v>180</v>
      </c>
      <c r="F690">
        <v>24</v>
      </c>
      <c r="G690">
        <v>0.67200000000000004</v>
      </c>
      <c r="H690">
        <v>23</v>
      </c>
      <c r="I690">
        <v>0</v>
      </c>
      <c r="J690">
        <f>IF(AND(Table2[[#This Row],[BMI]]&gt;=23,Table2[[#This Row],[Outcome]]=1),1,0)</f>
        <v>0</v>
      </c>
      <c r="K690">
        <f>IF(AND(Table2[[#This Row],[BMI+Outcome]]=1,Table2[[#This Row],[Glucose]]&gt;=100),1,0)</f>
        <v>0</v>
      </c>
      <c r="L690">
        <f>IF(AND(Table2[[#This Row],[Outcome]]=1,Table2[[#This Row],[Glucose]]&gt;=100),1,0)</f>
        <v>0</v>
      </c>
    </row>
    <row r="691" spans="1:12" x14ac:dyDescent="0.25">
      <c r="A691">
        <v>1</v>
      </c>
      <c r="B691">
        <v>144</v>
      </c>
      <c r="C691">
        <v>82</v>
      </c>
      <c r="D691">
        <v>46</v>
      </c>
      <c r="E691">
        <v>180</v>
      </c>
      <c r="F691">
        <v>46</v>
      </c>
      <c r="G691">
        <v>0.67200000000000004</v>
      </c>
      <c r="H691">
        <v>46</v>
      </c>
      <c r="I691">
        <v>1</v>
      </c>
      <c r="J691">
        <f>IF(AND(Table2[[#This Row],[BMI]]&gt;=23,Table2[[#This Row],[Outcome]]=1),1,0)</f>
        <v>1</v>
      </c>
      <c r="K691">
        <f>IF(AND(Table2[[#This Row],[BMI+Outcome]]=1,Table2[[#This Row],[Glucose]]&gt;=100),1,0)</f>
        <v>1</v>
      </c>
      <c r="L691">
        <f>IF(AND(Table2[[#This Row],[Outcome]]=1,Table2[[#This Row],[Glucose]]&gt;=100),1,0)</f>
        <v>1</v>
      </c>
    </row>
    <row r="692" spans="1:12" x14ac:dyDescent="0.25">
      <c r="A692">
        <v>8</v>
      </c>
      <c r="B692">
        <v>107</v>
      </c>
      <c r="C692">
        <v>80</v>
      </c>
      <c r="D692">
        <v>21</v>
      </c>
      <c r="E692">
        <v>80</v>
      </c>
      <c r="F692">
        <v>25</v>
      </c>
      <c r="G692">
        <v>0.67200000000000004</v>
      </c>
      <c r="H692">
        <v>34</v>
      </c>
      <c r="I692">
        <v>0</v>
      </c>
      <c r="J692">
        <f>IF(AND(Table2[[#This Row],[BMI]]&gt;=23,Table2[[#This Row],[Outcome]]=1),1,0)</f>
        <v>0</v>
      </c>
      <c r="K692">
        <f>IF(AND(Table2[[#This Row],[BMI+Outcome]]=1,Table2[[#This Row],[Glucose]]&gt;=100),1,0)</f>
        <v>0</v>
      </c>
      <c r="L692">
        <f>IF(AND(Table2[[#This Row],[Outcome]]=1,Table2[[#This Row],[Glucose]]&gt;=100),1,0)</f>
        <v>0</v>
      </c>
    </row>
    <row r="693" spans="1:12" x14ac:dyDescent="0.25">
      <c r="A693">
        <v>13</v>
      </c>
      <c r="B693">
        <v>158</v>
      </c>
      <c r="C693">
        <v>114</v>
      </c>
      <c r="D693">
        <v>21</v>
      </c>
      <c r="E693">
        <v>80</v>
      </c>
      <c r="F693">
        <v>42</v>
      </c>
      <c r="G693">
        <v>0.67200000000000004</v>
      </c>
      <c r="H693">
        <v>44</v>
      </c>
      <c r="I693">
        <v>1</v>
      </c>
      <c r="J693">
        <f>IF(AND(Table2[[#This Row],[BMI]]&gt;=23,Table2[[#This Row],[Outcome]]=1),1,0)</f>
        <v>1</v>
      </c>
      <c r="K693">
        <f>IF(AND(Table2[[#This Row],[BMI+Outcome]]=1,Table2[[#This Row],[Glucose]]&gt;=100),1,0)</f>
        <v>1</v>
      </c>
      <c r="L693">
        <f>IF(AND(Table2[[#This Row],[Outcome]]=1,Table2[[#This Row],[Glucose]]&gt;=100),1,0)</f>
        <v>1</v>
      </c>
    </row>
    <row r="694" spans="1:12" x14ac:dyDescent="0.25">
      <c r="A694">
        <v>2</v>
      </c>
      <c r="B694">
        <v>121</v>
      </c>
      <c r="C694">
        <v>70</v>
      </c>
      <c r="D694">
        <v>32</v>
      </c>
      <c r="E694">
        <v>95</v>
      </c>
      <c r="F694">
        <v>39</v>
      </c>
      <c r="G694">
        <v>0.67200000000000004</v>
      </c>
      <c r="H694">
        <v>23</v>
      </c>
      <c r="I694">
        <v>0</v>
      </c>
      <c r="J694">
        <f>IF(AND(Table2[[#This Row],[BMI]]&gt;=23,Table2[[#This Row],[Outcome]]=1),1,0)</f>
        <v>0</v>
      </c>
      <c r="K694">
        <f>IF(AND(Table2[[#This Row],[BMI+Outcome]]=1,Table2[[#This Row],[Glucose]]&gt;=100),1,0)</f>
        <v>0</v>
      </c>
      <c r="L694">
        <f>IF(AND(Table2[[#This Row],[Outcome]]=1,Table2[[#This Row],[Glucose]]&gt;=100),1,0)</f>
        <v>0</v>
      </c>
    </row>
    <row r="695" spans="1:12" x14ac:dyDescent="0.25">
      <c r="A695">
        <v>7</v>
      </c>
      <c r="B695">
        <v>129</v>
      </c>
      <c r="C695">
        <v>68</v>
      </c>
      <c r="D695">
        <v>49</v>
      </c>
      <c r="E695">
        <v>125</v>
      </c>
      <c r="F695">
        <v>38</v>
      </c>
      <c r="G695">
        <v>0.67200000000000004</v>
      </c>
      <c r="H695">
        <v>43</v>
      </c>
      <c r="I695">
        <v>1</v>
      </c>
      <c r="J695">
        <f>IF(AND(Table2[[#This Row],[BMI]]&gt;=23,Table2[[#This Row],[Outcome]]=1),1,0)</f>
        <v>1</v>
      </c>
      <c r="K695">
        <f>IF(AND(Table2[[#This Row],[BMI+Outcome]]=1,Table2[[#This Row],[Glucose]]&gt;=100),1,0)</f>
        <v>1</v>
      </c>
      <c r="L695">
        <f>IF(AND(Table2[[#This Row],[Outcome]]=1,Table2[[#This Row],[Glucose]]&gt;=100),1,0)</f>
        <v>1</v>
      </c>
    </row>
    <row r="696" spans="1:12" x14ac:dyDescent="0.25">
      <c r="A696">
        <v>2</v>
      </c>
      <c r="B696">
        <v>90</v>
      </c>
      <c r="C696">
        <v>60</v>
      </c>
      <c r="D696">
        <v>21</v>
      </c>
      <c r="E696">
        <v>80</v>
      </c>
      <c r="F696">
        <v>24</v>
      </c>
      <c r="G696">
        <v>0.67200000000000004</v>
      </c>
      <c r="H696">
        <v>25</v>
      </c>
      <c r="I696">
        <v>0</v>
      </c>
      <c r="J696">
        <f>IF(AND(Table2[[#This Row],[BMI]]&gt;=23,Table2[[#This Row],[Outcome]]=1),1,0)</f>
        <v>0</v>
      </c>
      <c r="K696">
        <f>IF(AND(Table2[[#This Row],[BMI+Outcome]]=1,Table2[[#This Row],[Glucose]]&gt;=100),1,0)</f>
        <v>0</v>
      </c>
      <c r="L696">
        <f>IF(AND(Table2[[#This Row],[Outcome]]=1,Table2[[#This Row],[Glucose]]&gt;=100),1,0)</f>
        <v>0</v>
      </c>
    </row>
    <row r="697" spans="1:12" x14ac:dyDescent="0.25">
      <c r="A697">
        <v>7</v>
      </c>
      <c r="B697">
        <v>142</v>
      </c>
      <c r="C697">
        <v>90</v>
      </c>
      <c r="D697">
        <v>24</v>
      </c>
      <c r="E697">
        <v>480</v>
      </c>
      <c r="F697">
        <v>30</v>
      </c>
      <c r="G697">
        <v>0.67200000000000004</v>
      </c>
      <c r="H697">
        <v>43</v>
      </c>
      <c r="I697">
        <v>1</v>
      </c>
      <c r="J697">
        <f>IF(AND(Table2[[#This Row],[BMI]]&gt;=23,Table2[[#This Row],[Outcome]]=1),1,0)</f>
        <v>1</v>
      </c>
      <c r="K697">
        <f>IF(AND(Table2[[#This Row],[BMI+Outcome]]=1,Table2[[#This Row],[Glucose]]&gt;=100),1,0)</f>
        <v>1</v>
      </c>
      <c r="L697">
        <f>IF(AND(Table2[[#This Row],[Outcome]]=1,Table2[[#This Row],[Glucose]]&gt;=100),1,0)</f>
        <v>1</v>
      </c>
    </row>
    <row r="698" spans="1:12" x14ac:dyDescent="0.25">
      <c r="A698">
        <v>3</v>
      </c>
      <c r="B698">
        <v>169</v>
      </c>
      <c r="C698">
        <v>74</v>
      </c>
      <c r="D698">
        <v>19</v>
      </c>
      <c r="E698">
        <v>125</v>
      </c>
      <c r="F698">
        <v>30</v>
      </c>
      <c r="G698">
        <v>0.67200000000000004</v>
      </c>
      <c r="H698">
        <v>31</v>
      </c>
      <c r="I698">
        <v>1</v>
      </c>
      <c r="J698">
        <f>IF(AND(Table2[[#This Row],[BMI]]&gt;=23,Table2[[#This Row],[Outcome]]=1),1,0)</f>
        <v>1</v>
      </c>
      <c r="K698">
        <f>IF(AND(Table2[[#This Row],[BMI+Outcome]]=1,Table2[[#This Row],[Glucose]]&gt;=100),1,0)</f>
        <v>1</v>
      </c>
      <c r="L698">
        <f>IF(AND(Table2[[#This Row],[Outcome]]=1,Table2[[#This Row],[Glucose]]&gt;=100),1,0)</f>
        <v>1</v>
      </c>
    </row>
    <row r="699" spans="1:12" x14ac:dyDescent="0.25">
      <c r="A699">
        <v>4</v>
      </c>
      <c r="B699">
        <v>99</v>
      </c>
      <c r="C699">
        <v>69</v>
      </c>
      <c r="D699">
        <v>21</v>
      </c>
      <c r="E699">
        <v>80</v>
      </c>
      <c r="F699">
        <v>25</v>
      </c>
      <c r="G699">
        <v>0.67200000000000004</v>
      </c>
      <c r="H699">
        <v>22</v>
      </c>
      <c r="I699">
        <v>0</v>
      </c>
      <c r="J699">
        <f>IF(AND(Table2[[#This Row],[BMI]]&gt;=23,Table2[[#This Row],[Outcome]]=1),1,0)</f>
        <v>0</v>
      </c>
      <c r="K699">
        <f>IF(AND(Table2[[#This Row],[BMI+Outcome]]=1,Table2[[#This Row],[Glucose]]&gt;=100),1,0)</f>
        <v>0</v>
      </c>
      <c r="L699">
        <f>IF(AND(Table2[[#This Row],[Outcome]]=1,Table2[[#This Row],[Glucose]]&gt;=100),1,0)</f>
        <v>0</v>
      </c>
    </row>
    <row r="700" spans="1:12" x14ac:dyDescent="0.25">
      <c r="A700">
        <v>4</v>
      </c>
      <c r="B700">
        <v>127</v>
      </c>
      <c r="C700">
        <v>88</v>
      </c>
      <c r="D700">
        <v>11</v>
      </c>
      <c r="E700">
        <v>155</v>
      </c>
      <c r="F700">
        <v>34</v>
      </c>
      <c r="G700">
        <v>0.67200000000000004</v>
      </c>
      <c r="H700">
        <v>28</v>
      </c>
      <c r="I700">
        <v>0</v>
      </c>
      <c r="J700">
        <f>IF(AND(Table2[[#This Row],[BMI]]&gt;=23,Table2[[#This Row],[Outcome]]=1),1,0)</f>
        <v>0</v>
      </c>
      <c r="K700">
        <f>IF(AND(Table2[[#This Row],[BMI+Outcome]]=1,Table2[[#This Row],[Glucose]]&gt;=100),1,0)</f>
        <v>0</v>
      </c>
      <c r="L700">
        <f>IF(AND(Table2[[#This Row],[Outcome]]=1,Table2[[#This Row],[Glucose]]&gt;=100),1,0)</f>
        <v>0</v>
      </c>
    </row>
    <row r="701" spans="1:12" x14ac:dyDescent="0.25">
      <c r="A701">
        <v>4</v>
      </c>
      <c r="B701">
        <v>118</v>
      </c>
      <c r="C701">
        <v>70</v>
      </c>
      <c r="D701">
        <v>21</v>
      </c>
      <c r="E701">
        <v>80</v>
      </c>
      <c r="F701">
        <v>44</v>
      </c>
      <c r="G701">
        <v>0.67200000000000004</v>
      </c>
      <c r="H701">
        <v>26</v>
      </c>
      <c r="I701">
        <v>0</v>
      </c>
      <c r="J701">
        <f>IF(AND(Table2[[#This Row],[BMI]]&gt;=23,Table2[[#This Row],[Outcome]]=1),1,0)</f>
        <v>0</v>
      </c>
      <c r="K701">
        <f>IF(AND(Table2[[#This Row],[BMI+Outcome]]=1,Table2[[#This Row],[Glucose]]&gt;=100),1,0)</f>
        <v>0</v>
      </c>
      <c r="L701">
        <f>IF(AND(Table2[[#This Row],[Outcome]]=1,Table2[[#This Row],[Glucose]]&gt;=100),1,0)</f>
        <v>0</v>
      </c>
    </row>
    <row r="702" spans="1:12" x14ac:dyDescent="0.25">
      <c r="A702">
        <v>2</v>
      </c>
      <c r="B702">
        <v>122</v>
      </c>
      <c r="C702">
        <v>76</v>
      </c>
      <c r="D702">
        <v>27</v>
      </c>
      <c r="E702">
        <v>200</v>
      </c>
      <c r="F702">
        <v>36</v>
      </c>
      <c r="G702">
        <v>0.67200000000000004</v>
      </c>
      <c r="H702">
        <v>26</v>
      </c>
      <c r="I702">
        <v>0</v>
      </c>
      <c r="J702">
        <f>IF(AND(Table2[[#This Row],[BMI]]&gt;=23,Table2[[#This Row],[Outcome]]=1),1,0)</f>
        <v>0</v>
      </c>
      <c r="K702">
        <f>IF(AND(Table2[[#This Row],[BMI+Outcome]]=1,Table2[[#This Row],[Glucose]]&gt;=100),1,0)</f>
        <v>0</v>
      </c>
      <c r="L702">
        <f>IF(AND(Table2[[#This Row],[Outcome]]=1,Table2[[#This Row],[Glucose]]&gt;=100),1,0)</f>
        <v>0</v>
      </c>
    </row>
    <row r="703" spans="1:12" x14ac:dyDescent="0.25">
      <c r="A703">
        <v>6</v>
      </c>
      <c r="B703">
        <v>125</v>
      </c>
      <c r="C703">
        <v>78</v>
      </c>
      <c r="D703">
        <v>31</v>
      </c>
      <c r="E703">
        <v>80</v>
      </c>
      <c r="F703">
        <v>28</v>
      </c>
      <c r="G703">
        <v>0.67200000000000004</v>
      </c>
      <c r="H703">
        <v>49</v>
      </c>
      <c r="I703">
        <v>1</v>
      </c>
      <c r="J703">
        <f>IF(AND(Table2[[#This Row],[BMI]]&gt;=23,Table2[[#This Row],[Outcome]]=1),1,0)</f>
        <v>1</v>
      </c>
      <c r="K703">
        <f>IF(AND(Table2[[#This Row],[BMI+Outcome]]=1,Table2[[#This Row],[Glucose]]&gt;=100),1,0)</f>
        <v>1</v>
      </c>
      <c r="L703">
        <f>IF(AND(Table2[[#This Row],[Outcome]]=1,Table2[[#This Row],[Glucose]]&gt;=100),1,0)</f>
        <v>1</v>
      </c>
    </row>
    <row r="704" spans="1:12" x14ac:dyDescent="0.25">
      <c r="A704">
        <v>1</v>
      </c>
      <c r="B704">
        <v>168</v>
      </c>
      <c r="C704">
        <v>88</v>
      </c>
      <c r="D704">
        <v>29</v>
      </c>
      <c r="E704">
        <v>80</v>
      </c>
      <c r="F704">
        <v>35</v>
      </c>
      <c r="G704">
        <v>0.67200000000000004</v>
      </c>
      <c r="H704">
        <v>52</v>
      </c>
      <c r="I704">
        <v>1</v>
      </c>
      <c r="J704">
        <f>IF(AND(Table2[[#This Row],[BMI]]&gt;=23,Table2[[#This Row],[Outcome]]=1),1,0)</f>
        <v>1</v>
      </c>
      <c r="K704">
        <f>IF(AND(Table2[[#This Row],[BMI+Outcome]]=1,Table2[[#This Row],[Glucose]]&gt;=100),1,0)</f>
        <v>1</v>
      </c>
      <c r="L704">
        <f>IF(AND(Table2[[#This Row],[Outcome]]=1,Table2[[#This Row],[Glucose]]&gt;=100),1,0)</f>
        <v>1</v>
      </c>
    </row>
    <row r="705" spans="1:12" x14ac:dyDescent="0.25">
      <c r="A705">
        <v>2</v>
      </c>
      <c r="B705">
        <v>129</v>
      </c>
      <c r="C705">
        <v>69</v>
      </c>
      <c r="D705">
        <v>21</v>
      </c>
      <c r="E705">
        <v>80</v>
      </c>
      <c r="F705">
        <v>38</v>
      </c>
      <c r="G705">
        <v>0.67200000000000004</v>
      </c>
      <c r="H705">
        <v>41</v>
      </c>
      <c r="I705">
        <v>0</v>
      </c>
      <c r="J705">
        <f>IF(AND(Table2[[#This Row],[BMI]]&gt;=23,Table2[[#This Row],[Outcome]]=1),1,0)</f>
        <v>0</v>
      </c>
      <c r="K705">
        <f>IF(AND(Table2[[#This Row],[BMI+Outcome]]=1,Table2[[#This Row],[Glucose]]&gt;=100),1,0)</f>
        <v>0</v>
      </c>
      <c r="L705">
        <f>IF(AND(Table2[[#This Row],[Outcome]]=1,Table2[[#This Row],[Glucose]]&gt;=100),1,0)</f>
        <v>0</v>
      </c>
    </row>
    <row r="706" spans="1:12" x14ac:dyDescent="0.25">
      <c r="A706">
        <v>4</v>
      </c>
      <c r="B706">
        <v>110</v>
      </c>
      <c r="C706">
        <v>76</v>
      </c>
      <c r="D706">
        <v>20</v>
      </c>
      <c r="E706">
        <v>100</v>
      </c>
      <c r="F706">
        <v>28</v>
      </c>
      <c r="G706">
        <v>0.67200000000000004</v>
      </c>
      <c r="H706">
        <v>27</v>
      </c>
      <c r="I706">
        <v>0</v>
      </c>
      <c r="J706">
        <f>IF(AND(Table2[[#This Row],[BMI]]&gt;=23,Table2[[#This Row],[Outcome]]=1),1,0)</f>
        <v>0</v>
      </c>
      <c r="K706">
        <f>IF(AND(Table2[[#This Row],[BMI+Outcome]]=1,Table2[[#This Row],[Glucose]]&gt;=100),1,0)</f>
        <v>0</v>
      </c>
      <c r="L706">
        <f>IF(AND(Table2[[#This Row],[Outcome]]=1,Table2[[#This Row],[Glucose]]&gt;=100),1,0)</f>
        <v>0</v>
      </c>
    </row>
    <row r="707" spans="1:12" x14ac:dyDescent="0.25">
      <c r="A707">
        <v>6</v>
      </c>
      <c r="B707">
        <v>80</v>
      </c>
      <c r="C707">
        <v>80</v>
      </c>
      <c r="D707">
        <v>36</v>
      </c>
      <c r="E707">
        <v>80</v>
      </c>
      <c r="F707">
        <v>40</v>
      </c>
      <c r="G707">
        <v>0.67200000000000004</v>
      </c>
      <c r="H707">
        <v>28</v>
      </c>
      <c r="I707">
        <v>0</v>
      </c>
      <c r="J707">
        <f>IF(AND(Table2[[#This Row],[BMI]]&gt;=23,Table2[[#This Row],[Outcome]]=1),1,0)</f>
        <v>0</v>
      </c>
      <c r="K707">
        <f>IF(AND(Table2[[#This Row],[BMI+Outcome]]=1,Table2[[#This Row],[Glucose]]&gt;=100),1,0)</f>
        <v>0</v>
      </c>
      <c r="L707">
        <f>IF(AND(Table2[[#This Row],[Outcome]]=1,Table2[[#This Row],[Glucose]]&gt;=100),1,0)</f>
        <v>0</v>
      </c>
    </row>
    <row r="708" spans="1:12" x14ac:dyDescent="0.25">
      <c r="A708">
        <v>10</v>
      </c>
      <c r="B708">
        <v>115</v>
      </c>
      <c r="C708">
        <v>69</v>
      </c>
      <c r="D708">
        <v>21</v>
      </c>
      <c r="E708">
        <v>80</v>
      </c>
      <c r="F708">
        <v>32</v>
      </c>
      <c r="G708">
        <v>0.67200000000000004</v>
      </c>
      <c r="H708">
        <v>30</v>
      </c>
      <c r="I708">
        <v>1</v>
      </c>
      <c r="J708">
        <f>IF(AND(Table2[[#This Row],[BMI]]&gt;=23,Table2[[#This Row],[Outcome]]=1),1,0)</f>
        <v>1</v>
      </c>
      <c r="K708">
        <f>IF(AND(Table2[[#This Row],[BMI+Outcome]]=1,Table2[[#This Row],[Glucose]]&gt;=100),1,0)</f>
        <v>1</v>
      </c>
      <c r="L708">
        <f>IF(AND(Table2[[#This Row],[Outcome]]=1,Table2[[#This Row],[Glucose]]&gt;=100),1,0)</f>
        <v>1</v>
      </c>
    </row>
    <row r="709" spans="1:12" x14ac:dyDescent="0.25">
      <c r="A709">
        <v>2</v>
      </c>
      <c r="B709">
        <v>127</v>
      </c>
      <c r="C709">
        <v>46</v>
      </c>
      <c r="D709">
        <v>21</v>
      </c>
      <c r="E709">
        <v>335</v>
      </c>
      <c r="F709">
        <v>34</v>
      </c>
      <c r="G709">
        <v>0.67200000000000004</v>
      </c>
      <c r="H709">
        <v>22</v>
      </c>
      <c r="I709">
        <v>0</v>
      </c>
      <c r="J709">
        <f>IF(AND(Table2[[#This Row],[BMI]]&gt;=23,Table2[[#This Row],[Outcome]]=1),1,0)</f>
        <v>0</v>
      </c>
      <c r="K709">
        <f>IF(AND(Table2[[#This Row],[BMI+Outcome]]=1,Table2[[#This Row],[Glucose]]&gt;=100),1,0)</f>
        <v>0</v>
      </c>
      <c r="L709">
        <f>IF(AND(Table2[[#This Row],[Outcome]]=1,Table2[[#This Row],[Glucose]]&gt;=100),1,0)</f>
        <v>0</v>
      </c>
    </row>
    <row r="710" spans="1:12" x14ac:dyDescent="0.25">
      <c r="A710">
        <v>9</v>
      </c>
      <c r="B710">
        <v>164</v>
      </c>
      <c r="C710">
        <v>78</v>
      </c>
      <c r="D710">
        <v>21</v>
      </c>
      <c r="E710">
        <v>80</v>
      </c>
      <c r="F710">
        <v>33</v>
      </c>
      <c r="G710">
        <v>0.67200000000000004</v>
      </c>
      <c r="H710">
        <v>45</v>
      </c>
      <c r="I710">
        <v>1</v>
      </c>
      <c r="J710">
        <f>IF(AND(Table2[[#This Row],[BMI]]&gt;=23,Table2[[#This Row],[Outcome]]=1),1,0)</f>
        <v>1</v>
      </c>
      <c r="K710">
        <f>IF(AND(Table2[[#This Row],[BMI+Outcome]]=1,Table2[[#This Row],[Glucose]]&gt;=100),1,0)</f>
        <v>1</v>
      </c>
      <c r="L710">
        <f>IF(AND(Table2[[#This Row],[Outcome]]=1,Table2[[#This Row],[Glucose]]&gt;=100),1,0)</f>
        <v>1</v>
      </c>
    </row>
    <row r="711" spans="1:12" x14ac:dyDescent="0.25">
      <c r="A711">
        <v>2</v>
      </c>
      <c r="B711">
        <v>93</v>
      </c>
      <c r="C711">
        <v>64</v>
      </c>
      <c r="D711">
        <v>32</v>
      </c>
      <c r="E711">
        <v>160</v>
      </c>
      <c r="F711">
        <v>38</v>
      </c>
      <c r="G711">
        <v>0.67200000000000004</v>
      </c>
      <c r="H711">
        <v>23</v>
      </c>
      <c r="I711">
        <v>1</v>
      </c>
      <c r="J711">
        <f>IF(AND(Table2[[#This Row],[BMI]]&gt;=23,Table2[[#This Row],[Outcome]]=1),1,0)</f>
        <v>1</v>
      </c>
      <c r="K711">
        <f>IF(AND(Table2[[#This Row],[BMI+Outcome]]=1,Table2[[#This Row],[Glucose]]&gt;=100),1,0)</f>
        <v>0</v>
      </c>
      <c r="L711">
        <f>IF(AND(Table2[[#This Row],[Outcome]]=1,Table2[[#This Row],[Glucose]]&gt;=100),1,0)</f>
        <v>0</v>
      </c>
    </row>
    <row r="712" spans="1:12" x14ac:dyDescent="0.25">
      <c r="A712">
        <v>3</v>
      </c>
      <c r="B712">
        <v>158</v>
      </c>
      <c r="C712">
        <v>64</v>
      </c>
      <c r="D712">
        <v>13</v>
      </c>
      <c r="E712">
        <v>387</v>
      </c>
      <c r="F712">
        <v>31</v>
      </c>
      <c r="G712">
        <v>0.67200000000000004</v>
      </c>
      <c r="H712">
        <v>24</v>
      </c>
      <c r="I712">
        <v>0</v>
      </c>
      <c r="J712">
        <f>IF(AND(Table2[[#This Row],[BMI]]&gt;=23,Table2[[#This Row],[Outcome]]=1),1,0)</f>
        <v>0</v>
      </c>
      <c r="K712">
        <f>IF(AND(Table2[[#This Row],[BMI+Outcome]]=1,Table2[[#This Row],[Glucose]]&gt;=100),1,0)</f>
        <v>0</v>
      </c>
      <c r="L712">
        <f>IF(AND(Table2[[#This Row],[Outcome]]=1,Table2[[#This Row],[Glucose]]&gt;=100),1,0)</f>
        <v>0</v>
      </c>
    </row>
    <row r="713" spans="1:12" x14ac:dyDescent="0.25">
      <c r="A713">
        <v>5</v>
      </c>
      <c r="B713">
        <v>126</v>
      </c>
      <c r="C713">
        <v>78</v>
      </c>
      <c r="D713">
        <v>27</v>
      </c>
      <c r="E713">
        <v>22</v>
      </c>
      <c r="F713">
        <v>30</v>
      </c>
      <c r="G713">
        <v>0.67200000000000004</v>
      </c>
      <c r="H713">
        <v>40</v>
      </c>
      <c r="I713">
        <v>0</v>
      </c>
      <c r="J713">
        <f>IF(AND(Table2[[#This Row],[BMI]]&gt;=23,Table2[[#This Row],[Outcome]]=1),1,0)</f>
        <v>0</v>
      </c>
      <c r="K713">
        <f>IF(AND(Table2[[#This Row],[BMI+Outcome]]=1,Table2[[#This Row],[Glucose]]&gt;=100),1,0)</f>
        <v>0</v>
      </c>
      <c r="L713">
        <f>IF(AND(Table2[[#This Row],[Outcome]]=1,Table2[[#This Row],[Glucose]]&gt;=100),1,0)</f>
        <v>0</v>
      </c>
    </row>
    <row r="714" spans="1:12" x14ac:dyDescent="0.25">
      <c r="A714">
        <v>10</v>
      </c>
      <c r="B714">
        <v>129</v>
      </c>
      <c r="C714">
        <v>62</v>
      </c>
      <c r="D714">
        <v>36</v>
      </c>
      <c r="E714">
        <v>80</v>
      </c>
      <c r="F714">
        <v>41</v>
      </c>
      <c r="G714">
        <v>0.67200000000000004</v>
      </c>
      <c r="H714">
        <v>38</v>
      </c>
      <c r="I714">
        <v>1</v>
      </c>
      <c r="J714">
        <f>IF(AND(Table2[[#This Row],[BMI]]&gt;=23,Table2[[#This Row],[Outcome]]=1),1,0)</f>
        <v>1</v>
      </c>
      <c r="K714">
        <f>IF(AND(Table2[[#This Row],[BMI+Outcome]]=1,Table2[[#This Row],[Glucose]]&gt;=100),1,0)</f>
        <v>1</v>
      </c>
      <c r="L714">
        <f>IF(AND(Table2[[#This Row],[Outcome]]=1,Table2[[#This Row],[Glucose]]&gt;=100),1,0)</f>
        <v>1</v>
      </c>
    </row>
    <row r="715" spans="1:12" x14ac:dyDescent="0.25">
      <c r="A715">
        <v>4</v>
      </c>
      <c r="B715">
        <v>134</v>
      </c>
      <c r="C715">
        <v>58</v>
      </c>
      <c r="D715">
        <v>20</v>
      </c>
      <c r="E715">
        <v>291</v>
      </c>
      <c r="F715">
        <v>26</v>
      </c>
      <c r="G715">
        <v>0.67200000000000004</v>
      </c>
      <c r="H715">
        <v>21</v>
      </c>
      <c r="I715">
        <v>0</v>
      </c>
      <c r="J715">
        <f>IF(AND(Table2[[#This Row],[BMI]]&gt;=23,Table2[[#This Row],[Outcome]]=1),1,0)</f>
        <v>0</v>
      </c>
      <c r="K715">
        <f>IF(AND(Table2[[#This Row],[BMI+Outcome]]=1,Table2[[#This Row],[Glucose]]&gt;=100),1,0)</f>
        <v>0</v>
      </c>
      <c r="L715">
        <f>IF(AND(Table2[[#This Row],[Outcome]]=1,Table2[[#This Row],[Glucose]]&gt;=100),1,0)</f>
        <v>0</v>
      </c>
    </row>
    <row r="716" spans="1:12" x14ac:dyDescent="0.25">
      <c r="A716">
        <v>3</v>
      </c>
      <c r="B716">
        <v>102</v>
      </c>
      <c r="C716">
        <v>74</v>
      </c>
      <c r="D716">
        <v>21</v>
      </c>
      <c r="E716">
        <v>80</v>
      </c>
      <c r="F716">
        <v>30</v>
      </c>
      <c r="G716">
        <v>0.67200000000000004</v>
      </c>
      <c r="H716">
        <v>32</v>
      </c>
      <c r="I716">
        <v>0</v>
      </c>
      <c r="J716">
        <f>IF(AND(Table2[[#This Row],[BMI]]&gt;=23,Table2[[#This Row],[Outcome]]=1),1,0)</f>
        <v>0</v>
      </c>
      <c r="K716">
        <f>IF(AND(Table2[[#This Row],[BMI+Outcome]]=1,Table2[[#This Row],[Glucose]]&gt;=100),1,0)</f>
        <v>0</v>
      </c>
      <c r="L716">
        <f>IF(AND(Table2[[#This Row],[Outcome]]=1,Table2[[#This Row],[Glucose]]&gt;=100),1,0)</f>
        <v>0</v>
      </c>
    </row>
    <row r="717" spans="1:12" x14ac:dyDescent="0.25">
      <c r="A717">
        <v>7</v>
      </c>
      <c r="B717">
        <v>187</v>
      </c>
      <c r="C717">
        <v>50</v>
      </c>
      <c r="D717">
        <v>33</v>
      </c>
      <c r="E717">
        <v>392</v>
      </c>
      <c r="F717">
        <v>34</v>
      </c>
      <c r="G717">
        <v>0.67200000000000004</v>
      </c>
      <c r="H717">
        <v>34</v>
      </c>
      <c r="I717">
        <v>1</v>
      </c>
      <c r="J717">
        <f>IF(AND(Table2[[#This Row],[BMI]]&gt;=23,Table2[[#This Row],[Outcome]]=1),1,0)</f>
        <v>1</v>
      </c>
      <c r="K717">
        <f>IF(AND(Table2[[#This Row],[BMI+Outcome]]=1,Table2[[#This Row],[Glucose]]&gt;=100),1,0)</f>
        <v>1</v>
      </c>
      <c r="L717">
        <f>IF(AND(Table2[[#This Row],[Outcome]]=1,Table2[[#This Row],[Glucose]]&gt;=100),1,0)</f>
        <v>1</v>
      </c>
    </row>
    <row r="718" spans="1:12" x14ac:dyDescent="0.25">
      <c r="A718">
        <v>3</v>
      </c>
      <c r="B718">
        <v>173</v>
      </c>
      <c r="C718">
        <v>78</v>
      </c>
      <c r="D718">
        <v>39</v>
      </c>
      <c r="E718">
        <v>185</v>
      </c>
      <c r="F718">
        <v>34</v>
      </c>
      <c r="G718">
        <v>0.67200000000000004</v>
      </c>
      <c r="H718">
        <v>31</v>
      </c>
      <c r="I718">
        <v>1</v>
      </c>
      <c r="J718">
        <f>IF(AND(Table2[[#This Row],[BMI]]&gt;=23,Table2[[#This Row],[Outcome]]=1),1,0)</f>
        <v>1</v>
      </c>
      <c r="K718">
        <f>IF(AND(Table2[[#This Row],[BMI+Outcome]]=1,Table2[[#This Row],[Glucose]]&gt;=100),1,0)</f>
        <v>1</v>
      </c>
      <c r="L718">
        <f>IF(AND(Table2[[#This Row],[Outcome]]=1,Table2[[#This Row],[Glucose]]&gt;=100),1,0)</f>
        <v>1</v>
      </c>
    </row>
    <row r="719" spans="1:12" x14ac:dyDescent="0.25">
      <c r="A719">
        <v>10</v>
      </c>
      <c r="B719">
        <v>94</v>
      </c>
      <c r="C719">
        <v>72</v>
      </c>
      <c r="D719">
        <v>18</v>
      </c>
      <c r="E719">
        <v>80</v>
      </c>
      <c r="F719">
        <v>23</v>
      </c>
      <c r="G719">
        <v>0.67200000000000004</v>
      </c>
      <c r="H719">
        <v>56</v>
      </c>
      <c r="I719">
        <v>0</v>
      </c>
      <c r="J719">
        <f>IF(AND(Table2[[#This Row],[BMI]]&gt;=23,Table2[[#This Row],[Outcome]]=1),1,0)</f>
        <v>0</v>
      </c>
      <c r="K719">
        <f>IF(AND(Table2[[#This Row],[BMI+Outcome]]=1,Table2[[#This Row],[Glucose]]&gt;=100),1,0)</f>
        <v>0</v>
      </c>
      <c r="L719">
        <f>IF(AND(Table2[[#This Row],[Outcome]]=1,Table2[[#This Row],[Glucose]]&gt;=100),1,0)</f>
        <v>0</v>
      </c>
    </row>
    <row r="720" spans="1:12" x14ac:dyDescent="0.25">
      <c r="A720">
        <v>1</v>
      </c>
      <c r="B720">
        <v>108</v>
      </c>
      <c r="C720">
        <v>60</v>
      </c>
      <c r="D720">
        <v>46</v>
      </c>
      <c r="E720">
        <v>178</v>
      </c>
      <c r="F720">
        <v>36</v>
      </c>
      <c r="G720">
        <v>0.67200000000000004</v>
      </c>
      <c r="H720">
        <v>24</v>
      </c>
      <c r="I720">
        <v>0</v>
      </c>
      <c r="J720">
        <f>IF(AND(Table2[[#This Row],[BMI]]&gt;=23,Table2[[#This Row],[Outcome]]=1),1,0)</f>
        <v>0</v>
      </c>
      <c r="K720">
        <f>IF(AND(Table2[[#This Row],[BMI+Outcome]]=1,Table2[[#This Row],[Glucose]]&gt;=100),1,0)</f>
        <v>0</v>
      </c>
      <c r="L720">
        <f>IF(AND(Table2[[#This Row],[Outcome]]=1,Table2[[#This Row],[Glucose]]&gt;=100),1,0)</f>
        <v>0</v>
      </c>
    </row>
    <row r="721" spans="1:12" x14ac:dyDescent="0.25">
      <c r="A721">
        <v>5</v>
      </c>
      <c r="B721">
        <v>97</v>
      </c>
      <c r="C721">
        <v>76</v>
      </c>
      <c r="D721">
        <v>27</v>
      </c>
      <c r="E721">
        <v>80</v>
      </c>
      <c r="F721">
        <v>36</v>
      </c>
      <c r="G721">
        <v>0.67200000000000004</v>
      </c>
      <c r="H721">
        <v>52</v>
      </c>
      <c r="I721">
        <v>1</v>
      </c>
      <c r="J721">
        <f>IF(AND(Table2[[#This Row],[BMI]]&gt;=23,Table2[[#This Row],[Outcome]]=1),1,0)</f>
        <v>1</v>
      </c>
      <c r="K721">
        <f>IF(AND(Table2[[#This Row],[BMI+Outcome]]=1,Table2[[#This Row],[Glucose]]&gt;=100),1,0)</f>
        <v>0</v>
      </c>
      <c r="L721">
        <f>IF(AND(Table2[[#This Row],[Outcome]]=1,Table2[[#This Row],[Glucose]]&gt;=100),1,0)</f>
        <v>0</v>
      </c>
    </row>
    <row r="722" spans="1:12" x14ac:dyDescent="0.25">
      <c r="A722">
        <v>4</v>
      </c>
      <c r="B722">
        <v>83</v>
      </c>
      <c r="C722">
        <v>86</v>
      </c>
      <c r="D722">
        <v>19</v>
      </c>
      <c r="E722">
        <v>80</v>
      </c>
      <c r="F722">
        <v>29</v>
      </c>
      <c r="G722">
        <v>0.67200000000000004</v>
      </c>
      <c r="H722">
        <v>34</v>
      </c>
      <c r="I722">
        <v>0</v>
      </c>
      <c r="J722">
        <f>IF(AND(Table2[[#This Row],[BMI]]&gt;=23,Table2[[#This Row],[Outcome]]=1),1,0)</f>
        <v>0</v>
      </c>
      <c r="K722">
        <f>IF(AND(Table2[[#This Row],[BMI+Outcome]]=1,Table2[[#This Row],[Glucose]]&gt;=100),1,0)</f>
        <v>0</v>
      </c>
      <c r="L722">
        <f>IF(AND(Table2[[#This Row],[Outcome]]=1,Table2[[#This Row],[Glucose]]&gt;=100),1,0)</f>
        <v>0</v>
      </c>
    </row>
    <row r="723" spans="1:12" x14ac:dyDescent="0.25">
      <c r="A723">
        <v>1</v>
      </c>
      <c r="B723">
        <v>114</v>
      </c>
      <c r="C723">
        <v>66</v>
      </c>
      <c r="D723">
        <v>36</v>
      </c>
      <c r="E723">
        <v>200</v>
      </c>
      <c r="F723">
        <v>38</v>
      </c>
      <c r="G723">
        <v>0.67200000000000004</v>
      </c>
      <c r="H723">
        <v>21</v>
      </c>
      <c r="I723">
        <v>0</v>
      </c>
      <c r="J723">
        <f>IF(AND(Table2[[#This Row],[BMI]]&gt;=23,Table2[[#This Row],[Outcome]]=1),1,0)</f>
        <v>0</v>
      </c>
      <c r="K723">
        <f>IF(AND(Table2[[#This Row],[BMI+Outcome]]=1,Table2[[#This Row],[Glucose]]&gt;=100),1,0)</f>
        <v>0</v>
      </c>
      <c r="L723">
        <f>IF(AND(Table2[[#This Row],[Outcome]]=1,Table2[[#This Row],[Glucose]]&gt;=100),1,0)</f>
        <v>0</v>
      </c>
    </row>
    <row r="724" spans="1:12" x14ac:dyDescent="0.25">
      <c r="A724">
        <v>1</v>
      </c>
      <c r="B724">
        <v>149</v>
      </c>
      <c r="C724">
        <v>68</v>
      </c>
      <c r="D724">
        <v>29</v>
      </c>
      <c r="E724">
        <v>127</v>
      </c>
      <c r="F724">
        <v>29</v>
      </c>
      <c r="G724">
        <v>0.67200000000000004</v>
      </c>
      <c r="H724">
        <v>42</v>
      </c>
      <c r="I724">
        <v>1</v>
      </c>
      <c r="J724">
        <f>IF(AND(Table2[[#This Row],[BMI]]&gt;=23,Table2[[#This Row],[Outcome]]=1),1,0)</f>
        <v>1</v>
      </c>
      <c r="K724">
        <f>IF(AND(Table2[[#This Row],[BMI+Outcome]]=1,Table2[[#This Row],[Glucose]]&gt;=100),1,0)</f>
        <v>1</v>
      </c>
      <c r="L724">
        <f>IF(AND(Table2[[#This Row],[Outcome]]=1,Table2[[#This Row],[Glucose]]&gt;=100),1,0)</f>
        <v>1</v>
      </c>
    </row>
    <row r="725" spans="1:12" x14ac:dyDescent="0.25">
      <c r="A725">
        <v>5</v>
      </c>
      <c r="B725">
        <v>117</v>
      </c>
      <c r="C725">
        <v>86</v>
      </c>
      <c r="D725">
        <v>30</v>
      </c>
      <c r="E725">
        <v>105</v>
      </c>
      <c r="F725">
        <v>39</v>
      </c>
      <c r="G725">
        <v>0.67200000000000004</v>
      </c>
      <c r="H725">
        <v>42</v>
      </c>
      <c r="I725">
        <v>0</v>
      </c>
      <c r="J725">
        <f>IF(AND(Table2[[#This Row],[BMI]]&gt;=23,Table2[[#This Row],[Outcome]]=1),1,0)</f>
        <v>0</v>
      </c>
      <c r="K725">
        <f>IF(AND(Table2[[#This Row],[BMI+Outcome]]=1,Table2[[#This Row],[Glucose]]&gt;=100),1,0)</f>
        <v>0</v>
      </c>
      <c r="L725">
        <f>IF(AND(Table2[[#This Row],[Outcome]]=1,Table2[[#This Row],[Glucose]]&gt;=100),1,0)</f>
        <v>0</v>
      </c>
    </row>
    <row r="726" spans="1:12" x14ac:dyDescent="0.25">
      <c r="A726">
        <v>1</v>
      </c>
      <c r="B726">
        <v>111</v>
      </c>
      <c r="C726">
        <v>94</v>
      </c>
      <c r="D726">
        <v>21</v>
      </c>
      <c r="E726">
        <v>80</v>
      </c>
      <c r="F726">
        <v>33</v>
      </c>
      <c r="G726">
        <v>0.67200000000000004</v>
      </c>
      <c r="H726">
        <v>45</v>
      </c>
      <c r="I726">
        <v>0</v>
      </c>
      <c r="J726">
        <f>IF(AND(Table2[[#This Row],[BMI]]&gt;=23,Table2[[#This Row],[Outcome]]=1),1,0)</f>
        <v>0</v>
      </c>
      <c r="K726">
        <f>IF(AND(Table2[[#This Row],[BMI+Outcome]]=1,Table2[[#This Row],[Glucose]]&gt;=100),1,0)</f>
        <v>0</v>
      </c>
      <c r="L726">
        <f>IF(AND(Table2[[#This Row],[Outcome]]=1,Table2[[#This Row],[Glucose]]&gt;=100),1,0)</f>
        <v>0</v>
      </c>
    </row>
    <row r="727" spans="1:12" x14ac:dyDescent="0.25">
      <c r="A727">
        <v>4</v>
      </c>
      <c r="B727">
        <v>112</v>
      </c>
      <c r="C727">
        <v>78</v>
      </c>
      <c r="D727">
        <v>40</v>
      </c>
      <c r="E727">
        <v>80</v>
      </c>
      <c r="F727">
        <v>39</v>
      </c>
      <c r="G727">
        <v>0.67200000000000004</v>
      </c>
      <c r="H727">
        <v>38</v>
      </c>
      <c r="I727">
        <v>0</v>
      </c>
      <c r="J727">
        <f>IF(AND(Table2[[#This Row],[BMI]]&gt;=23,Table2[[#This Row],[Outcome]]=1),1,0)</f>
        <v>0</v>
      </c>
      <c r="K727">
        <f>IF(AND(Table2[[#This Row],[BMI+Outcome]]=1,Table2[[#This Row],[Glucose]]&gt;=100),1,0)</f>
        <v>0</v>
      </c>
      <c r="L727">
        <f>IF(AND(Table2[[#This Row],[Outcome]]=1,Table2[[#This Row],[Glucose]]&gt;=100),1,0)</f>
        <v>0</v>
      </c>
    </row>
    <row r="728" spans="1:12" x14ac:dyDescent="0.25">
      <c r="A728">
        <v>1</v>
      </c>
      <c r="B728">
        <v>116</v>
      </c>
      <c r="C728">
        <v>78</v>
      </c>
      <c r="D728">
        <v>29</v>
      </c>
      <c r="E728">
        <v>180</v>
      </c>
      <c r="F728">
        <v>36</v>
      </c>
      <c r="G728">
        <v>0.67200000000000004</v>
      </c>
      <c r="H728">
        <v>25</v>
      </c>
      <c r="I728">
        <v>0</v>
      </c>
      <c r="J728">
        <f>IF(AND(Table2[[#This Row],[BMI]]&gt;=23,Table2[[#This Row],[Outcome]]=1),1,0)</f>
        <v>0</v>
      </c>
      <c r="K728">
        <f>IF(AND(Table2[[#This Row],[BMI+Outcome]]=1,Table2[[#This Row],[Glucose]]&gt;=100),1,0)</f>
        <v>0</v>
      </c>
      <c r="L728">
        <f>IF(AND(Table2[[#This Row],[Outcome]]=1,Table2[[#This Row],[Glucose]]&gt;=100),1,0)</f>
        <v>0</v>
      </c>
    </row>
    <row r="729" spans="1:12" x14ac:dyDescent="0.25">
      <c r="A729">
        <v>4</v>
      </c>
      <c r="B729">
        <v>141</v>
      </c>
      <c r="C729">
        <v>84</v>
      </c>
      <c r="D729">
        <v>26</v>
      </c>
      <c r="E729">
        <v>80</v>
      </c>
      <c r="F729">
        <v>32</v>
      </c>
      <c r="G729">
        <v>0.67200000000000004</v>
      </c>
      <c r="H729">
        <v>22</v>
      </c>
      <c r="I729">
        <v>0</v>
      </c>
      <c r="J729">
        <f>IF(AND(Table2[[#This Row],[BMI]]&gt;=23,Table2[[#This Row],[Outcome]]=1),1,0)</f>
        <v>0</v>
      </c>
      <c r="K729">
        <f>IF(AND(Table2[[#This Row],[BMI+Outcome]]=1,Table2[[#This Row],[Glucose]]&gt;=100),1,0)</f>
        <v>0</v>
      </c>
      <c r="L729">
        <f>IF(AND(Table2[[#This Row],[Outcome]]=1,Table2[[#This Row],[Glucose]]&gt;=100),1,0)</f>
        <v>0</v>
      </c>
    </row>
    <row r="730" spans="1:12" x14ac:dyDescent="0.25">
      <c r="A730">
        <v>2</v>
      </c>
      <c r="B730">
        <v>175</v>
      </c>
      <c r="C730">
        <v>88</v>
      </c>
      <c r="D730">
        <v>21</v>
      </c>
      <c r="E730">
        <v>80</v>
      </c>
      <c r="F730">
        <v>23</v>
      </c>
      <c r="G730">
        <v>0.67200000000000004</v>
      </c>
      <c r="H730">
        <v>22</v>
      </c>
      <c r="I730">
        <v>0</v>
      </c>
      <c r="J730">
        <f>IF(AND(Table2[[#This Row],[BMI]]&gt;=23,Table2[[#This Row],[Outcome]]=1),1,0)</f>
        <v>0</v>
      </c>
      <c r="K730">
        <f>IF(AND(Table2[[#This Row],[BMI+Outcome]]=1,Table2[[#This Row],[Glucose]]&gt;=100),1,0)</f>
        <v>0</v>
      </c>
      <c r="L730">
        <f>IF(AND(Table2[[#This Row],[Outcome]]=1,Table2[[#This Row],[Glucose]]&gt;=100),1,0)</f>
        <v>0</v>
      </c>
    </row>
    <row r="731" spans="1:12" x14ac:dyDescent="0.25">
      <c r="A731">
        <v>2</v>
      </c>
      <c r="B731">
        <v>92</v>
      </c>
      <c r="C731">
        <v>52</v>
      </c>
      <c r="D731">
        <v>21</v>
      </c>
      <c r="E731">
        <v>80</v>
      </c>
      <c r="F731">
        <v>30</v>
      </c>
      <c r="G731">
        <v>0.67200000000000004</v>
      </c>
      <c r="H731">
        <v>22</v>
      </c>
      <c r="I731">
        <v>0</v>
      </c>
      <c r="J731">
        <f>IF(AND(Table2[[#This Row],[BMI]]&gt;=23,Table2[[#This Row],[Outcome]]=1),1,0)</f>
        <v>0</v>
      </c>
      <c r="K731">
        <f>IF(AND(Table2[[#This Row],[BMI+Outcome]]=1,Table2[[#This Row],[Glucose]]&gt;=100),1,0)</f>
        <v>0</v>
      </c>
      <c r="L731">
        <f>IF(AND(Table2[[#This Row],[Outcome]]=1,Table2[[#This Row],[Glucose]]&gt;=100),1,0)</f>
        <v>0</v>
      </c>
    </row>
    <row r="732" spans="1:12" x14ac:dyDescent="0.25">
      <c r="A732">
        <v>3</v>
      </c>
      <c r="B732">
        <v>130</v>
      </c>
      <c r="C732">
        <v>78</v>
      </c>
      <c r="D732">
        <v>23</v>
      </c>
      <c r="E732">
        <v>79</v>
      </c>
      <c r="F732">
        <v>28</v>
      </c>
      <c r="G732">
        <v>0.67200000000000004</v>
      </c>
      <c r="H732">
        <v>34</v>
      </c>
      <c r="I732">
        <v>1</v>
      </c>
      <c r="J732">
        <f>IF(AND(Table2[[#This Row],[BMI]]&gt;=23,Table2[[#This Row],[Outcome]]=1),1,0)</f>
        <v>1</v>
      </c>
      <c r="K732">
        <f>IF(AND(Table2[[#This Row],[BMI+Outcome]]=1,Table2[[#This Row],[Glucose]]&gt;=100),1,0)</f>
        <v>1</v>
      </c>
      <c r="L732">
        <f>IF(AND(Table2[[#This Row],[Outcome]]=1,Table2[[#This Row],[Glucose]]&gt;=100),1,0)</f>
        <v>1</v>
      </c>
    </row>
    <row r="733" spans="1:12" x14ac:dyDescent="0.25">
      <c r="A733">
        <v>8</v>
      </c>
      <c r="B733">
        <v>120</v>
      </c>
      <c r="C733">
        <v>86</v>
      </c>
      <c r="D733">
        <v>21</v>
      </c>
      <c r="E733">
        <v>80</v>
      </c>
      <c r="F733">
        <v>28</v>
      </c>
      <c r="G733">
        <v>0.67200000000000004</v>
      </c>
      <c r="H733">
        <v>22</v>
      </c>
      <c r="I733">
        <v>1</v>
      </c>
      <c r="J733">
        <f>IF(AND(Table2[[#This Row],[BMI]]&gt;=23,Table2[[#This Row],[Outcome]]=1),1,0)</f>
        <v>1</v>
      </c>
      <c r="K733">
        <f>IF(AND(Table2[[#This Row],[BMI+Outcome]]=1,Table2[[#This Row],[Glucose]]&gt;=100),1,0)</f>
        <v>1</v>
      </c>
      <c r="L733">
        <f>IF(AND(Table2[[#This Row],[Outcome]]=1,Table2[[#This Row],[Glucose]]&gt;=100),1,0)</f>
        <v>1</v>
      </c>
    </row>
    <row r="734" spans="1:12" x14ac:dyDescent="0.25">
      <c r="A734">
        <v>2</v>
      </c>
      <c r="B734">
        <v>174</v>
      </c>
      <c r="C734">
        <v>88</v>
      </c>
      <c r="D734">
        <v>37</v>
      </c>
      <c r="E734">
        <v>120</v>
      </c>
      <c r="F734">
        <v>44</v>
      </c>
      <c r="G734">
        <v>0.67200000000000004</v>
      </c>
      <c r="H734">
        <v>24</v>
      </c>
      <c r="I734">
        <v>1</v>
      </c>
      <c r="J734">
        <f>IF(AND(Table2[[#This Row],[BMI]]&gt;=23,Table2[[#This Row],[Outcome]]=1),1,0)</f>
        <v>1</v>
      </c>
      <c r="K734">
        <f>IF(AND(Table2[[#This Row],[BMI+Outcome]]=1,Table2[[#This Row],[Glucose]]&gt;=100),1,0)</f>
        <v>1</v>
      </c>
      <c r="L734">
        <f>IF(AND(Table2[[#This Row],[Outcome]]=1,Table2[[#This Row],[Glucose]]&gt;=100),1,0)</f>
        <v>1</v>
      </c>
    </row>
    <row r="735" spans="1:12" x14ac:dyDescent="0.25">
      <c r="A735">
        <v>2</v>
      </c>
      <c r="B735">
        <v>106</v>
      </c>
      <c r="C735">
        <v>56</v>
      </c>
      <c r="D735">
        <v>27</v>
      </c>
      <c r="E735">
        <v>165</v>
      </c>
      <c r="F735">
        <v>29</v>
      </c>
      <c r="G735">
        <v>0.67200000000000004</v>
      </c>
      <c r="H735">
        <v>22</v>
      </c>
      <c r="I735">
        <v>0</v>
      </c>
      <c r="J735">
        <f>IF(AND(Table2[[#This Row],[BMI]]&gt;=23,Table2[[#This Row],[Outcome]]=1),1,0)</f>
        <v>0</v>
      </c>
      <c r="K735">
        <f>IF(AND(Table2[[#This Row],[BMI+Outcome]]=1,Table2[[#This Row],[Glucose]]&gt;=100),1,0)</f>
        <v>0</v>
      </c>
      <c r="L735">
        <f>IF(AND(Table2[[#This Row],[Outcome]]=1,Table2[[#This Row],[Glucose]]&gt;=100),1,0)</f>
        <v>0</v>
      </c>
    </row>
    <row r="736" spans="1:12" x14ac:dyDescent="0.25">
      <c r="A736">
        <v>2</v>
      </c>
      <c r="B736">
        <v>105</v>
      </c>
      <c r="C736">
        <v>75</v>
      </c>
      <c r="D736">
        <v>21</v>
      </c>
      <c r="E736">
        <v>80</v>
      </c>
      <c r="F736">
        <v>23</v>
      </c>
      <c r="G736">
        <v>0.67200000000000004</v>
      </c>
      <c r="H736">
        <v>53</v>
      </c>
      <c r="I736">
        <v>0</v>
      </c>
      <c r="J736">
        <f>IF(AND(Table2[[#This Row],[BMI]]&gt;=23,Table2[[#This Row],[Outcome]]=1),1,0)</f>
        <v>0</v>
      </c>
      <c r="K736">
        <f>IF(AND(Table2[[#This Row],[BMI+Outcome]]=1,Table2[[#This Row],[Glucose]]&gt;=100),1,0)</f>
        <v>0</v>
      </c>
      <c r="L736">
        <f>IF(AND(Table2[[#This Row],[Outcome]]=1,Table2[[#This Row],[Glucose]]&gt;=100),1,0)</f>
        <v>0</v>
      </c>
    </row>
    <row r="737" spans="1:12" x14ac:dyDescent="0.25">
      <c r="A737">
        <v>4</v>
      </c>
      <c r="B737">
        <v>95</v>
      </c>
      <c r="C737">
        <v>60</v>
      </c>
      <c r="D737">
        <v>32</v>
      </c>
      <c r="E737">
        <v>80</v>
      </c>
      <c r="F737">
        <v>35</v>
      </c>
      <c r="G737">
        <v>0.67200000000000004</v>
      </c>
      <c r="H737">
        <v>28</v>
      </c>
      <c r="I737">
        <v>0</v>
      </c>
      <c r="J737">
        <f>IF(AND(Table2[[#This Row],[BMI]]&gt;=23,Table2[[#This Row],[Outcome]]=1),1,0)</f>
        <v>0</v>
      </c>
      <c r="K737">
        <f>IF(AND(Table2[[#This Row],[BMI+Outcome]]=1,Table2[[#This Row],[Glucose]]&gt;=100),1,0)</f>
        <v>0</v>
      </c>
      <c r="L737">
        <f>IF(AND(Table2[[#This Row],[Outcome]]=1,Table2[[#This Row],[Glucose]]&gt;=100),1,0)</f>
        <v>0</v>
      </c>
    </row>
    <row r="738" spans="1:12" x14ac:dyDescent="0.25">
      <c r="A738">
        <v>4</v>
      </c>
      <c r="B738">
        <v>126</v>
      </c>
      <c r="C738">
        <v>86</v>
      </c>
      <c r="D738">
        <v>27</v>
      </c>
      <c r="E738">
        <v>120</v>
      </c>
      <c r="F738">
        <v>27</v>
      </c>
      <c r="G738">
        <v>0.67200000000000004</v>
      </c>
      <c r="H738">
        <v>21</v>
      </c>
      <c r="I738">
        <v>0</v>
      </c>
      <c r="J738">
        <f>IF(AND(Table2[[#This Row],[BMI]]&gt;=23,Table2[[#This Row],[Outcome]]=1),1,0)</f>
        <v>0</v>
      </c>
      <c r="K738">
        <f>IF(AND(Table2[[#This Row],[BMI+Outcome]]=1,Table2[[#This Row],[Glucose]]&gt;=100),1,0)</f>
        <v>0</v>
      </c>
      <c r="L738">
        <f>IF(AND(Table2[[#This Row],[Outcome]]=1,Table2[[#This Row],[Glucose]]&gt;=100),1,0)</f>
        <v>0</v>
      </c>
    </row>
    <row r="739" spans="1:12" x14ac:dyDescent="0.25">
      <c r="A739">
        <v>8</v>
      </c>
      <c r="B739">
        <v>65</v>
      </c>
      <c r="C739">
        <v>72</v>
      </c>
      <c r="D739">
        <v>23</v>
      </c>
      <c r="E739">
        <v>80</v>
      </c>
      <c r="F739">
        <v>32</v>
      </c>
      <c r="G739">
        <v>0.67200000000000004</v>
      </c>
      <c r="H739">
        <v>42</v>
      </c>
      <c r="I739">
        <v>0</v>
      </c>
      <c r="J739">
        <f>IF(AND(Table2[[#This Row],[BMI]]&gt;=23,Table2[[#This Row],[Outcome]]=1),1,0)</f>
        <v>0</v>
      </c>
      <c r="K739">
        <f>IF(AND(Table2[[#This Row],[BMI+Outcome]]=1,Table2[[#This Row],[Glucose]]&gt;=100),1,0)</f>
        <v>0</v>
      </c>
      <c r="L739">
        <f>IF(AND(Table2[[#This Row],[Outcome]]=1,Table2[[#This Row],[Glucose]]&gt;=100),1,0)</f>
        <v>0</v>
      </c>
    </row>
    <row r="740" spans="1:12" x14ac:dyDescent="0.25">
      <c r="A740">
        <v>2</v>
      </c>
      <c r="B740">
        <v>99</v>
      </c>
      <c r="C740">
        <v>60</v>
      </c>
      <c r="D740">
        <v>17</v>
      </c>
      <c r="E740">
        <v>160</v>
      </c>
      <c r="F740">
        <v>37</v>
      </c>
      <c r="G740">
        <v>0.67200000000000004</v>
      </c>
      <c r="H740">
        <v>21</v>
      </c>
      <c r="I740">
        <v>0</v>
      </c>
      <c r="J740">
        <f>IF(AND(Table2[[#This Row],[BMI]]&gt;=23,Table2[[#This Row],[Outcome]]=1),1,0)</f>
        <v>0</v>
      </c>
      <c r="K740">
        <f>IF(AND(Table2[[#This Row],[BMI+Outcome]]=1,Table2[[#This Row],[Glucose]]&gt;=100),1,0)</f>
        <v>0</v>
      </c>
      <c r="L740">
        <f>IF(AND(Table2[[#This Row],[Outcome]]=1,Table2[[#This Row],[Glucose]]&gt;=100),1,0)</f>
        <v>0</v>
      </c>
    </row>
    <row r="741" spans="1:12" x14ac:dyDescent="0.25">
      <c r="A741">
        <v>1</v>
      </c>
      <c r="B741">
        <v>102</v>
      </c>
      <c r="C741">
        <v>74</v>
      </c>
      <c r="D741">
        <v>21</v>
      </c>
      <c r="E741">
        <v>80</v>
      </c>
      <c r="F741">
        <v>40</v>
      </c>
      <c r="G741">
        <v>0.67200000000000004</v>
      </c>
      <c r="H741">
        <v>42</v>
      </c>
      <c r="I741">
        <v>1</v>
      </c>
      <c r="J741">
        <f>IF(AND(Table2[[#This Row],[BMI]]&gt;=23,Table2[[#This Row],[Outcome]]=1),1,0)</f>
        <v>1</v>
      </c>
      <c r="K741">
        <f>IF(AND(Table2[[#This Row],[BMI+Outcome]]=1,Table2[[#This Row],[Glucose]]&gt;=100),1,0)</f>
        <v>1</v>
      </c>
      <c r="L741">
        <f>IF(AND(Table2[[#This Row],[Outcome]]=1,Table2[[#This Row],[Glucose]]&gt;=100),1,0)</f>
        <v>1</v>
      </c>
    </row>
    <row r="742" spans="1:12" x14ac:dyDescent="0.25">
      <c r="A742">
        <v>11</v>
      </c>
      <c r="B742">
        <v>120</v>
      </c>
      <c r="C742">
        <v>80</v>
      </c>
      <c r="D742">
        <v>37</v>
      </c>
      <c r="E742">
        <v>150</v>
      </c>
      <c r="F742">
        <v>42</v>
      </c>
      <c r="G742">
        <v>0.67200000000000004</v>
      </c>
      <c r="H742">
        <v>48</v>
      </c>
      <c r="I742">
        <v>1</v>
      </c>
      <c r="J742">
        <f>IF(AND(Table2[[#This Row],[BMI]]&gt;=23,Table2[[#This Row],[Outcome]]=1),1,0)</f>
        <v>1</v>
      </c>
      <c r="K742">
        <f>IF(AND(Table2[[#This Row],[BMI+Outcome]]=1,Table2[[#This Row],[Glucose]]&gt;=100),1,0)</f>
        <v>1</v>
      </c>
      <c r="L742">
        <f>IF(AND(Table2[[#This Row],[Outcome]]=1,Table2[[#This Row],[Glucose]]&gt;=100),1,0)</f>
        <v>1</v>
      </c>
    </row>
    <row r="743" spans="1:12" x14ac:dyDescent="0.25">
      <c r="A743">
        <v>3</v>
      </c>
      <c r="B743">
        <v>102</v>
      </c>
      <c r="C743">
        <v>44</v>
      </c>
      <c r="D743">
        <v>20</v>
      </c>
      <c r="E743">
        <v>94</v>
      </c>
      <c r="F743">
        <v>31</v>
      </c>
      <c r="G743">
        <v>0.67200000000000004</v>
      </c>
      <c r="H743">
        <v>26</v>
      </c>
      <c r="I743">
        <v>0</v>
      </c>
      <c r="J743">
        <f>IF(AND(Table2[[#This Row],[BMI]]&gt;=23,Table2[[#This Row],[Outcome]]=1),1,0)</f>
        <v>0</v>
      </c>
      <c r="K743">
        <f>IF(AND(Table2[[#This Row],[BMI+Outcome]]=1,Table2[[#This Row],[Glucose]]&gt;=100),1,0)</f>
        <v>0</v>
      </c>
      <c r="L743">
        <f>IF(AND(Table2[[#This Row],[Outcome]]=1,Table2[[#This Row],[Glucose]]&gt;=100),1,0)</f>
        <v>0</v>
      </c>
    </row>
    <row r="744" spans="1:12" x14ac:dyDescent="0.25">
      <c r="A744">
        <v>1</v>
      </c>
      <c r="B744">
        <v>109</v>
      </c>
      <c r="C744">
        <v>58</v>
      </c>
      <c r="D744">
        <v>18</v>
      </c>
      <c r="E744">
        <v>116</v>
      </c>
      <c r="F744">
        <v>28</v>
      </c>
      <c r="G744">
        <v>0.67200000000000004</v>
      </c>
      <c r="H744">
        <v>22</v>
      </c>
      <c r="I744">
        <v>0</v>
      </c>
      <c r="J744">
        <f>IF(AND(Table2[[#This Row],[BMI]]&gt;=23,Table2[[#This Row],[Outcome]]=1),1,0)</f>
        <v>0</v>
      </c>
      <c r="K744">
        <f>IF(AND(Table2[[#This Row],[BMI+Outcome]]=1,Table2[[#This Row],[Glucose]]&gt;=100),1,0)</f>
        <v>0</v>
      </c>
      <c r="L744">
        <f>IF(AND(Table2[[#This Row],[Outcome]]=1,Table2[[#This Row],[Glucose]]&gt;=100),1,0)</f>
        <v>0</v>
      </c>
    </row>
    <row r="745" spans="1:12" x14ac:dyDescent="0.25">
      <c r="A745">
        <v>9</v>
      </c>
      <c r="B745">
        <v>140</v>
      </c>
      <c r="C745">
        <v>94</v>
      </c>
      <c r="D745">
        <v>21</v>
      </c>
      <c r="E745">
        <v>80</v>
      </c>
      <c r="F745">
        <v>33</v>
      </c>
      <c r="G745">
        <v>0.67200000000000004</v>
      </c>
      <c r="H745">
        <v>45</v>
      </c>
      <c r="I745">
        <v>1</v>
      </c>
      <c r="J745">
        <f>IF(AND(Table2[[#This Row],[BMI]]&gt;=23,Table2[[#This Row],[Outcome]]=1),1,0)</f>
        <v>1</v>
      </c>
      <c r="K745">
        <f>IF(AND(Table2[[#This Row],[BMI+Outcome]]=1,Table2[[#This Row],[Glucose]]&gt;=100),1,0)</f>
        <v>1</v>
      </c>
      <c r="L745">
        <f>IF(AND(Table2[[#This Row],[Outcome]]=1,Table2[[#This Row],[Glucose]]&gt;=100),1,0)</f>
        <v>1</v>
      </c>
    </row>
    <row r="746" spans="1:12" x14ac:dyDescent="0.25">
      <c r="A746">
        <v>13</v>
      </c>
      <c r="B746">
        <v>153</v>
      </c>
      <c r="C746">
        <v>88</v>
      </c>
      <c r="D746">
        <v>37</v>
      </c>
      <c r="E746">
        <v>140</v>
      </c>
      <c r="F746">
        <v>41</v>
      </c>
      <c r="G746">
        <v>0.67200000000000004</v>
      </c>
      <c r="H746">
        <v>39</v>
      </c>
      <c r="I746">
        <v>0</v>
      </c>
      <c r="J746">
        <f>IF(AND(Table2[[#This Row],[BMI]]&gt;=23,Table2[[#This Row],[Outcome]]=1),1,0)</f>
        <v>0</v>
      </c>
      <c r="K746">
        <f>IF(AND(Table2[[#This Row],[BMI+Outcome]]=1,Table2[[#This Row],[Glucose]]&gt;=100),1,0)</f>
        <v>0</v>
      </c>
      <c r="L746">
        <f>IF(AND(Table2[[#This Row],[Outcome]]=1,Table2[[#This Row],[Glucose]]&gt;=100),1,0)</f>
        <v>0</v>
      </c>
    </row>
    <row r="747" spans="1:12" x14ac:dyDescent="0.25">
      <c r="A747">
        <v>12</v>
      </c>
      <c r="B747">
        <v>100</v>
      </c>
      <c r="C747">
        <v>84</v>
      </c>
      <c r="D747">
        <v>33</v>
      </c>
      <c r="E747">
        <v>105</v>
      </c>
      <c r="F747">
        <v>30</v>
      </c>
      <c r="G747">
        <v>0.67200000000000004</v>
      </c>
      <c r="H747">
        <v>46</v>
      </c>
      <c r="I747">
        <v>0</v>
      </c>
      <c r="J747">
        <f>IF(AND(Table2[[#This Row],[BMI]]&gt;=23,Table2[[#This Row],[Outcome]]=1),1,0)</f>
        <v>0</v>
      </c>
      <c r="K747">
        <f>IF(AND(Table2[[#This Row],[BMI+Outcome]]=1,Table2[[#This Row],[Glucose]]&gt;=100),1,0)</f>
        <v>0</v>
      </c>
      <c r="L747">
        <f>IF(AND(Table2[[#This Row],[Outcome]]=1,Table2[[#This Row],[Glucose]]&gt;=100),1,0)</f>
        <v>0</v>
      </c>
    </row>
    <row r="748" spans="1:12" x14ac:dyDescent="0.25">
      <c r="A748">
        <v>1</v>
      </c>
      <c r="B748">
        <v>147</v>
      </c>
      <c r="C748">
        <v>94</v>
      </c>
      <c r="D748">
        <v>41</v>
      </c>
      <c r="E748">
        <v>80</v>
      </c>
      <c r="F748">
        <v>49</v>
      </c>
      <c r="G748">
        <v>0.67200000000000004</v>
      </c>
      <c r="H748">
        <v>27</v>
      </c>
      <c r="I748">
        <v>1</v>
      </c>
      <c r="J748">
        <f>IF(AND(Table2[[#This Row],[BMI]]&gt;=23,Table2[[#This Row],[Outcome]]=1),1,0)</f>
        <v>1</v>
      </c>
      <c r="K748">
        <f>IF(AND(Table2[[#This Row],[BMI+Outcome]]=1,Table2[[#This Row],[Glucose]]&gt;=100),1,0)</f>
        <v>1</v>
      </c>
      <c r="L748">
        <f>IF(AND(Table2[[#This Row],[Outcome]]=1,Table2[[#This Row],[Glucose]]&gt;=100),1,0)</f>
        <v>1</v>
      </c>
    </row>
    <row r="749" spans="1:12" x14ac:dyDescent="0.25">
      <c r="A749">
        <v>1</v>
      </c>
      <c r="B749">
        <v>81</v>
      </c>
      <c r="C749">
        <v>74</v>
      </c>
      <c r="D749">
        <v>41</v>
      </c>
      <c r="E749">
        <v>57</v>
      </c>
      <c r="F749">
        <v>46</v>
      </c>
      <c r="G749">
        <v>0.67200000000000004</v>
      </c>
      <c r="H749">
        <v>32</v>
      </c>
      <c r="I749">
        <v>0</v>
      </c>
      <c r="J749">
        <f>IF(AND(Table2[[#This Row],[BMI]]&gt;=23,Table2[[#This Row],[Outcome]]=1),1,0)</f>
        <v>0</v>
      </c>
      <c r="K749">
        <f>IF(AND(Table2[[#This Row],[BMI+Outcome]]=1,Table2[[#This Row],[Glucose]]&gt;=100),1,0)</f>
        <v>0</v>
      </c>
      <c r="L749">
        <f>IF(AND(Table2[[#This Row],[Outcome]]=1,Table2[[#This Row],[Glucose]]&gt;=100),1,0)</f>
        <v>0</v>
      </c>
    </row>
    <row r="750" spans="1:12" x14ac:dyDescent="0.25">
      <c r="A750">
        <v>3</v>
      </c>
      <c r="B750">
        <v>187</v>
      </c>
      <c r="C750">
        <v>70</v>
      </c>
      <c r="D750">
        <v>22</v>
      </c>
      <c r="E750">
        <v>200</v>
      </c>
      <c r="F750">
        <v>36</v>
      </c>
      <c r="G750">
        <v>0.67200000000000004</v>
      </c>
      <c r="H750">
        <v>36</v>
      </c>
      <c r="I750">
        <v>1</v>
      </c>
      <c r="J750">
        <f>IF(AND(Table2[[#This Row],[BMI]]&gt;=23,Table2[[#This Row],[Outcome]]=1),1,0)</f>
        <v>1</v>
      </c>
      <c r="K750">
        <f>IF(AND(Table2[[#This Row],[BMI+Outcome]]=1,Table2[[#This Row],[Glucose]]&gt;=100),1,0)</f>
        <v>1</v>
      </c>
      <c r="L750">
        <f>IF(AND(Table2[[#This Row],[Outcome]]=1,Table2[[#This Row],[Glucose]]&gt;=100),1,0)</f>
        <v>1</v>
      </c>
    </row>
    <row r="751" spans="1:12" x14ac:dyDescent="0.25">
      <c r="A751">
        <v>6</v>
      </c>
      <c r="B751">
        <v>162</v>
      </c>
      <c r="C751">
        <v>62</v>
      </c>
      <c r="D751">
        <v>21</v>
      </c>
      <c r="E751">
        <v>80</v>
      </c>
      <c r="F751">
        <v>24</v>
      </c>
      <c r="G751">
        <v>0.67200000000000004</v>
      </c>
      <c r="H751">
        <v>50</v>
      </c>
      <c r="I751">
        <v>1</v>
      </c>
      <c r="J751">
        <f>IF(AND(Table2[[#This Row],[BMI]]&gt;=23,Table2[[#This Row],[Outcome]]=1),1,0)</f>
        <v>1</v>
      </c>
      <c r="K751">
        <f>IF(AND(Table2[[#This Row],[BMI+Outcome]]=1,Table2[[#This Row],[Glucose]]&gt;=100),1,0)</f>
        <v>1</v>
      </c>
      <c r="L751">
        <f>IF(AND(Table2[[#This Row],[Outcome]]=1,Table2[[#This Row],[Glucose]]&gt;=100),1,0)</f>
        <v>1</v>
      </c>
    </row>
    <row r="752" spans="1:12" x14ac:dyDescent="0.25">
      <c r="A752">
        <v>4</v>
      </c>
      <c r="B752">
        <v>136</v>
      </c>
      <c r="C752">
        <v>70</v>
      </c>
      <c r="D752">
        <v>21</v>
      </c>
      <c r="E752">
        <v>80</v>
      </c>
      <c r="F752">
        <v>31</v>
      </c>
      <c r="G752">
        <v>0.67200000000000004</v>
      </c>
      <c r="H752">
        <v>22</v>
      </c>
      <c r="I752">
        <v>1</v>
      </c>
      <c r="J752">
        <f>IF(AND(Table2[[#This Row],[BMI]]&gt;=23,Table2[[#This Row],[Outcome]]=1),1,0)</f>
        <v>1</v>
      </c>
      <c r="K752">
        <f>IF(AND(Table2[[#This Row],[BMI+Outcome]]=1,Table2[[#This Row],[Glucose]]&gt;=100),1,0)</f>
        <v>1</v>
      </c>
      <c r="L752">
        <f>IF(AND(Table2[[#This Row],[Outcome]]=1,Table2[[#This Row],[Glucose]]&gt;=100),1,0)</f>
        <v>1</v>
      </c>
    </row>
    <row r="753" spans="1:12" x14ac:dyDescent="0.25">
      <c r="A753">
        <v>1</v>
      </c>
      <c r="B753">
        <v>121</v>
      </c>
      <c r="C753">
        <v>78</v>
      </c>
      <c r="D753">
        <v>39</v>
      </c>
      <c r="E753">
        <v>74</v>
      </c>
      <c r="F753">
        <v>39</v>
      </c>
      <c r="G753">
        <v>0.67200000000000004</v>
      </c>
      <c r="H753">
        <v>28</v>
      </c>
      <c r="I753">
        <v>0</v>
      </c>
      <c r="J753">
        <f>IF(AND(Table2[[#This Row],[BMI]]&gt;=23,Table2[[#This Row],[Outcome]]=1),1,0)</f>
        <v>0</v>
      </c>
      <c r="K753">
        <f>IF(AND(Table2[[#This Row],[BMI+Outcome]]=1,Table2[[#This Row],[Glucose]]&gt;=100),1,0)</f>
        <v>0</v>
      </c>
      <c r="L753">
        <f>IF(AND(Table2[[#This Row],[Outcome]]=1,Table2[[#This Row],[Glucose]]&gt;=100),1,0)</f>
        <v>0</v>
      </c>
    </row>
    <row r="754" spans="1:12" x14ac:dyDescent="0.25">
      <c r="A754">
        <v>3</v>
      </c>
      <c r="B754">
        <v>108</v>
      </c>
      <c r="C754">
        <v>62</v>
      </c>
      <c r="D754">
        <v>24</v>
      </c>
      <c r="E754">
        <v>80</v>
      </c>
      <c r="F754">
        <v>26</v>
      </c>
      <c r="G754">
        <v>0.67200000000000004</v>
      </c>
      <c r="H754">
        <v>25</v>
      </c>
      <c r="I754">
        <v>0</v>
      </c>
      <c r="J754">
        <f>IF(AND(Table2[[#This Row],[BMI]]&gt;=23,Table2[[#This Row],[Outcome]]=1),1,0)</f>
        <v>0</v>
      </c>
      <c r="K754">
        <f>IF(AND(Table2[[#This Row],[BMI+Outcome]]=1,Table2[[#This Row],[Glucose]]&gt;=100),1,0)</f>
        <v>0</v>
      </c>
      <c r="L754">
        <f>IF(AND(Table2[[#This Row],[Outcome]]=1,Table2[[#This Row],[Glucose]]&gt;=100),1,0)</f>
        <v>0</v>
      </c>
    </row>
    <row r="755" spans="1:12" x14ac:dyDescent="0.25">
      <c r="A755">
        <v>4</v>
      </c>
      <c r="B755">
        <v>181</v>
      </c>
      <c r="C755">
        <v>88</v>
      </c>
      <c r="D755">
        <v>44</v>
      </c>
      <c r="E755">
        <v>510</v>
      </c>
      <c r="F755">
        <v>43</v>
      </c>
      <c r="G755">
        <v>0.67200000000000004</v>
      </c>
      <c r="H755">
        <v>26</v>
      </c>
      <c r="I755">
        <v>1</v>
      </c>
      <c r="J755">
        <f>IF(AND(Table2[[#This Row],[BMI]]&gt;=23,Table2[[#This Row],[Outcome]]=1),1,0)</f>
        <v>1</v>
      </c>
      <c r="K755">
        <f>IF(AND(Table2[[#This Row],[BMI+Outcome]]=1,Table2[[#This Row],[Glucose]]&gt;=100),1,0)</f>
        <v>1</v>
      </c>
      <c r="L755">
        <f>IF(AND(Table2[[#This Row],[Outcome]]=1,Table2[[#This Row],[Glucose]]&gt;=100),1,0)</f>
        <v>1</v>
      </c>
    </row>
    <row r="756" spans="1:12" x14ac:dyDescent="0.25">
      <c r="A756">
        <v>8</v>
      </c>
      <c r="B756">
        <v>154</v>
      </c>
      <c r="C756">
        <v>78</v>
      </c>
      <c r="D756">
        <v>32</v>
      </c>
      <c r="E756">
        <v>80</v>
      </c>
      <c r="F756">
        <v>32</v>
      </c>
      <c r="G756">
        <v>0.67200000000000004</v>
      </c>
      <c r="H756">
        <v>45</v>
      </c>
      <c r="I756">
        <v>1</v>
      </c>
      <c r="J756">
        <f>IF(AND(Table2[[#This Row],[BMI]]&gt;=23,Table2[[#This Row],[Outcome]]=1),1,0)</f>
        <v>1</v>
      </c>
      <c r="K756">
        <f>IF(AND(Table2[[#This Row],[BMI+Outcome]]=1,Table2[[#This Row],[Glucose]]&gt;=100),1,0)</f>
        <v>1</v>
      </c>
      <c r="L756">
        <f>IF(AND(Table2[[#This Row],[Outcome]]=1,Table2[[#This Row],[Glucose]]&gt;=100),1,0)</f>
        <v>1</v>
      </c>
    </row>
    <row r="757" spans="1:12" x14ac:dyDescent="0.25">
      <c r="A757">
        <v>1</v>
      </c>
      <c r="B757">
        <v>128</v>
      </c>
      <c r="C757">
        <v>88</v>
      </c>
      <c r="D757">
        <v>39</v>
      </c>
      <c r="E757">
        <v>110</v>
      </c>
      <c r="F757">
        <v>36</v>
      </c>
      <c r="G757">
        <v>0.67200000000000004</v>
      </c>
      <c r="H757">
        <v>37</v>
      </c>
      <c r="I757">
        <v>1</v>
      </c>
      <c r="J757">
        <f>IF(AND(Table2[[#This Row],[BMI]]&gt;=23,Table2[[#This Row],[Outcome]]=1),1,0)</f>
        <v>1</v>
      </c>
      <c r="K757">
        <f>IF(AND(Table2[[#This Row],[BMI+Outcome]]=1,Table2[[#This Row],[Glucose]]&gt;=100),1,0)</f>
        <v>1</v>
      </c>
      <c r="L757">
        <f>IF(AND(Table2[[#This Row],[Outcome]]=1,Table2[[#This Row],[Glucose]]&gt;=100),1,0)</f>
        <v>1</v>
      </c>
    </row>
    <row r="758" spans="1:12" x14ac:dyDescent="0.25">
      <c r="A758">
        <v>7</v>
      </c>
      <c r="B758">
        <v>137</v>
      </c>
      <c r="C758">
        <v>90</v>
      </c>
      <c r="D758">
        <v>41</v>
      </c>
      <c r="E758">
        <v>80</v>
      </c>
      <c r="F758">
        <v>32</v>
      </c>
      <c r="G758">
        <v>0.67200000000000004</v>
      </c>
      <c r="H758">
        <v>39</v>
      </c>
      <c r="I758">
        <v>0</v>
      </c>
      <c r="J758">
        <f>IF(AND(Table2[[#This Row],[BMI]]&gt;=23,Table2[[#This Row],[Outcome]]=1),1,0)</f>
        <v>0</v>
      </c>
      <c r="K758">
        <f>IF(AND(Table2[[#This Row],[BMI+Outcome]]=1,Table2[[#This Row],[Glucose]]&gt;=100),1,0)</f>
        <v>0</v>
      </c>
      <c r="L758">
        <f>IF(AND(Table2[[#This Row],[Outcome]]=1,Table2[[#This Row],[Glucose]]&gt;=100),1,0)</f>
        <v>0</v>
      </c>
    </row>
    <row r="759" spans="1:12" x14ac:dyDescent="0.25">
      <c r="A759">
        <v>4</v>
      </c>
      <c r="B759">
        <v>123</v>
      </c>
      <c r="C759">
        <v>72</v>
      </c>
      <c r="D759">
        <v>21</v>
      </c>
      <c r="E759">
        <v>80</v>
      </c>
      <c r="F759">
        <v>36</v>
      </c>
      <c r="G759">
        <v>0.67200000000000004</v>
      </c>
      <c r="H759">
        <v>52</v>
      </c>
      <c r="I759">
        <v>1</v>
      </c>
      <c r="J759">
        <f>IF(AND(Table2[[#This Row],[BMI]]&gt;=23,Table2[[#This Row],[Outcome]]=1),1,0)</f>
        <v>1</v>
      </c>
      <c r="K759">
        <f>IF(AND(Table2[[#This Row],[BMI+Outcome]]=1,Table2[[#This Row],[Glucose]]&gt;=100),1,0)</f>
        <v>1</v>
      </c>
      <c r="L759">
        <f>IF(AND(Table2[[#This Row],[Outcome]]=1,Table2[[#This Row],[Glucose]]&gt;=100),1,0)</f>
        <v>1</v>
      </c>
    </row>
    <row r="760" spans="1:12" x14ac:dyDescent="0.25">
      <c r="A760">
        <v>1</v>
      </c>
      <c r="B760">
        <v>106</v>
      </c>
      <c r="C760">
        <v>76</v>
      </c>
      <c r="D760">
        <v>21</v>
      </c>
      <c r="E760">
        <v>80</v>
      </c>
      <c r="F760">
        <v>38</v>
      </c>
      <c r="G760">
        <v>0.67200000000000004</v>
      </c>
      <c r="H760">
        <v>26</v>
      </c>
      <c r="I760">
        <v>0</v>
      </c>
      <c r="J760">
        <f>IF(AND(Table2[[#This Row],[BMI]]&gt;=23,Table2[[#This Row],[Outcome]]=1),1,0)</f>
        <v>0</v>
      </c>
      <c r="K760">
        <f>IF(AND(Table2[[#This Row],[BMI+Outcome]]=1,Table2[[#This Row],[Glucose]]&gt;=100),1,0)</f>
        <v>0</v>
      </c>
      <c r="L760">
        <f>IF(AND(Table2[[#This Row],[Outcome]]=1,Table2[[#This Row],[Glucose]]&gt;=100),1,0)</f>
        <v>0</v>
      </c>
    </row>
    <row r="761" spans="1:12" x14ac:dyDescent="0.25">
      <c r="A761">
        <v>6</v>
      </c>
      <c r="B761">
        <v>190</v>
      </c>
      <c r="C761">
        <v>92</v>
      </c>
      <c r="D761">
        <v>21</v>
      </c>
      <c r="E761">
        <v>80</v>
      </c>
      <c r="F761">
        <v>36</v>
      </c>
      <c r="G761">
        <v>0.67200000000000004</v>
      </c>
      <c r="H761">
        <v>66</v>
      </c>
      <c r="I761">
        <v>1</v>
      </c>
      <c r="J761">
        <f>IF(AND(Table2[[#This Row],[BMI]]&gt;=23,Table2[[#This Row],[Outcome]]=1),1,0)</f>
        <v>1</v>
      </c>
      <c r="K761">
        <f>IF(AND(Table2[[#This Row],[BMI+Outcome]]=1,Table2[[#This Row],[Glucose]]&gt;=100),1,0)</f>
        <v>1</v>
      </c>
      <c r="L761">
        <f>IF(AND(Table2[[#This Row],[Outcome]]=1,Table2[[#This Row],[Glucose]]&gt;=100),1,0)</f>
        <v>1</v>
      </c>
    </row>
    <row r="762" spans="1:12" x14ac:dyDescent="0.25">
      <c r="A762">
        <v>2</v>
      </c>
      <c r="B762">
        <v>88</v>
      </c>
      <c r="C762">
        <v>58</v>
      </c>
      <c r="D762">
        <v>26</v>
      </c>
      <c r="E762">
        <v>16</v>
      </c>
      <c r="F762">
        <v>28</v>
      </c>
      <c r="G762">
        <v>0.67200000000000004</v>
      </c>
      <c r="H762">
        <v>22</v>
      </c>
      <c r="I762">
        <v>0</v>
      </c>
      <c r="J762">
        <f>IF(AND(Table2[[#This Row],[BMI]]&gt;=23,Table2[[#This Row],[Outcome]]=1),1,0)</f>
        <v>0</v>
      </c>
      <c r="K762">
        <f>IF(AND(Table2[[#This Row],[BMI+Outcome]]=1,Table2[[#This Row],[Glucose]]&gt;=100),1,0)</f>
        <v>0</v>
      </c>
      <c r="L762">
        <f>IF(AND(Table2[[#This Row],[Outcome]]=1,Table2[[#This Row],[Glucose]]&gt;=100),1,0)</f>
        <v>0</v>
      </c>
    </row>
    <row r="763" spans="1:12" x14ac:dyDescent="0.25">
      <c r="A763">
        <v>9</v>
      </c>
      <c r="B763">
        <v>170</v>
      </c>
      <c r="C763">
        <v>74</v>
      </c>
      <c r="D763">
        <v>31</v>
      </c>
      <c r="E763">
        <v>80</v>
      </c>
      <c r="F763">
        <v>44</v>
      </c>
      <c r="G763">
        <v>0.67200000000000004</v>
      </c>
      <c r="H763">
        <v>43</v>
      </c>
      <c r="I763">
        <v>1</v>
      </c>
      <c r="J763">
        <f>IF(AND(Table2[[#This Row],[BMI]]&gt;=23,Table2[[#This Row],[Outcome]]=1),1,0)</f>
        <v>1</v>
      </c>
      <c r="K763">
        <f>IF(AND(Table2[[#This Row],[BMI+Outcome]]=1,Table2[[#This Row],[Glucose]]&gt;=100),1,0)</f>
        <v>1</v>
      </c>
      <c r="L763">
        <f>IF(AND(Table2[[#This Row],[Outcome]]=1,Table2[[#This Row],[Glucose]]&gt;=100),1,0)</f>
        <v>1</v>
      </c>
    </row>
    <row r="764" spans="1:12" x14ac:dyDescent="0.25">
      <c r="A764">
        <v>9</v>
      </c>
      <c r="B764">
        <v>89</v>
      </c>
      <c r="C764">
        <v>62</v>
      </c>
      <c r="D764">
        <v>21</v>
      </c>
      <c r="E764">
        <v>80</v>
      </c>
      <c r="F764">
        <v>22</v>
      </c>
      <c r="G764">
        <v>0.67200000000000004</v>
      </c>
      <c r="H764">
        <v>33</v>
      </c>
      <c r="I764">
        <v>0</v>
      </c>
      <c r="J764">
        <f>IF(AND(Table2[[#This Row],[BMI]]&gt;=23,Table2[[#This Row],[Outcome]]=1),1,0)</f>
        <v>0</v>
      </c>
      <c r="K764">
        <f>IF(AND(Table2[[#This Row],[BMI+Outcome]]=1,Table2[[#This Row],[Glucose]]&gt;=100),1,0)</f>
        <v>0</v>
      </c>
      <c r="L764">
        <f>IF(AND(Table2[[#This Row],[Outcome]]=1,Table2[[#This Row],[Glucose]]&gt;=100),1,0)</f>
        <v>0</v>
      </c>
    </row>
    <row r="765" spans="1:12" x14ac:dyDescent="0.25">
      <c r="A765">
        <v>10</v>
      </c>
      <c r="B765">
        <v>101</v>
      </c>
      <c r="C765">
        <v>76</v>
      </c>
      <c r="D765">
        <v>48</v>
      </c>
      <c r="E765">
        <v>180</v>
      </c>
      <c r="F765">
        <v>33</v>
      </c>
      <c r="G765">
        <v>0.67200000000000004</v>
      </c>
      <c r="H765">
        <v>63</v>
      </c>
      <c r="I765">
        <v>0</v>
      </c>
      <c r="J765">
        <f>IF(AND(Table2[[#This Row],[BMI]]&gt;=23,Table2[[#This Row],[Outcome]]=1),1,0)</f>
        <v>0</v>
      </c>
      <c r="K765">
        <f>IF(AND(Table2[[#This Row],[BMI+Outcome]]=1,Table2[[#This Row],[Glucose]]&gt;=100),1,0)</f>
        <v>0</v>
      </c>
      <c r="L765">
        <f>IF(AND(Table2[[#This Row],[Outcome]]=1,Table2[[#This Row],[Glucose]]&gt;=100),1,0)</f>
        <v>0</v>
      </c>
    </row>
    <row r="766" spans="1:12" x14ac:dyDescent="0.25">
      <c r="A766">
        <v>2</v>
      </c>
      <c r="B766">
        <v>122</v>
      </c>
      <c r="C766">
        <v>70</v>
      </c>
      <c r="D766">
        <v>27</v>
      </c>
      <c r="E766">
        <v>80</v>
      </c>
      <c r="F766">
        <v>37</v>
      </c>
      <c r="G766">
        <v>0.67200000000000004</v>
      </c>
      <c r="H766">
        <v>27</v>
      </c>
      <c r="I766">
        <v>0</v>
      </c>
      <c r="J766">
        <f>IF(AND(Table2[[#This Row],[BMI]]&gt;=23,Table2[[#This Row],[Outcome]]=1),1,0)</f>
        <v>0</v>
      </c>
      <c r="K766">
        <f>IF(AND(Table2[[#This Row],[BMI+Outcome]]=1,Table2[[#This Row],[Glucose]]&gt;=100),1,0)</f>
        <v>0</v>
      </c>
      <c r="L766">
        <f>IF(AND(Table2[[#This Row],[Outcome]]=1,Table2[[#This Row],[Glucose]]&gt;=100),1,0)</f>
        <v>0</v>
      </c>
    </row>
    <row r="767" spans="1:12" x14ac:dyDescent="0.25">
      <c r="A767">
        <v>5</v>
      </c>
      <c r="B767">
        <v>121</v>
      </c>
      <c r="C767">
        <v>72</v>
      </c>
      <c r="D767">
        <v>23</v>
      </c>
      <c r="E767">
        <v>112</v>
      </c>
      <c r="F767">
        <v>26</v>
      </c>
      <c r="G767">
        <v>0.67200000000000004</v>
      </c>
      <c r="H767">
        <v>30</v>
      </c>
      <c r="I767">
        <v>0</v>
      </c>
      <c r="J767">
        <f>IF(AND(Table2[[#This Row],[BMI]]&gt;=23,Table2[[#This Row],[Outcome]]=1),1,0)</f>
        <v>0</v>
      </c>
      <c r="K767">
        <f>IF(AND(Table2[[#This Row],[BMI+Outcome]]=1,Table2[[#This Row],[Glucose]]&gt;=100),1,0)</f>
        <v>0</v>
      </c>
      <c r="L767">
        <f>IF(AND(Table2[[#This Row],[Outcome]]=1,Table2[[#This Row],[Glucose]]&gt;=100),1,0)</f>
        <v>0</v>
      </c>
    </row>
    <row r="768" spans="1:12" x14ac:dyDescent="0.25">
      <c r="A768">
        <v>1</v>
      </c>
      <c r="B768">
        <v>126</v>
      </c>
      <c r="C768">
        <v>60</v>
      </c>
      <c r="D768">
        <v>21</v>
      </c>
      <c r="E768">
        <v>80</v>
      </c>
      <c r="F768">
        <v>30</v>
      </c>
      <c r="G768">
        <v>0.67200000000000004</v>
      </c>
      <c r="H768">
        <v>47</v>
      </c>
      <c r="I768">
        <v>1</v>
      </c>
      <c r="J768">
        <f>IF(AND(Table2[[#This Row],[BMI]]&gt;=23,Table2[[#This Row],[Outcome]]=1),1,0)</f>
        <v>1</v>
      </c>
      <c r="K768">
        <f>IF(AND(Table2[[#This Row],[BMI+Outcome]]=1,Table2[[#This Row],[Glucose]]&gt;=100),1,0)</f>
        <v>1</v>
      </c>
      <c r="L768">
        <f>IF(AND(Table2[[#This Row],[Outcome]]=1,Table2[[#This Row],[Glucose]]&gt;=100),1,0)</f>
        <v>1</v>
      </c>
    </row>
    <row r="769" spans="1:12" x14ac:dyDescent="0.25">
      <c r="A769">
        <v>1</v>
      </c>
      <c r="B769">
        <v>93</v>
      </c>
      <c r="C769">
        <v>70</v>
      </c>
      <c r="D769">
        <v>31</v>
      </c>
      <c r="E769">
        <v>80</v>
      </c>
      <c r="F769">
        <v>30</v>
      </c>
      <c r="G769">
        <v>0.67200000000000004</v>
      </c>
      <c r="H769">
        <v>23</v>
      </c>
      <c r="I769">
        <v>0</v>
      </c>
      <c r="J769">
        <f>IF(AND(Table2[[#This Row],[BMI]]&gt;=23,Table2[[#This Row],[Outcome]]=1),1,0)</f>
        <v>0</v>
      </c>
      <c r="K769">
        <f>IF(AND(Table2[[#This Row],[BMI+Outcome]]=1,Table2[[#This Row],[Glucose]]&gt;=100),1,0)</f>
        <v>0</v>
      </c>
      <c r="L769">
        <f>IF(AND(Table2[[#This Row],[Outcome]]=1,Table2[[#This Row],[Glucose]]&gt;=100),1,0)</f>
        <v>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F46AE-2288-41AC-A332-575B2D3E0B07}">
  <sheetPr codeName="Sheet4"/>
  <dimension ref="A3:D10"/>
  <sheetViews>
    <sheetView workbookViewId="0">
      <selection activeCell="D4" sqref="D4"/>
    </sheetView>
  </sheetViews>
  <sheetFormatPr defaultRowHeight="15" x14ac:dyDescent="0.25"/>
  <cols>
    <col min="1" max="1" width="13.140625" bestFit="1" customWidth="1"/>
    <col min="2" max="2" width="15.85546875" bestFit="1" customWidth="1"/>
    <col min="3" max="3" width="31.85546875" bestFit="1" customWidth="1"/>
    <col min="4" max="4" width="32.85546875" bestFit="1" customWidth="1"/>
  </cols>
  <sheetData>
    <row r="3" spans="1:4" x14ac:dyDescent="0.25">
      <c r="A3" s="2" t="s">
        <v>9</v>
      </c>
      <c r="B3" t="s">
        <v>11</v>
      </c>
      <c r="C3" t="s">
        <v>72</v>
      </c>
      <c r="D3" t="s">
        <v>73</v>
      </c>
    </row>
    <row r="4" spans="1:4" x14ac:dyDescent="0.25">
      <c r="A4" s="3" t="s">
        <v>41</v>
      </c>
      <c r="B4" s="21">
        <v>90</v>
      </c>
      <c r="C4" s="21">
        <v>280.22399999999999</v>
      </c>
      <c r="D4" s="4">
        <v>0.54335408062358259</v>
      </c>
    </row>
    <row r="5" spans="1:4" x14ac:dyDescent="0.25">
      <c r="A5" s="3" t="s">
        <v>42</v>
      </c>
      <c r="B5" s="21">
        <v>76</v>
      </c>
      <c r="C5" s="21">
        <v>105.18299999999971</v>
      </c>
      <c r="D5" s="4">
        <v>0.20394974114362127</v>
      </c>
    </row>
    <row r="6" spans="1:4" x14ac:dyDescent="0.25">
      <c r="A6" s="3" t="s">
        <v>43</v>
      </c>
      <c r="B6" s="21">
        <v>64</v>
      </c>
      <c r="C6" s="21">
        <v>75.890999999999835</v>
      </c>
      <c r="D6" s="4">
        <v>0.14715257983828728</v>
      </c>
    </row>
    <row r="7" spans="1:4" x14ac:dyDescent="0.25">
      <c r="A7" s="3" t="s">
        <v>44</v>
      </c>
      <c r="B7" s="21">
        <v>31</v>
      </c>
      <c r="C7" s="21">
        <v>36.287999999999997</v>
      </c>
      <c r="D7" s="4">
        <v>7.0362398929672554E-2</v>
      </c>
    </row>
    <row r="8" spans="1:4" x14ac:dyDescent="0.25">
      <c r="A8" s="3" t="s">
        <v>45</v>
      </c>
      <c r="B8" s="21">
        <v>7</v>
      </c>
      <c r="C8" s="21">
        <v>16.800000000000004</v>
      </c>
      <c r="D8" s="4">
        <v>3.2575184689663229E-2</v>
      </c>
    </row>
    <row r="9" spans="1:4" x14ac:dyDescent="0.25">
      <c r="A9" s="3" t="s">
        <v>46</v>
      </c>
      <c r="B9" s="21">
        <v>0</v>
      </c>
      <c r="C9" s="21">
        <v>1.3440000000000001</v>
      </c>
      <c r="D9" s="4">
        <v>2.6060147751730579E-3</v>
      </c>
    </row>
    <row r="10" spans="1:4" x14ac:dyDescent="0.25">
      <c r="A10" s="3" t="s">
        <v>10</v>
      </c>
      <c r="B10" s="21">
        <v>268</v>
      </c>
      <c r="C10" s="21">
        <v>515.72999999999956</v>
      </c>
      <c r="D10" s="4">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C5953-9F5D-4E5B-B084-FC65E8281E24}">
  <sheetPr codeName="Sheet5"/>
  <dimension ref="B3:G12"/>
  <sheetViews>
    <sheetView workbookViewId="0">
      <selection activeCell="F12" sqref="F12"/>
    </sheetView>
  </sheetViews>
  <sheetFormatPr defaultRowHeight="15" x14ac:dyDescent="0.25"/>
  <sheetData>
    <row r="3" spans="2:7" ht="45" x14ac:dyDescent="0.25">
      <c r="B3" s="15" t="str">
        <f>"Total Patients" &amp;CHAR(10) &amp;COUNTA(Table2[Pregnancies])</f>
        <v>Total Patients
768</v>
      </c>
    </row>
    <row r="6" spans="2:7" ht="45" x14ac:dyDescent="0.25">
      <c r="D6" s="15" t="str">
        <f>"Diabetic Patients" &amp;CHAR(10) &amp;COUNTIFS(Table2[Outcome], 1)</f>
        <v>Diabetic Patients
268</v>
      </c>
    </row>
    <row r="8" spans="2:7" ht="60" x14ac:dyDescent="0.25">
      <c r="G8" s="15" t="str">
        <f>"Non-Diabetic Patients" &amp;CHAR(10) &amp;COUNTIFS(Table2[Outcome],0)</f>
        <v>Non-Diabetic Patients
500</v>
      </c>
    </row>
    <row r="12" spans="2:7" ht="60" x14ac:dyDescent="0.25">
      <c r="F12" s="15" t="str">
        <f>"Age Range of Patients" &amp;CHAR(10) &amp;MIN(Table2[Age]) &amp;"-" &amp;MAX(Table2[Age])</f>
        <v>Age Range of Patients
21-81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48DE2-2CB3-4DD4-B0AB-E3377B58C7F5}">
  <sheetPr codeName="Sheet6"/>
  <dimension ref="A3:F20"/>
  <sheetViews>
    <sheetView workbookViewId="0">
      <selection activeCell="D21" sqref="D21"/>
    </sheetView>
  </sheetViews>
  <sheetFormatPr defaultRowHeight="15" x14ac:dyDescent="0.25"/>
  <cols>
    <col min="1" max="1" width="13.140625" bestFit="1" customWidth="1"/>
    <col min="2" max="2" width="15.85546875" bestFit="1" customWidth="1"/>
    <col min="3" max="3" width="16.85546875" bestFit="1" customWidth="1"/>
  </cols>
  <sheetData>
    <row r="3" spans="1:6" x14ac:dyDescent="0.25">
      <c r="A3" s="2" t="s">
        <v>9</v>
      </c>
      <c r="B3" t="s">
        <v>11</v>
      </c>
      <c r="C3" t="s">
        <v>12</v>
      </c>
    </row>
    <row r="4" spans="1:6" x14ac:dyDescent="0.25">
      <c r="A4" s="3">
        <v>1</v>
      </c>
      <c r="B4" s="21">
        <v>29</v>
      </c>
      <c r="C4" s="5">
        <v>0.10820895522388059</v>
      </c>
    </row>
    <row r="5" spans="1:6" x14ac:dyDescent="0.25">
      <c r="A5" s="3">
        <v>2</v>
      </c>
      <c r="B5" s="21">
        <v>19</v>
      </c>
      <c r="C5" s="5">
        <v>7.0895522388059698E-2</v>
      </c>
    </row>
    <row r="6" spans="1:6" x14ac:dyDescent="0.25">
      <c r="A6" s="3">
        <v>3</v>
      </c>
      <c r="B6" s="21">
        <v>27</v>
      </c>
      <c r="C6" s="5">
        <v>0.10074626865671642</v>
      </c>
    </row>
    <row r="7" spans="1:6" x14ac:dyDescent="0.25">
      <c r="A7" s="3">
        <v>4</v>
      </c>
      <c r="B7" s="21">
        <v>61</v>
      </c>
      <c r="C7" s="5">
        <v>0.22761194029850745</v>
      </c>
      <c r="D7" s="6"/>
      <c r="F7">
        <f>CORREL(Table2[Pregnancies],Table2[Outcome])</f>
        <v>0.24817242258800701</v>
      </c>
    </row>
    <row r="8" spans="1:6" x14ac:dyDescent="0.25">
      <c r="A8" s="3">
        <v>5</v>
      </c>
      <c r="B8" s="21">
        <v>21</v>
      </c>
      <c r="C8" s="5">
        <v>7.8358208955223885E-2</v>
      </c>
    </row>
    <row r="9" spans="1:6" x14ac:dyDescent="0.25">
      <c r="A9" s="3">
        <v>6</v>
      </c>
      <c r="B9" s="21">
        <v>16</v>
      </c>
      <c r="C9" s="5">
        <v>5.9701492537313432E-2</v>
      </c>
    </row>
    <row r="10" spans="1:6" x14ac:dyDescent="0.25">
      <c r="A10" s="3">
        <v>7</v>
      </c>
      <c r="B10" s="21">
        <v>25</v>
      </c>
      <c r="C10" s="5">
        <v>9.3283582089552244E-2</v>
      </c>
    </row>
    <row r="11" spans="1:6" x14ac:dyDescent="0.25">
      <c r="A11" s="3">
        <v>8</v>
      </c>
      <c r="B11" s="21">
        <v>22</v>
      </c>
      <c r="C11" s="5">
        <v>8.2089552238805971E-2</v>
      </c>
    </row>
    <row r="12" spans="1:6" x14ac:dyDescent="0.25">
      <c r="A12" s="3">
        <v>9</v>
      </c>
      <c r="B12" s="21">
        <v>18</v>
      </c>
      <c r="C12" s="5">
        <v>6.7164179104477612E-2</v>
      </c>
    </row>
    <row r="13" spans="1:6" x14ac:dyDescent="0.25">
      <c r="A13" s="3">
        <v>10</v>
      </c>
      <c r="B13" s="21">
        <v>10</v>
      </c>
      <c r="C13" s="5">
        <v>3.7313432835820892E-2</v>
      </c>
    </row>
    <row r="14" spans="1:6" x14ac:dyDescent="0.25">
      <c r="A14" s="3">
        <v>11</v>
      </c>
      <c r="B14" s="21">
        <v>7</v>
      </c>
      <c r="C14" s="5">
        <v>2.6119402985074626E-2</v>
      </c>
    </row>
    <row r="15" spans="1:6" x14ac:dyDescent="0.25">
      <c r="A15" s="3">
        <v>12</v>
      </c>
      <c r="B15" s="21">
        <v>4</v>
      </c>
      <c r="C15" s="5">
        <v>1.4925373134328358E-2</v>
      </c>
    </row>
    <row r="16" spans="1:6" x14ac:dyDescent="0.25">
      <c r="A16" s="3">
        <v>13</v>
      </c>
      <c r="B16" s="21">
        <v>5</v>
      </c>
      <c r="C16" s="5">
        <v>1.8656716417910446E-2</v>
      </c>
    </row>
    <row r="17" spans="1:4" x14ac:dyDescent="0.25">
      <c r="A17" s="3">
        <v>14</v>
      </c>
      <c r="B17" s="21">
        <v>2</v>
      </c>
      <c r="C17" s="5">
        <v>7.462686567164179E-3</v>
      </c>
    </row>
    <row r="18" spans="1:4" x14ac:dyDescent="0.25">
      <c r="A18" s="3">
        <v>15</v>
      </c>
      <c r="B18" s="21">
        <v>1</v>
      </c>
      <c r="C18" s="5">
        <v>3.7313432835820895E-3</v>
      </c>
      <c r="D18" s="7"/>
    </row>
    <row r="19" spans="1:4" x14ac:dyDescent="0.25">
      <c r="A19" s="3">
        <v>17</v>
      </c>
      <c r="B19" s="21">
        <v>1</v>
      </c>
      <c r="C19" s="5">
        <v>3.7313432835820895E-3</v>
      </c>
    </row>
    <row r="20" spans="1:4" x14ac:dyDescent="0.25">
      <c r="A20" s="3" t="s">
        <v>10</v>
      </c>
      <c r="B20" s="21">
        <v>268</v>
      </c>
      <c r="C20" s="4">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846A4-B3B1-4EEA-A330-B429906C9408}">
  <sheetPr codeName="Sheet7"/>
  <dimension ref="A3:G68"/>
  <sheetViews>
    <sheetView workbookViewId="0">
      <selection activeCell="D22" sqref="D22"/>
    </sheetView>
  </sheetViews>
  <sheetFormatPr defaultRowHeight="15" x14ac:dyDescent="0.25"/>
  <cols>
    <col min="1" max="1" width="13.140625" bestFit="1" customWidth="1"/>
    <col min="2" max="2" width="15.85546875" bestFit="1" customWidth="1"/>
    <col min="3" max="3" width="16.85546875" bestFit="1" customWidth="1"/>
  </cols>
  <sheetData>
    <row r="3" spans="1:2" x14ac:dyDescent="0.25">
      <c r="A3" s="2" t="s">
        <v>9</v>
      </c>
      <c r="B3" t="s">
        <v>11</v>
      </c>
    </row>
    <row r="4" spans="1:2" x14ac:dyDescent="0.25">
      <c r="A4" s="3" t="s">
        <v>26</v>
      </c>
      <c r="B4" s="21">
        <v>0</v>
      </c>
    </row>
    <row r="5" spans="1:2" x14ac:dyDescent="0.25">
      <c r="A5" s="3" t="s">
        <v>27</v>
      </c>
      <c r="B5" s="21">
        <v>0</v>
      </c>
    </row>
    <row r="6" spans="1:2" x14ac:dyDescent="0.25">
      <c r="A6" s="3" t="s">
        <v>28</v>
      </c>
      <c r="B6" s="21">
        <v>0</v>
      </c>
    </row>
    <row r="7" spans="1:2" x14ac:dyDescent="0.25">
      <c r="A7" s="3" t="s">
        <v>29</v>
      </c>
      <c r="B7" s="21">
        <v>2</v>
      </c>
    </row>
    <row r="8" spans="1:2" x14ac:dyDescent="0.25">
      <c r="A8" s="3" t="s">
        <v>30</v>
      </c>
      <c r="B8" s="21">
        <v>7</v>
      </c>
    </row>
    <row r="9" spans="1:2" x14ac:dyDescent="0.25">
      <c r="A9" s="3" t="s">
        <v>31</v>
      </c>
      <c r="B9" s="21">
        <v>15</v>
      </c>
    </row>
    <row r="10" spans="1:2" x14ac:dyDescent="0.25">
      <c r="A10" s="3" t="s">
        <v>32</v>
      </c>
      <c r="B10" s="21">
        <v>27</v>
      </c>
    </row>
    <row r="11" spans="1:2" x14ac:dyDescent="0.25">
      <c r="A11" s="3" t="s">
        <v>33</v>
      </c>
      <c r="B11" s="21">
        <v>29</v>
      </c>
    </row>
    <row r="12" spans="1:2" x14ac:dyDescent="0.25">
      <c r="A12" s="3" t="s">
        <v>34</v>
      </c>
      <c r="B12" s="21">
        <v>36</v>
      </c>
    </row>
    <row r="13" spans="1:2" x14ac:dyDescent="0.25">
      <c r="A13" s="3" t="s">
        <v>35</v>
      </c>
      <c r="B13" s="21">
        <v>26</v>
      </c>
    </row>
    <row r="14" spans="1:2" x14ac:dyDescent="0.25">
      <c r="A14" s="3" t="s">
        <v>36</v>
      </c>
      <c r="B14" s="21">
        <v>27</v>
      </c>
    </row>
    <row r="15" spans="1:2" x14ac:dyDescent="0.25">
      <c r="A15" s="3" t="s">
        <v>37</v>
      </c>
      <c r="B15" s="21">
        <v>26</v>
      </c>
    </row>
    <row r="16" spans="1:2" x14ac:dyDescent="0.25">
      <c r="A16" s="3" t="s">
        <v>38</v>
      </c>
      <c r="B16" s="21">
        <v>24</v>
      </c>
    </row>
    <row r="17" spans="1:2" x14ac:dyDescent="0.25">
      <c r="A17" s="3" t="s">
        <v>39</v>
      </c>
      <c r="B17" s="21">
        <v>22</v>
      </c>
    </row>
    <row r="18" spans="1:2" x14ac:dyDescent="0.25">
      <c r="A18" s="3" t="s">
        <v>40</v>
      </c>
      <c r="B18" s="21">
        <v>15</v>
      </c>
    </row>
    <row r="19" spans="1:2" x14ac:dyDescent="0.25">
      <c r="A19" s="3" t="s">
        <v>98</v>
      </c>
      <c r="B19" s="21">
        <v>12</v>
      </c>
    </row>
    <row r="20" spans="1:2" x14ac:dyDescent="0.25">
      <c r="A20" s="3" t="s">
        <v>10</v>
      </c>
      <c r="B20" s="21">
        <v>268</v>
      </c>
    </row>
    <row r="66" spans="4:7" x14ac:dyDescent="0.25">
      <c r="D66" s="6"/>
      <c r="G66">
        <f>CORREL(Table2[Glucose],Table2[Outcome])</f>
        <v>0.49291111346925159</v>
      </c>
    </row>
    <row r="68" spans="4:7" x14ac:dyDescent="0.25">
      <c r="D68" s="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19CEE-19E3-433B-8AA3-6E38216FD00C}">
  <sheetPr codeName="Sheet8"/>
  <dimension ref="A3:G25"/>
  <sheetViews>
    <sheetView workbookViewId="0">
      <selection activeCell="D14" sqref="D14"/>
    </sheetView>
  </sheetViews>
  <sheetFormatPr defaultRowHeight="15" x14ac:dyDescent="0.25"/>
  <cols>
    <col min="1" max="1" width="13.140625" bestFit="1" customWidth="1"/>
    <col min="2" max="2" width="15.85546875" bestFit="1" customWidth="1"/>
    <col min="3" max="3" width="16.85546875" bestFit="1" customWidth="1"/>
  </cols>
  <sheetData>
    <row r="3" spans="1:7" x14ac:dyDescent="0.25">
      <c r="A3" s="2" t="s">
        <v>9</v>
      </c>
      <c r="B3" t="s">
        <v>11</v>
      </c>
    </row>
    <row r="4" spans="1:7" x14ac:dyDescent="0.25">
      <c r="A4" s="3" t="s">
        <v>62</v>
      </c>
      <c r="B4" s="21">
        <v>1</v>
      </c>
    </row>
    <row r="5" spans="1:7" x14ac:dyDescent="0.25">
      <c r="A5" s="3" t="s">
        <v>63</v>
      </c>
      <c r="B5" s="21">
        <v>1</v>
      </c>
    </row>
    <row r="6" spans="1:7" x14ac:dyDescent="0.25">
      <c r="A6" s="3" t="s">
        <v>26</v>
      </c>
      <c r="B6" s="21">
        <v>9</v>
      </c>
    </row>
    <row r="7" spans="1:7" x14ac:dyDescent="0.25">
      <c r="A7" s="3" t="s">
        <v>27</v>
      </c>
      <c r="B7" s="21">
        <v>22</v>
      </c>
    </row>
    <row r="8" spans="1:7" x14ac:dyDescent="0.25">
      <c r="A8" s="3" t="s">
        <v>28</v>
      </c>
      <c r="B8" s="21">
        <v>92</v>
      </c>
      <c r="D8" s="7"/>
    </row>
    <row r="9" spans="1:7" x14ac:dyDescent="0.25">
      <c r="A9" s="3" t="s">
        <v>29</v>
      </c>
      <c r="B9" s="21">
        <v>79</v>
      </c>
    </row>
    <row r="10" spans="1:7" x14ac:dyDescent="0.25">
      <c r="A10" s="3" t="s">
        <v>30</v>
      </c>
      <c r="B10" s="21">
        <v>49</v>
      </c>
      <c r="G10">
        <f>CORREL(Table2[BloodPressure],Table2[Outcome])</f>
        <v>0.16287909949861915</v>
      </c>
    </row>
    <row r="11" spans="1:7" x14ac:dyDescent="0.25">
      <c r="A11" s="3" t="s">
        <v>31</v>
      </c>
      <c r="B11" s="21">
        <v>8</v>
      </c>
    </row>
    <row r="12" spans="1:7" x14ac:dyDescent="0.25">
      <c r="A12" s="3" t="s">
        <v>32</v>
      </c>
      <c r="B12" s="21">
        <v>6</v>
      </c>
    </row>
    <row r="13" spans="1:7" x14ac:dyDescent="0.25">
      <c r="A13" s="3" t="s">
        <v>33</v>
      </c>
      <c r="B13" s="21">
        <v>1</v>
      </c>
    </row>
    <row r="14" spans="1:7" x14ac:dyDescent="0.25">
      <c r="A14" s="3" t="s">
        <v>10</v>
      </c>
      <c r="B14" s="21">
        <v>268</v>
      </c>
    </row>
    <row r="25" spans="4:4" x14ac:dyDescent="0.25">
      <c r="D25" s="6"/>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D84E7-9FD8-49B2-8B59-E1AB73D74D1E}">
  <sheetPr codeName="Sheet9"/>
  <dimension ref="A3:G17"/>
  <sheetViews>
    <sheetView topLeftCell="A2" workbookViewId="0">
      <selection activeCell="M19" sqref="M19"/>
    </sheetView>
  </sheetViews>
  <sheetFormatPr defaultRowHeight="15" x14ac:dyDescent="0.25"/>
  <cols>
    <col min="1" max="1" width="13.140625" bestFit="1" customWidth="1"/>
    <col min="2" max="2" width="15.85546875" bestFit="1" customWidth="1"/>
    <col min="3" max="3" width="16.85546875" bestFit="1" customWidth="1"/>
  </cols>
  <sheetData>
    <row r="3" spans="1:7" x14ac:dyDescent="0.25">
      <c r="A3" s="2" t="s">
        <v>9</v>
      </c>
      <c r="B3" t="s">
        <v>11</v>
      </c>
    </row>
    <row r="4" spans="1:7" x14ac:dyDescent="0.25">
      <c r="A4" s="3" t="s">
        <v>102</v>
      </c>
      <c r="B4" s="21">
        <v>1</v>
      </c>
    </row>
    <row r="5" spans="1:7" x14ac:dyDescent="0.25">
      <c r="A5" s="3" t="s">
        <v>106</v>
      </c>
      <c r="B5" s="21">
        <v>1</v>
      </c>
      <c r="D5" s="7"/>
    </row>
    <row r="6" spans="1:7" x14ac:dyDescent="0.25">
      <c r="A6" s="3" t="s">
        <v>57</v>
      </c>
      <c r="B6" s="21">
        <v>6</v>
      </c>
    </row>
    <row r="7" spans="1:7" x14ac:dyDescent="0.25">
      <c r="A7" s="3" t="s">
        <v>61</v>
      </c>
      <c r="B7" s="21">
        <v>9</v>
      </c>
    </row>
    <row r="8" spans="1:7" x14ac:dyDescent="0.25">
      <c r="A8" s="3" t="s">
        <v>60</v>
      </c>
      <c r="B8" s="21">
        <v>49</v>
      </c>
      <c r="G8">
        <f>CORREL(Table2[SkinThickness],Table2[Outcome])</f>
        <v>0.17774149527260893</v>
      </c>
    </row>
    <row r="9" spans="1:7" x14ac:dyDescent="0.25">
      <c r="A9" s="3" t="s">
        <v>59</v>
      </c>
      <c r="B9" s="21">
        <v>76</v>
      </c>
    </row>
    <row r="10" spans="1:7" x14ac:dyDescent="0.25">
      <c r="A10" s="3" t="s">
        <v>58</v>
      </c>
      <c r="B10" s="21">
        <v>126</v>
      </c>
    </row>
    <row r="11" spans="1:7" x14ac:dyDescent="0.25">
      <c r="A11" s="3" t="s">
        <v>10</v>
      </c>
      <c r="B11" s="21">
        <v>268</v>
      </c>
    </row>
    <row r="17" spans="4:4" x14ac:dyDescent="0.25">
      <c r="D17" s="6"/>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317B4-F0D4-4D81-9B0C-E0216C32403F}">
  <sheetPr codeName="Sheet10"/>
  <dimension ref="A3:G55"/>
  <sheetViews>
    <sheetView workbookViewId="0">
      <selection activeCell="D22" sqref="D22"/>
    </sheetView>
  </sheetViews>
  <sheetFormatPr defaultRowHeight="15" x14ac:dyDescent="0.25"/>
  <cols>
    <col min="1" max="1" width="13.140625" bestFit="1" customWidth="1"/>
    <col min="2" max="2" width="15.85546875" bestFit="1" customWidth="1"/>
    <col min="3" max="3" width="16.85546875" bestFit="1" customWidth="1"/>
  </cols>
  <sheetData>
    <row r="3" spans="1:2" x14ac:dyDescent="0.25">
      <c r="A3" s="2" t="s">
        <v>9</v>
      </c>
      <c r="B3" t="s">
        <v>11</v>
      </c>
    </row>
    <row r="4" spans="1:2" x14ac:dyDescent="0.25">
      <c r="A4" s="3" t="s">
        <v>51</v>
      </c>
      <c r="B4" s="21">
        <v>160</v>
      </c>
    </row>
    <row r="5" spans="1:2" x14ac:dyDescent="0.25">
      <c r="A5" s="3" t="s">
        <v>52</v>
      </c>
      <c r="B5" s="21">
        <v>67</v>
      </c>
    </row>
    <row r="6" spans="1:2" x14ac:dyDescent="0.25">
      <c r="A6" s="3" t="s">
        <v>53</v>
      </c>
      <c r="B6" s="21">
        <v>21</v>
      </c>
    </row>
    <row r="7" spans="1:2" x14ac:dyDescent="0.25">
      <c r="A7" s="3" t="s">
        <v>54</v>
      </c>
      <c r="B7" s="21">
        <v>8</v>
      </c>
    </row>
    <row r="8" spans="1:2" x14ac:dyDescent="0.25">
      <c r="A8" s="3" t="s">
        <v>55</v>
      </c>
      <c r="B8" s="21">
        <v>7</v>
      </c>
    </row>
    <row r="9" spans="1:2" x14ac:dyDescent="0.25">
      <c r="A9" s="3" t="s">
        <v>100</v>
      </c>
      <c r="B9" s="21">
        <v>4</v>
      </c>
    </row>
    <row r="10" spans="1:2" x14ac:dyDescent="0.25">
      <c r="A10" s="3" t="s">
        <v>56</v>
      </c>
      <c r="B10" s="21">
        <v>0</v>
      </c>
    </row>
    <row r="11" spans="1:2" x14ac:dyDescent="0.25">
      <c r="A11" s="3" t="s">
        <v>101</v>
      </c>
      <c r="B11" s="21">
        <v>0</v>
      </c>
    </row>
    <row r="12" spans="1:2" x14ac:dyDescent="0.25">
      <c r="A12" s="3" t="s">
        <v>105</v>
      </c>
      <c r="B12" s="21">
        <v>1</v>
      </c>
    </row>
    <row r="13" spans="1:2" x14ac:dyDescent="0.25">
      <c r="A13" s="3" t="s">
        <v>10</v>
      </c>
      <c r="B13" s="21">
        <v>268</v>
      </c>
    </row>
    <row r="51" spans="4:7" x14ac:dyDescent="0.25">
      <c r="G51">
        <f>CORREL(Table2[Insulin],Table2[Outcome])</f>
        <v>0.17930792301752801</v>
      </c>
    </row>
    <row r="53" spans="4:7" x14ac:dyDescent="0.25">
      <c r="D53" s="6"/>
    </row>
    <row r="55" spans="4:7" x14ac:dyDescent="0.25">
      <c r="D55" s="7"/>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9A56D-F697-4450-920E-D1F77CD2ECE3}">
  <sheetPr codeName="Sheet11"/>
  <dimension ref="A3:G20"/>
  <sheetViews>
    <sheetView workbookViewId="0">
      <selection activeCell="D22" sqref="D22"/>
    </sheetView>
  </sheetViews>
  <sheetFormatPr defaultRowHeight="15" x14ac:dyDescent="0.25"/>
  <cols>
    <col min="1" max="1" width="13.140625" bestFit="1" customWidth="1"/>
    <col min="2" max="2" width="15.85546875" bestFit="1" customWidth="1"/>
    <col min="3" max="3" width="16.85546875" bestFit="1" customWidth="1"/>
  </cols>
  <sheetData>
    <row r="3" spans="1:7" x14ac:dyDescent="0.25">
      <c r="A3" s="2" t="s">
        <v>9</v>
      </c>
      <c r="B3" t="s">
        <v>11</v>
      </c>
    </row>
    <row r="4" spans="1:7" x14ac:dyDescent="0.25">
      <c r="A4" s="3" t="s">
        <v>47</v>
      </c>
      <c r="B4" s="21">
        <v>20</v>
      </c>
    </row>
    <row r="5" spans="1:7" x14ac:dyDescent="0.25">
      <c r="A5" s="3" t="s">
        <v>48</v>
      </c>
      <c r="B5" s="21">
        <v>163</v>
      </c>
      <c r="D5" s="7"/>
    </row>
    <row r="6" spans="1:7" x14ac:dyDescent="0.25">
      <c r="A6" s="3" t="s">
        <v>49</v>
      </c>
      <c r="B6" s="21">
        <v>72</v>
      </c>
    </row>
    <row r="7" spans="1:7" x14ac:dyDescent="0.25">
      <c r="A7" s="3" t="s">
        <v>50</v>
      </c>
      <c r="B7" s="21">
        <v>11</v>
      </c>
    </row>
    <row r="8" spans="1:7" x14ac:dyDescent="0.25">
      <c r="A8" s="3" t="s">
        <v>103</v>
      </c>
      <c r="B8" s="21">
        <v>2</v>
      </c>
      <c r="G8">
        <f>CORREL(Table2[BMI],Table2[Outcome])</f>
        <v>0.31082954536314328</v>
      </c>
    </row>
    <row r="9" spans="1:7" x14ac:dyDescent="0.25">
      <c r="A9" s="3" t="s">
        <v>10</v>
      </c>
      <c r="B9" s="21">
        <v>268</v>
      </c>
    </row>
    <row r="20" spans="4:4" x14ac:dyDescent="0.25">
      <c r="D20" s="6"/>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3BE03-9B0E-4A68-8D0B-0EE9C6E8785E}">
  <sheetPr codeName="Sheet12"/>
  <dimension ref="A3:G7"/>
  <sheetViews>
    <sheetView workbookViewId="0">
      <selection activeCell="D21" sqref="D21"/>
    </sheetView>
  </sheetViews>
  <sheetFormatPr defaultRowHeight="15" x14ac:dyDescent="0.25"/>
  <cols>
    <col min="1" max="1" width="13.140625" bestFit="1" customWidth="1"/>
    <col min="2" max="2" width="15.85546875" bestFit="1" customWidth="1"/>
    <col min="3" max="3" width="16.85546875" bestFit="1" customWidth="1"/>
  </cols>
  <sheetData>
    <row r="3" spans="1:7" x14ac:dyDescent="0.25">
      <c r="A3" s="2" t="s">
        <v>9</v>
      </c>
      <c r="B3" t="s">
        <v>11</v>
      </c>
    </row>
    <row r="4" spans="1:7" x14ac:dyDescent="0.25">
      <c r="A4" s="3" t="s">
        <v>99</v>
      </c>
      <c r="B4" s="21">
        <v>0</v>
      </c>
    </row>
    <row r="5" spans="1:7" x14ac:dyDescent="0.25">
      <c r="A5" s="3" t="s">
        <v>104</v>
      </c>
      <c r="B5" s="21">
        <v>1</v>
      </c>
      <c r="G5">
        <f>CORREL(Table2[DiabetesPedigreeFunction],Table2[Outcome])</f>
        <v>1.9335787477885585E-2</v>
      </c>
    </row>
    <row r="6" spans="1:7" x14ac:dyDescent="0.25">
      <c r="A6" s="3" t="s">
        <v>66</v>
      </c>
      <c r="B6" s="21">
        <v>267</v>
      </c>
    </row>
    <row r="7" spans="1:7" x14ac:dyDescent="0.25">
      <c r="A7" s="3" t="s">
        <v>10</v>
      </c>
      <c r="B7" s="21">
        <v>268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DE476-02DB-49ED-AA98-42CA6818E6A7}">
  <sheetPr codeName="Sheet13"/>
  <dimension ref="A3:G51"/>
  <sheetViews>
    <sheetView workbookViewId="0">
      <selection activeCell="M13" sqref="M13"/>
    </sheetView>
  </sheetViews>
  <sheetFormatPr defaultRowHeight="15" x14ac:dyDescent="0.25"/>
  <cols>
    <col min="1" max="1" width="13.140625" bestFit="1" customWidth="1"/>
    <col min="2" max="2" width="15.85546875" bestFit="1" customWidth="1"/>
    <col min="3" max="3" width="16.85546875" bestFit="1" customWidth="1"/>
  </cols>
  <sheetData>
    <row r="3" spans="1:4" x14ac:dyDescent="0.25">
      <c r="A3" s="2" t="s">
        <v>9</v>
      </c>
      <c r="B3" t="s">
        <v>11</v>
      </c>
    </row>
    <row r="4" spans="1:4" x14ac:dyDescent="0.25">
      <c r="A4" s="3" t="s">
        <v>41</v>
      </c>
      <c r="B4" s="21">
        <v>90</v>
      </c>
    </row>
    <row r="5" spans="1:4" x14ac:dyDescent="0.25">
      <c r="A5" s="3" t="s">
        <v>42</v>
      </c>
      <c r="B5" s="21">
        <v>76</v>
      </c>
    </row>
    <row r="6" spans="1:4" x14ac:dyDescent="0.25">
      <c r="A6" s="3" t="s">
        <v>43</v>
      </c>
      <c r="B6" s="21">
        <v>64</v>
      </c>
    </row>
    <row r="7" spans="1:4" x14ac:dyDescent="0.25">
      <c r="A7" s="3" t="s">
        <v>44</v>
      </c>
      <c r="B7" s="21">
        <v>31</v>
      </c>
    </row>
    <row r="8" spans="1:4" x14ac:dyDescent="0.25">
      <c r="A8" s="3" t="s">
        <v>45</v>
      </c>
      <c r="B8" s="21">
        <v>7</v>
      </c>
      <c r="D8" s="6"/>
    </row>
    <row r="9" spans="1:4" x14ac:dyDescent="0.25">
      <c r="A9" s="3" t="s">
        <v>46</v>
      </c>
      <c r="B9" s="21">
        <v>0</v>
      </c>
    </row>
    <row r="10" spans="1:4" x14ac:dyDescent="0.25">
      <c r="A10" s="3" t="s">
        <v>10</v>
      </c>
      <c r="B10" s="21">
        <v>268</v>
      </c>
    </row>
    <row r="41" spans="7:7" x14ac:dyDescent="0.25">
      <c r="G41">
        <f>CORREL(Table2[Age],Table2[Outcome])</f>
        <v>0.23835598302719743</v>
      </c>
    </row>
    <row r="51" spans="4:4" x14ac:dyDescent="0.25">
      <c r="D51" s="7"/>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D51DC-0B07-4ACF-AF24-B97C2D863CE4}">
  <sheetPr codeName="Sheet14"/>
  <dimension ref="A3:L21"/>
  <sheetViews>
    <sheetView workbookViewId="0">
      <selection activeCell="L6" sqref="L6"/>
    </sheetView>
  </sheetViews>
  <sheetFormatPr defaultRowHeight="15" x14ac:dyDescent="0.25"/>
  <cols>
    <col min="1" max="1" width="14" customWidth="1"/>
    <col min="2" max="2" width="13" customWidth="1"/>
    <col min="3" max="3" width="12.140625" customWidth="1"/>
    <col min="4" max="4" width="16.28515625" customWidth="1"/>
    <col min="7" max="7" width="19.7109375" customWidth="1"/>
    <col min="9" max="9" width="26.28515625" customWidth="1"/>
  </cols>
  <sheetData>
    <row r="3" spans="1:12" x14ac:dyDescent="0.25">
      <c r="A3" t="s">
        <v>16</v>
      </c>
      <c r="B3" t="s">
        <v>13</v>
      </c>
      <c r="C3" t="s">
        <v>14</v>
      </c>
      <c r="D3" t="s">
        <v>15</v>
      </c>
      <c r="G3" t="s">
        <v>25</v>
      </c>
    </row>
    <row r="4" spans="1:12" x14ac:dyDescent="0.25">
      <c r="A4" t="s">
        <v>17</v>
      </c>
      <c r="B4">
        <v>23</v>
      </c>
      <c r="C4">
        <v>0</v>
      </c>
      <c r="D4">
        <v>23</v>
      </c>
      <c r="F4">
        <v>3</v>
      </c>
      <c r="G4">
        <f>preg!F7</f>
        <v>0.24817242258800701</v>
      </c>
      <c r="I4" s="8"/>
      <c r="L4" s="10"/>
    </row>
    <row r="5" spans="1:12" x14ac:dyDescent="0.25">
      <c r="A5" t="s">
        <v>18</v>
      </c>
      <c r="B5">
        <v>2.61</v>
      </c>
      <c r="C5">
        <v>0</v>
      </c>
      <c r="D5">
        <v>2.61</v>
      </c>
      <c r="F5">
        <v>1</v>
      </c>
      <c r="G5">
        <f>glu!G66</f>
        <v>0.49291111346925159</v>
      </c>
    </row>
    <row r="6" spans="1:12" x14ac:dyDescent="0.25">
      <c r="A6" t="s">
        <v>19</v>
      </c>
      <c r="B6">
        <v>8.58</v>
      </c>
      <c r="C6">
        <v>0</v>
      </c>
      <c r="D6">
        <v>8.58</v>
      </c>
      <c r="G6">
        <f>bp!G10</f>
        <v>0.16287909949861915</v>
      </c>
      <c r="I6" s="9"/>
      <c r="L6" s="11"/>
    </row>
    <row r="7" spans="1:12" x14ac:dyDescent="0.25">
      <c r="A7" t="s">
        <v>20</v>
      </c>
      <c r="B7">
        <v>33.58</v>
      </c>
      <c r="C7">
        <v>0</v>
      </c>
      <c r="D7">
        <v>33.58</v>
      </c>
      <c r="G7">
        <f>st!G8</f>
        <v>0.17774149527260893</v>
      </c>
    </row>
    <row r="8" spans="1:12" x14ac:dyDescent="0.25">
      <c r="A8" t="s">
        <v>21</v>
      </c>
      <c r="B8">
        <v>51.49</v>
      </c>
      <c r="C8">
        <v>0</v>
      </c>
      <c r="D8">
        <v>51.49</v>
      </c>
      <c r="G8">
        <f>ins!G51</f>
        <v>0.17930792301752801</v>
      </c>
      <c r="I8" s="10"/>
      <c r="L8" s="12"/>
    </row>
    <row r="9" spans="1:12" x14ac:dyDescent="0.25">
      <c r="A9" t="s">
        <v>22</v>
      </c>
      <c r="B9">
        <v>9.33</v>
      </c>
      <c r="C9">
        <v>0</v>
      </c>
      <c r="D9">
        <v>9.33</v>
      </c>
      <c r="F9">
        <v>2</v>
      </c>
      <c r="G9">
        <f>bmi!G8</f>
        <v>0.31082954536314328</v>
      </c>
    </row>
    <row r="10" spans="1:12" x14ac:dyDescent="0.25">
      <c r="A10" t="s">
        <v>23</v>
      </c>
      <c r="B10">
        <v>100</v>
      </c>
      <c r="C10">
        <v>0</v>
      </c>
      <c r="D10">
        <v>100</v>
      </c>
      <c r="G10">
        <f>dpf!G5</f>
        <v>1.9335787477885585E-2</v>
      </c>
      <c r="I10" s="11"/>
      <c r="L10" s="13"/>
    </row>
    <row r="11" spans="1:12" x14ac:dyDescent="0.25">
      <c r="A11" t="s">
        <v>24</v>
      </c>
      <c r="B11">
        <v>5.22</v>
      </c>
      <c r="C11">
        <v>0</v>
      </c>
      <c r="D11">
        <v>5.22</v>
      </c>
      <c r="F11">
        <v>4</v>
      </c>
      <c r="G11">
        <f>age!G41</f>
        <v>0.23835598302719743</v>
      </c>
    </row>
    <row r="12" spans="1:12" x14ac:dyDescent="0.25">
      <c r="I12" s="12"/>
      <c r="L12" s="14"/>
    </row>
    <row r="14" spans="1:12" x14ac:dyDescent="0.25">
      <c r="D14">
        <v>100</v>
      </c>
      <c r="F14">
        <v>8</v>
      </c>
    </row>
    <row r="15" spans="1:12" x14ac:dyDescent="0.25">
      <c r="D15">
        <v>51.49</v>
      </c>
      <c r="F15">
        <v>5</v>
      </c>
    </row>
    <row r="16" spans="1:12" x14ac:dyDescent="0.25">
      <c r="D16">
        <v>33.58</v>
      </c>
      <c r="F16">
        <v>6</v>
      </c>
    </row>
    <row r="17" spans="4:6" x14ac:dyDescent="0.25">
      <c r="D17">
        <v>23</v>
      </c>
      <c r="F17">
        <v>3</v>
      </c>
    </row>
    <row r="18" spans="4:6" x14ac:dyDescent="0.25">
      <c r="D18">
        <v>9.33</v>
      </c>
    </row>
    <row r="19" spans="4:6" x14ac:dyDescent="0.25">
      <c r="D19">
        <v>8.58</v>
      </c>
    </row>
    <row r="20" spans="4:6" x14ac:dyDescent="0.25">
      <c r="D20">
        <v>5.22</v>
      </c>
    </row>
    <row r="21" spans="4:6" x14ac:dyDescent="0.25">
      <c r="D21">
        <v>2.61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70F47-C16D-4244-BF02-02CCD6100720}">
  <sheetPr codeName="Sheet15"/>
  <dimension ref="A3:B4"/>
  <sheetViews>
    <sheetView workbookViewId="0">
      <selection activeCell="B4" sqref="B4"/>
    </sheetView>
  </sheetViews>
  <sheetFormatPr defaultRowHeight="15" x14ac:dyDescent="0.25"/>
  <cols>
    <col min="1" max="1" width="15.85546875" bestFit="1" customWidth="1"/>
    <col min="2" max="3" width="20.5703125" bestFit="1" customWidth="1"/>
  </cols>
  <sheetData>
    <row r="3" spans="1:2" x14ac:dyDescent="0.25">
      <c r="A3" t="s">
        <v>11</v>
      </c>
      <c r="B3" t="s">
        <v>67</v>
      </c>
    </row>
    <row r="4" spans="1:2" x14ac:dyDescent="0.25">
      <c r="A4" s="21">
        <v>268</v>
      </c>
      <c r="B4" s="21">
        <v>268</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162E9-9AFB-4197-9601-7B23591350C3}">
  <sheetPr codeName="Sheet16"/>
  <dimension ref="A3:B4"/>
  <sheetViews>
    <sheetView workbookViewId="0">
      <selection activeCell="B4" sqref="B4"/>
    </sheetView>
  </sheetViews>
  <sheetFormatPr defaultRowHeight="15" x14ac:dyDescent="0.25"/>
  <cols>
    <col min="1" max="1" width="15.85546875" bestFit="1" customWidth="1"/>
    <col min="2" max="2" width="31.42578125" bestFit="1" customWidth="1"/>
  </cols>
  <sheetData>
    <row r="3" spans="1:2" x14ac:dyDescent="0.25">
      <c r="A3" t="s">
        <v>11</v>
      </c>
      <c r="B3" t="s">
        <v>68</v>
      </c>
    </row>
    <row r="4" spans="1:2" x14ac:dyDescent="0.25">
      <c r="A4" s="21">
        <v>268</v>
      </c>
      <c r="B4" s="21">
        <v>254</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10829-F0C6-4761-BA5A-0CD08FBD74F1}">
  <sheetPr codeName="Sheet41"/>
  <dimension ref="A1"/>
  <sheetViews>
    <sheetView workbookViewId="0"/>
  </sheetViews>
  <sheetFormatPr defaultRowHeight="15" x14ac:dyDescent="0.2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D2F7C-4CD7-4379-B568-8884B05B7732}">
  <sheetPr codeName="Sheet17"/>
  <dimension ref="A3:B4"/>
  <sheetViews>
    <sheetView workbookViewId="0">
      <selection activeCell="B4" sqref="B4"/>
    </sheetView>
  </sheetViews>
  <sheetFormatPr defaultRowHeight="15" x14ac:dyDescent="0.25"/>
  <cols>
    <col min="1" max="1" width="15.85546875" bestFit="1" customWidth="1"/>
    <col min="2" max="2" width="24.28515625" bestFit="1" customWidth="1"/>
  </cols>
  <sheetData>
    <row r="3" spans="1:2" x14ac:dyDescent="0.25">
      <c r="A3" t="s">
        <v>11</v>
      </c>
      <c r="B3" t="s">
        <v>70</v>
      </c>
    </row>
    <row r="4" spans="1:2" x14ac:dyDescent="0.25">
      <c r="A4" s="21">
        <v>268</v>
      </c>
      <c r="B4" s="21">
        <v>254</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686C5-5096-4643-B65C-F1EC4C63CB5B}">
  <sheetPr codeName="Sheet18"/>
  <dimension ref="A1:U34"/>
  <sheetViews>
    <sheetView showRowColHeaders="0" tabSelected="1" workbookViewId="0">
      <selection activeCell="H2" sqref="H2"/>
    </sheetView>
  </sheetViews>
  <sheetFormatPr defaultRowHeight="15" x14ac:dyDescent="0.25"/>
  <sheetData>
    <row r="1" spans="1:21" x14ac:dyDescent="0.25">
      <c r="A1" s="14"/>
      <c r="B1" s="14"/>
      <c r="C1" s="14"/>
      <c r="D1" s="14"/>
      <c r="E1" s="14"/>
      <c r="F1" s="14"/>
      <c r="G1" s="14"/>
      <c r="H1" s="14"/>
      <c r="I1" s="14"/>
      <c r="J1" s="14"/>
      <c r="K1" s="14"/>
      <c r="L1" s="14"/>
      <c r="M1" s="14"/>
      <c r="N1" s="14"/>
      <c r="O1" s="14"/>
      <c r="P1" s="14"/>
      <c r="Q1" s="14"/>
      <c r="R1" s="14"/>
      <c r="S1" s="14"/>
      <c r="T1" s="14"/>
      <c r="U1" s="14"/>
    </row>
    <row r="2" spans="1:21" x14ac:dyDescent="0.25">
      <c r="A2" s="14"/>
      <c r="B2" s="14"/>
      <c r="C2" s="14"/>
      <c r="D2" s="14"/>
      <c r="E2" s="14"/>
      <c r="F2" s="14"/>
      <c r="G2" s="14"/>
      <c r="H2" s="14"/>
      <c r="I2" s="14"/>
      <c r="J2" s="14"/>
      <c r="K2" s="14"/>
      <c r="L2" s="14"/>
      <c r="M2" s="14"/>
      <c r="N2" s="14"/>
      <c r="O2" s="14"/>
      <c r="P2" s="14"/>
      <c r="Q2" s="14"/>
      <c r="R2" s="14"/>
      <c r="S2" s="14"/>
      <c r="T2" s="14"/>
      <c r="U2" s="14"/>
    </row>
    <row r="3" spans="1:21" x14ac:dyDescent="0.25">
      <c r="A3" s="14"/>
      <c r="B3" s="14"/>
      <c r="C3" s="14"/>
      <c r="D3" s="14"/>
      <c r="E3" s="14"/>
      <c r="F3" s="14"/>
      <c r="G3" s="14"/>
      <c r="H3" s="14"/>
      <c r="I3" s="14"/>
      <c r="J3" s="14"/>
      <c r="K3" s="14"/>
      <c r="L3" s="14"/>
      <c r="M3" s="14"/>
      <c r="N3" s="14"/>
      <c r="O3" s="14"/>
      <c r="P3" s="14"/>
      <c r="Q3" s="14"/>
      <c r="R3" s="14"/>
      <c r="S3" s="14"/>
      <c r="T3" s="14"/>
      <c r="U3" s="14"/>
    </row>
    <row r="4" spans="1:21" x14ac:dyDescent="0.25">
      <c r="A4" s="14"/>
      <c r="B4" s="14"/>
      <c r="C4" s="14"/>
      <c r="D4" s="14"/>
      <c r="E4" s="14"/>
      <c r="F4" s="14"/>
      <c r="G4" s="14"/>
      <c r="H4" s="14"/>
      <c r="I4" s="14"/>
      <c r="J4" s="14"/>
      <c r="K4" s="14"/>
      <c r="L4" s="14"/>
      <c r="M4" s="14"/>
      <c r="N4" s="14"/>
      <c r="O4" s="14"/>
      <c r="P4" s="14"/>
      <c r="Q4" s="14"/>
      <c r="R4" s="14"/>
      <c r="S4" s="14"/>
      <c r="T4" s="14"/>
      <c r="U4" s="14"/>
    </row>
    <row r="5" spans="1:21" x14ac:dyDescent="0.25">
      <c r="A5" s="14"/>
      <c r="B5" s="14"/>
      <c r="C5" s="14"/>
      <c r="D5" s="14"/>
      <c r="E5" s="14"/>
      <c r="F5" s="14"/>
      <c r="G5" s="14"/>
      <c r="H5" s="14"/>
      <c r="I5" s="14"/>
      <c r="J5" s="14"/>
      <c r="K5" s="14"/>
      <c r="L5" s="14"/>
      <c r="M5" s="14"/>
      <c r="N5" s="14"/>
      <c r="O5" s="14"/>
      <c r="P5" s="14"/>
      <c r="Q5" s="14"/>
      <c r="R5" s="14"/>
      <c r="S5" s="14"/>
      <c r="T5" s="14"/>
      <c r="U5" s="14"/>
    </row>
    <row r="6" spans="1:21" x14ac:dyDescent="0.25">
      <c r="A6" s="14"/>
      <c r="B6" s="14"/>
      <c r="C6" s="14"/>
      <c r="D6" s="14"/>
      <c r="E6" s="14"/>
      <c r="F6" s="14"/>
      <c r="G6" s="14"/>
      <c r="H6" s="14"/>
      <c r="I6" s="14"/>
      <c r="J6" s="14"/>
      <c r="K6" s="14"/>
      <c r="L6" s="14"/>
      <c r="M6" s="14"/>
      <c r="N6" s="14"/>
      <c r="O6" s="14"/>
      <c r="P6" s="14"/>
      <c r="Q6" s="14"/>
      <c r="R6" s="14"/>
      <c r="S6" s="14"/>
      <c r="T6" s="14"/>
      <c r="U6" s="14"/>
    </row>
    <row r="7" spans="1:21" x14ac:dyDescent="0.25">
      <c r="A7" s="14"/>
      <c r="B7" s="14"/>
      <c r="C7" s="14"/>
      <c r="D7" s="14"/>
      <c r="E7" s="14"/>
      <c r="F7" s="14"/>
      <c r="G7" s="14"/>
      <c r="H7" s="14"/>
      <c r="I7" s="14"/>
      <c r="J7" s="14"/>
      <c r="K7" s="14"/>
      <c r="L7" s="14"/>
      <c r="M7" s="14"/>
      <c r="N7" s="14"/>
      <c r="O7" s="14"/>
      <c r="P7" s="14"/>
      <c r="Q7" s="14"/>
      <c r="R7" s="14"/>
      <c r="S7" s="14"/>
      <c r="T7" s="14"/>
      <c r="U7" s="14"/>
    </row>
    <row r="8" spans="1:21" x14ac:dyDescent="0.25">
      <c r="A8" s="14"/>
      <c r="B8" s="14"/>
      <c r="C8" s="14"/>
      <c r="D8" s="14"/>
      <c r="E8" s="14"/>
      <c r="F8" s="14"/>
      <c r="G8" s="14"/>
      <c r="H8" s="14"/>
      <c r="I8" s="14"/>
      <c r="J8" s="14"/>
      <c r="K8" s="14"/>
      <c r="L8" s="14"/>
      <c r="M8" s="14"/>
      <c r="N8" s="14"/>
      <c r="O8" s="14"/>
      <c r="P8" s="14"/>
      <c r="Q8" s="14"/>
      <c r="R8" s="14"/>
      <c r="S8" s="14"/>
      <c r="T8" s="14"/>
      <c r="U8" s="14"/>
    </row>
    <row r="9" spans="1:21" x14ac:dyDescent="0.25">
      <c r="A9" s="14"/>
      <c r="B9" s="14"/>
      <c r="C9" s="14"/>
      <c r="D9" s="14"/>
      <c r="E9" s="14"/>
      <c r="F9" s="14"/>
      <c r="G9" s="14"/>
      <c r="H9" s="14"/>
      <c r="I9" s="16"/>
      <c r="J9" s="14"/>
      <c r="K9" s="14"/>
      <c r="L9" s="14"/>
      <c r="M9" s="14"/>
      <c r="N9" s="14"/>
      <c r="O9" s="14"/>
      <c r="P9" s="14"/>
      <c r="Q9" s="14"/>
      <c r="R9" s="14"/>
      <c r="S9" s="14"/>
      <c r="T9" s="14"/>
      <c r="U9" s="14"/>
    </row>
    <row r="10" spans="1:21" x14ac:dyDescent="0.25">
      <c r="A10" s="14"/>
      <c r="B10" s="14"/>
      <c r="C10" s="14"/>
      <c r="D10" s="14"/>
      <c r="E10" s="14"/>
      <c r="F10" s="14"/>
      <c r="G10" s="14"/>
      <c r="H10" s="14"/>
      <c r="I10" s="14"/>
      <c r="J10" s="14"/>
      <c r="K10" s="14"/>
      <c r="L10" s="14"/>
      <c r="M10" s="14"/>
      <c r="N10" s="14"/>
      <c r="O10" s="14"/>
      <c r="P10" s="14"/>
      <c r="Q10" s="14"/>
      <c r="R10" s="14"/>
      <c r="S10" s="14"/>
      <c r="T10" s="14"/>
      <c r="U10" s="14"/>
    </row>
    <row r="11" spans="1:21" x14ac:dyDescent="0.25">
      <c r="A11" s="14"/>
      <c r="B11" s="14"/>
      <c r="C11" s="14"/>
      <c r="D11" s="14"/>
      <c r="E11" s="14"/>
      <c r="F11" s="14"/>
      <c r="G11" s="14"/>
      <c r="H11" s="14"/>
      <c r="I11" s="14"/>
      <c r="J11" s="14"/>
      <c r="K11" s="14"/>
      <c r="L11" s="14"/>
      <c r="M11" s="14"/>
      <c r="N11" s="14"/>
      <c r="O11" s="14"/>
      <c r="P11" s="14"/>
      <c r="Q11" s="14"/>
      <c r="R11" s="14"/>
      <c r="S11" s="14"/>
      <c r="T11" s="14"/>
      <c r="U11" s="14"/>
    </row>
    <row r="12" spans="1:21" x14ac:dyDescent="0.25">
      <c r="A12" s="14"/>
      <c r="B12" s="14"/>
      <c r="C12" s="14"/>
      <c r="D12" s="14"/>
      <c r="E12" s="14"/>
      <c r="F12" s="14"/>
      <c r="G12" s="14"/>
      <c r="H12" s="14"/>
      <c r="I12" s="14"/>
      <c r="J12" s="14"/>
      <c r="K12" s="14"/>
      <c r="L12" s="14"/>
      <c r="M12" s="14"/>
      <c r="N12" s="14"/>
      <c r="O12" s="14"/>
      <c r="P12" s="14"/>
      <c r="Q12" s="14"/>
      <c r="R12" s="14"/>
      <c r="S12" s="14"/>
      <c r="T12" s="14"/>
      <c r="U12" s="14"/>
    </row>
    <row r="13" spans="1:21" x14ac:dyDescent="0.25">
      <c r="A13" s="14"/>
      <c r="B13" s="14"/>
      <c r="C13" s="14"/>
      <c r="D13" s="14"/>
      <c r="E13" s="14"/>
      <c r="F13" s="14"/>
      <c r="G13" s="14"/>
      <c r="H13" s="14"/>
      <c r="I13" s="14"/>
      <c r="J13" s="14"/>
      <c r="K13" s="14"/>
      <c r="L13" s="14"/>
      <c r="M13" s="14"/>
      <c r="N13" s="14"/>
      <c r="O13" s="14"/>
      <c r="P13" s="14"/>
      <c r="Q13" s="14"/>
      <c r="R13" s="14"/>
      <c r="S13" s="14"/>
      <c r="T13" s="14"/>
      <c r="U13" s="14"/>
    </row>
    <row r="14" spans="1:21" x14ac:dyDescent="0.25">
      <c r="A14" s="14"/>
      <c r="B14" s="14"/>
      <c r="C14" s="14"/>
      <c r="D14" s="14"/>
      <c r="E14" s="14"/>
      <c r="F14" s="14"/>
      <c r="G14" s="14"/>
      <c r="H14" s="14"/>
      <c r="I14" s="14"/>
      <c r="J14" s="14"/>
      <c r="K14" s="14"/>
      <c r="L14" s="14"/>
      <c r="M14" s="14"/>
      <c r="N14" s="14"/>
      <c r="O14" s="14"/>
      <c r="P14" s="14"/>
      <c r="Q14" s="14"/>
      <c r="R14" s="14"/>
      <c r="S14" s="14"/>
      <c r="T14" s="14"/>
      <c r="U14" s="14"/>
    </row>
    <row r="15" spans="1:21" x14ac:dyDescent="0.25">
      <c r="A15" s="14"/>
      <c r="B15" s="14"/>
      <c r="C15" s="14"/>
      <c r="D15" s="14"/>
      <c r="E15" s="14"/>
      <c r="F15" s="14"/>
      <c r="G15" s="14"/>
      <c r="H15" s="14"/>
      <c r="I15" s="14"/>
      <c r="J15" s="14"/>
      <c r="K15" s="14"/>
      <c r="L15" s="14"/>
      <c r="M15" s="14"/>
      <c r="N15" s="14"/>
      <c r="O15" s="14"/>
      <c r="P15" s="14"/>
      <c r="Q15" s="14"/>
      <c r="R15" s="14"/>
      <c r="S15" s="14"/>
      <c r="T15" s="14"/>
      <c r="U15" s="14"/>
    </row>
    <row r="16" spans="1:21" x14ac:dyDescent="0.25">
      <c r="A16" s="14"/>
      <c r="B16" s="14"/>
      <c r="C16" s="14"/>
      <c r="D16" s="14"/>
      <c r="E16" s="14"/>
      <c r="F16" s="14"/>
      <c r="G16" s="14"/>
      <c r="H16" s="14"/>
      <c r="I16" s="14"/>
      <c r="J16" s="14"/>
      <c r="K16" s="14"/>
      <c r="L16" s="14"/>
      <c r="M16" s="14"/>
      <c r="N16" s="14"/>
      <c r="O16" s="14"/>
      <c r="P16" s="14"/>
      <c r="Q16" s="14"/>
      <c r="R16" s="14"/>
      <c r="S16" s="14"/>
      <c r="T16" s="14"/>
      <c r="U16" s="14"/>
    </row>
    <row r="17" spans="1:21" x14ac:dyDescent="0.25">
      <c r="A17" s="14"/>
      <c r="B17" s="14"/>
      <c r="C17" s="14"/>
      <c r="D17" s="14"/>
      <c r="E17" s="14"/>
      <c r="F17" s="14"/>
      <c r="G17" s="14"/>
      <c r="H17" s="14"/>
      <c r="I17" s="14"/>
      <c r="J17" s="14"/>
      <c r="K17" s="14"/>
      <c r="L17" s="17"/>
      <c r="M17" s="14"/>
      <c r="N17" s="14"/>
      <c r="O17" s="14"/>
      <c r="P17" s="14"/>
      <c r="Q17" s="14"/>
      <c r="R17" s="14"/>
      <c r="S17" s="14"/>
      <c r="T17" s="14"/>
      <c r="U17" s="14"/>
    </row>
    <row r="18" spans="1:21" x14ac:dyDescent="0.25">
      <c r="A18" s="14"/>
      <c r="B18" s="14"/>
      <c r="C18" s="14"/>
      <c r="D18" s="14"/>
      <c r="E18" s="14"/>
      <c r="F18" s="14"/>
      <c r="G18" s="14"/>
      <c r="H18" s="14"/>
      <c r="I18" s="14"/>
      <c r="J18" s="14"/>
      <c r="K18" s="14"/>
      <c r="L18" s="14"/>
      <c r="M18" s="14"/>
      <c r="N18" s="14"/>
      <c r="O18" s="14"/>
      <c r="P18" s="14"/>
      <c r="Q18" s="14"/>
      <c r="R18" s="14"/>
      <c r="S18" s="14"/>
      <c r="T18" s="14"/>
      <c r="U18" s="14"/>
    </row>
    <row r="19" spans="1:21" x14ac:dyDescent="0.25">
      <c r="A19" s="14"/>
      <c r="B19" s="14"/>
      <c r="C19" s="14"/>
      <c r="D19" s="14"/>
      <c r="E19" s="14"/>
      <c r="F19" s="14"/>
      <c r="G19" s="14"/>
      <c r="H19" s="14"/>
      <c r="I19" s="14"/>
      <c r="J19" s="14"/>
      <c r="K19" s="14"/>
      <c r="L19" s="14"/>
      <c r="M19" s="14"/>
      <c r="N19" s="14"/>
      <c r="O19" s="14"/>
      <c r="P19" s="14"/>
      <c r="Q19" s="14"/>
      <c r="R19" s="14"/>
      <c r="S19" s="14"/>
      <c r="T19" s="14"/>
      <c r="U19" s="14"/>
    </row>
    <row r="20" spans="1:21" x14ac:dyDescent="0.25">
      <c r="A20" s="14"/>
      <c r="B20" s="14"/>
      <c r="C20" s="14"/>
      <c r="D20" s="14"/>
      <c r="E20" s="14"/>
      <c r="F20" s="14"/>
      <c r="G20" s="14"/>
      <c r="H20" s="14"/>
      <c r="I20" s="14"/>
      <c r="J20" s="14"/>
      <c r="K20" s="14"/>
      <c r="L20" s="14"/>
      <c r="M20" s="14"/>
      <c r="N20" s="14"/>
      <c r="O20" s="14"/>
      <c r="P20" s="14"/>
      <c r="Q20" s="14"/>
      <c r="R20" s="14"/>
      <c r="S20" s="14"/>
      <c r="T20" s="14"/>
      <c r="U20" s="14"/>
    </row>
    <row r="21" spans="1:21" x14ac:dyDescent="0.25">
      <c r="A21" s="14"/>
      <c r="B21" s="14"/>
      <c r="C21" s="14"/>
      <c r="D21" s="14"/>
      <c r="E21" s="14"/>
      <c r="F21" s="14"/>
      <c r="G21" s="14"/>
      <c r="H21" s="14"/>
      <c r="I21" s="14"/>
      <c r="J21" s="14"/>
      <c r="K21" s="14"/>
      <c r="L21" s="14"/>
      <c r="M21" s="14"/>
      <c r="N21" s="14"/>
      <c r="O21" s="14"/>
      <c r="P21" s="14"/>
      <c r="Q21" s="14"/>
      <c r="R21" s="14"/>
      <c r="S21" s="14"/>
      <c r="T21" s="14"/>
      <c r="U21" s="14"/>
    </row>
    <row r="22" spans="1:21" x14ac:dyDescent="0.25">
      <c r="A22" s="14"/>
      <c r="B22" s="14"/>
      <c r="C22" s="14"/>
      <c r="D22" s="14"/>
      <c r="E22" s="14"/>
      <c r="F22" s="14"/>
      <c r="G22" s="14"/>
      <c r="H22" s="14"/>
      <c r="I22" s="14"/>
      <c r="J22" s="14"/>
      <c r="K22" s="14"/>
      <c r="L22" s="14"/>
      <c r="M22" s="14"/>
      <c r="N22" s="14"/>
      <c r="O22" s="14"/>
      <c r="P22" s="14"/>
      <c r="Q22" s="14"/>
      <c r="R22" s="14"/>
      <c r="S22" s="14"/>
      <c r="T22" s="14"/>
      <c r="U22" s="14"/>
    </row>
    <row r="23" spans="1:21" x14ac:dyDescent="0.25">
      <c r="A23" s="14"/>
      <c r="B23" s="14"/>
      <c r="C23" s="14"/>
      <c r="D23" s="14"/>
      <c r="E23" s="14"/>
      <c r="F23" s="14"/>
      <c r="G23" s="14"/>
      <c r="H23" s="14"/>
      <c r="I23" s="14"/>
      <c r="J23" s="14"/>
      <c r="K23" s="14"/>
      <c r="L23" s="14"/>
      <c r="M23" s="14"/>
      <c r="N23" s="14"/>
      <c r="O23" s="14"/>
      <c r="P23" s="14"/>
      <c r="Q23" s="14"/>
      <c r="R23" s="14"/>
      <c r="S23" s="14"/>
      <c r="T23" s="14"/>
      <c r="U23" s="14"/>
    </row>
    <row r="24" spans="1:21" x14ac:dyDescent="0.25">
      <c r="A24" s="14"/>
      <c r="B24" s="14"/>
      <c r="C24" s="14"/>
      <c r="D24" s="14"/>
      <c r="E24" s="14"/>
      <c r="F24" s="14"/>
      <c r="G24" s="14"/>
      <c r="H24" s="14"/>
      <c r="I24" s="14"/>
      <c r="J24" s="14"/>
      <c r="K24" s="14"/>
      <c r="L24" s="14"/>
      <c r="M24" s="14"/>
      <c r="N24" s="14"/>
      <c r="O24" s="14"/>
      <c r="P24" s="14"/>
      <c r="Q24" s="14"/>
      <c r="R24" s="14"/>
      <c r="S24" s="14"/>
      <c r="T24" s="14"/>
      <c r="U24" s="14"/>
    </row>
    <row r="25" spans="1:21" x14ac:dyDescent="0.25">
      <c r="A25" s="14"/>
      <c r="B25" s="14"/>
      <c r="C25" s="14"/>
      <c r="D25" s="14"/>
      <c r="E25" s="14"/>
      <c r="F25" s="14"/>
      <c r="G25" s="14"/>
      <c r="H25" s="14"/>
      <c r="I25" s="14"/>
      <c r="J25" s="14"/>
      <c r="K25" s="14"/>
      <c r="L25" s="14"/>
      <c r="M25" s="14"/>
      <c r="N25" s="14"/>
      <c r="O25" s="14"/>
      <c r="P25" s="14"/>
      <c r="Q25" s="14"/>
      <c r="R25" s="14"/>
      <c r="S25" s="14"/>
      <c r="T25" s="14"/>
      <c r="U25" s="14"/>
    </row>
    <row r="26" spans="1:21" x14ac:dyDescent="0.25">
      <c r="A26" s="14"/>
      <c r="B26" s="14"/>
      <c r="C26" s="14"/>
      <c r="D26" s="14"/>
      <c r="E26" s="14"/>
      <c r="F26" s="14"/>
      <c r="G26" s="14"/>
      <c r="H26" s="14"/>
      <c r="I26" s="14"/>
      <c r="J26" s="14"/>
      <c r="K26" s="14"/>
      <c r="L26" s="14"/>
      <c r="M26" s="14"/>
      <c r="N26" s="14"/>
      <c r="O26" s="14"/>
      <c r="P26" s="14"/>
      <c r="Q26" s="14"/>
      <c r="R26" s="14"/>
      <c r="S26" s="14"/>
      <c r="T26" s="14"/>
      <c r="U26" s="14"/>
    </row>
    <row r="27" spans="1:21" x14ac:dyDescent="0.25">
      <c r="A27" s="14"/>
      <c r="B27" s="14"/>
      <c r="C27" s="14"/>
      <c r="D27" s="14"/>
      <c r="E27" s="14"/>
      <c r="F27" s="14"/>
      <c r="G27" s="14"/>
      <c r="H27" s="14"/>
      <c r="I27" s="14"/>
      <c r="J27" s="14"/>
      <c r="K27" s="14"/>
      <c r="L27" s="14"/>
      <c r="M27" s="14"/>
      <c r="N27" s="14"/>
      <c r="O27" s="14"/>
      <c r="P27" s="14"/>
      <c r="Q27" s="14"/>
      <c r="R27" s="14"/>
      <c r="S27" s="14"/>
      <c r="T27" s="14"/>
      <c r="U27" s="14"/>
    </row>
    <row r="28" spans="1:21" x14ac:dyDescent="0.25">
      <c r="A28" s="14"/>
      <c r="B28" s="14"/>
      <c r="C28" s="14"/>
      <c r="D28" s="14"/>
      <c r="E28" s="14"/>
      <c r="F28" s="14"/>
      <c r="G28" s="14"/>
      <c r="H28" s="14"/>
      <c r="I28" s="14"/>
      <c r="J28" s="14"/>
      <c r="K28" s="14"/>
      <c r="L28" s="14"/>
      <c r="M28" s="14"/>
      <c r="N28" s="14"/>
      <c r="O28" s="14"/>
      <c r="P28" s="14"/>
      <c r="Q28" s="14"/>
      <c r="R28" s="14"/>
      <c r="S28" s="14"/>
      <c r="T28" s="14"/>
      <c r="U28" s="14"/>
    </row>
    <row r="29" spans="1:21" x14ac:dyDescent="0.25">
      <c r="A29" s="14"/>
      <c r="B29" s="14"/>
      <c r="C29" s="14"/>
      <c r="D29" s="14"/>
      <c r="E29" s="14"/>
      <c r="F29" s="14"/>
      <c r="G29" s="14"/>
      <c r="H29" s="14"/>
      <c r="I29" s="14"/>
      <c r="J29" s="14"/>
      <c r="K29" s="14"/>
      <c r="L29" s="14"/>
      <c r="M29" s="14"/>
      <c r="N29" s="14"/>
      <c r="O29" s="14"/>
      <c r="P29" s="14"/>
      <c r="Q29" s="14"/>
      <c r="R29" s="14"/>
      <c r="S29" s="14"/>
      <c r="T29" s="14"/>
      <c r="U29" s="14"/>
    </row>
    <row r="30" spans="1:21" x14ac:dyDescent="0.25">
      <c r="A30" s="14"/>
      <c r="B30" s="14"/>
      <c r="C30" s="14"/>
      <c r="D30" s="14"/>
      <c r="E30" s="14"/>
      <c r="F30" s="14"/>
      <c r="G30" s="14"/>
      <c r="H30" s="14"/>
      <c r="I30" s="14"/>
      <c r="J30" s="14"/>
      <c r="K30" s="14"/>
      <c r="L30" s="14"/>
      <c r="M30" s="14"/>
      <c r="N30" s="14"/>
      <c r="O30" s="14"/>
      <c r="P30" s="14"/>
      <c r="Q30" s="14"/>
      <c r="R30" s="14"/>
      <c r="S30" s="14"/>
      <c r="T30" s="14"/>
      <c r="U30" s="14"/>
    </row>
    <row r="31" spans="1:21" x14ac:dyDescent="0.25">
      <c r="A31" s="14"/>
      <c r="B31" s="14"/>
      <c r="C31" s="14"/>
      <c r="D31" s="14"/>
      <c r="E31" s="14"/>
      <c r="F31" s="14"/>
      <c r="G31" s="14"/>
      <c r="H31" s="14"/>
      <c r="I31" s="14"/>
      <c r="J31" s="14"/>
      <c r="K31" s="14"/>
      <c r="L31" s="14"/>
      <c r="M31" s="14"/>
      <c r="N31" s="14"/>
      <c r="O31" s="14"/>
      <c r="P31" s="14"/>
      <c r="Q31" s="14"/>
      <c r="R31" s="14"/>
      <c r="S31" s="14"/>
      <c r="T31" s="14"/>
      <c r="U31" s="14"/>
    </row>
    <row r="32" spans="1:21" x14ac:dyDescent="0.25">
      <c r="A32" s="14"/>
      <c r="B32" s="14"/>
      <c r="C32" s="14"/>
      <c r="D32" s="14"/>
      <c r="E32" s="14"/>
      <c r="F32" s="14"/>
      <c r="G32" s="14"/>
      <c r="H32" s="14"/>
      <c r="I32" s="14"/>
      <c r="J32" s="14"/>
      <c r="K32" s="14"/>
      <c r="L32" s="14"/>
      <c r="M32" s="14"/>
      <c r="N32" s="14"/>
      <c r="O32" s="14"/>
      <c r="P32" s="14"/>
      <c r="Q32" s="14"/>
      <c r="R32" s="14"/>
      <c r="S32" s="14"/>
      <c r="T32" s="14"/>
      <c r="U32" s="14"/>
    </row>
    <row r="33" spans="1:21" x14ac:dyDescent="0.25">
      <c r="A33" s="14"/>
      <c r="B33" s="14"/>
      <c r="C33" s="14"/>
      <c r="D33" s="14"/>
      <c r="E33" s="14"/>
      <c r="F33" s="14"/>
      <c r="G33" s="14"/>
      <c r="H33" s="14"/>
      <c r="I33" s="14"/>
      <c r="J33" s="14"/>
      <c r="K33" s="14"/>
      <c r="L33" s="14"/>
      <c r="M33" s="14"/>
      <c r="N33" s="14"/>
      <c r="O33" s="14"/>
      <c r="P33" s="14"/>
      <c r="Q33" s="14"/>
      <c r="R33" s="14"/>
      <c r="S33" s="14"/>
      <c r="T33" s="14"/>
      <c r="U33" s="14"/>
    </row>
    <row r="34" spans="1:21" x14ac:dyDescent="0.25">
      <c r="A34" s="14"/>
      <c r="B34" s="14"/>
      <c r="C34" s="14"/>
      <c r="D34" s="14"/>
      <c r="E34" s="14"/>
      <c r="F34" s="14"/>
      <c r="G34" s="14"/>
      <c r="H34" s="14"/>
      <c r="I34" s="14"/>
      <c r="J34" s="14"/>
      <c r="K34" s="14"/>
      <c r="L34" s="14"/>
      <c r="M34" s="14"/>
      <c r="N34" s="14"/>
      <c r="O34" s="14"/>
      <c r="P34" s="14"/>
      <c r="Q34" s="14"/>
      <c r="R34" s="14"/>
      <c r="S34" s="14"/>
      <c r="T34" s="14"/>
      <c r="U34" s="1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97658-DA46-44F5-B7BB-7432A1617333}">
  <sheetPr codeName="Sheet19"/>
  <dimension ref="A1"/>
  <sheetViews>
    <sheetView workbookViewId="0"/>
  </sheetViews>
  <sheetFormatPr defaultRowHeight="15" x14ac:dyDescent="0.2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542FB-52E6-494F-9A6F-3E4293334CBC}">
  <sheetPr codeName="Sheet20"/>
  <dimension ref="A1:U34"/>
  <sheetViews>
    <sheetView showRowColHeaders="0" topLeftCell="A11" workbookViewId="0"/>
  </sheetViews>
  <sheetFormatPr defaultRowHeight="15" x14ac:dyDescent="0.25"/>
  <sheetData>
    <row r="1" spans="1:21" x14ac:dyDescent="0.25">
      <c r="A1" s="14"/>
      <c r="B1" s="14"/>
      <c r="C1" s="14"/>
      <c r="D1" s="14"/>
      <c r="E1" s="14"/>
      <c r="F1" s="14"/>
      <c r="G1" s="14"/>
      <c r="H1" s="14"/>
      <c r="I1" s="14"/>
      <c r="J1" s="14"/>
      <c r="K1" s="14"/>
      <c r="L1" s="14"/>
      <c r="M1" s="14"/>
      <c r="N1" s="14"/>
      <c r="O1" s="14"/>
      <c r="P1" s="14"/>
      <c r="Q1" s="14"/>
      <c r="R1" s="14"/>
      <c r="S1" s="14"/>
      <c r="T1" s="14"/>
      <c r="U1" s="14"/>
    </row>
    <row r="2" spans="1:21" x14ac:dyDescent="0.25">
      <c r="A2" s="14"/>
      <c r="B2" s="14"/>
      <c r="C2" s="14"/>
      <c r="D2" s="14"/>
      <c r="E2" s="14"/>
      <c r="F2" s="14"/>
      <c r="G2" s="14"/>
      <c r="H2" s="14"/>
      <c r="I2" s="14"/>
      <c r="J2" s="14"/>
      <c r="K2" s="14"/>
      <c r="L2" s="14"/>
      <c r="M2" s="14"/>
      <c r="N2" s="14"/>
      <c r="O2" s="14"/>
      <c r="P2" s="14"/>
      <c r="Q2" s="14"/>
      <c r="R2" s="14"/>
      <c r="S2" s="14"/>
      <c r="T2" s="14"/>
      <c r="U2" s="14"/>
    </row>
    <row r="3" spans="1:21" x14ac:dyDescent="0.25">
      <c r="A3" s="14"/>
      <c r="B3" s="14"/>
      <c r="C3" s="14"/>
      <c r="D3" s="14"/>
      <c r="E3" s="14"/>
      <c r="F3" s="14"/>
      <c r="G3" s="14"/>
      <c r="H3" s="14"/>
      <c r="I3" s="14"/>
      <c r="J3" s="14"/>
      <c r="K3" s="14"/>
      <c r="L3" s="14"/>
      <c r="M3" s="14"/>
      <c r="N3" s="14"/>
      <c r="O3" s="14"/>
      <c r="P3" s="14"/>
      <c r="Q3" s="14"/>
      <c r="R3" s="14"/>
      <c r="S3" s="14"/>
      <c r="T3" s="14"/>
      <c r="U3" s="14"/>
    </row>
    <row r="4" spans="1:21" x14ac:dyDescent="0.25">
      <c r="A4" s="14"/>
      <c r="B4" s="14"/>
      <c r="C4" s="14"/>
      <c r="D4" s="14"/>
      <c r="E4" s="14"/>
      <c r="F4" s="14"/>
      <c r="G4" s="14"/>
      <c r="H4" s="14"/>
      <c r="I4" s="14"/>
      <c r="J4" s="14"/>
      <c r="K4" s="14"/>
      <c r="L4" s="14"/>
      <c r="M4" s="14"/>
      <c r="N4" s="14"/>
      <c r="O4" s="14"/>
      <c r="P4" s="14"/>
      <c r="Q4" s="14"/>
      <c r="R4" s="14"/>
      <c r="S4" s="14"/>
      <c r="T4" s="14"/>
      <c r="U4" s="14"/>
    </row>
    <row r="5" spans="1:21" x14ac:dyDescent="0.25">
      <c r="A5" s="14"/>
      <c r="B5" s="14"/>
      <c r="C5" s="14"/>
      <c r="D5" s="14"/>
      <c r="E5" s="14"/>
      <c r="F5" s="14"/>
      <c r="G5" s="14"/>
      <c r="H5" s="14"/>
      <c r="I5" s="14"/>
      <c r="J5" s="14"/>
      <c r="K5" s="14"/>
      <c r="L5" s="14"/>
      <c r="M5" s="14"/>
      <c r="N5" s="14"/>
      <c r="O5" s="14"/>
      <c r="P5" s="14"/>
      <c r="Q5" s="14"/>
      <c r="R5" s="14"/>
      <c r="S5" s="14"/>
      <c r="T5" s="14"/>
      <c r="U5" s="14"/>
    </row>
    <row r="6" spans="1:21" x14ac:dyDescent="0.25">
      <c r="A6" s="14"/>
      <c r="B6" s="14"/>
      <c r="C6" s="14"/>
      <c r="D6" s="14"/>
      <c r="E6" s="14"/>
      <c r="F6" s="14"/>
      <c r="G6" s="14"/>
      <c r="H6" s="14"/>
      <c r="I6" s="14"/>
      <c r="J6" s="14"/>
      <c r="K6" s="14"/>
      <c r="L6" s="14"/>
      <c r="M6" s="14"/>
      <c r="N6" s="14"/>
      <c r="O6" s="14"/>
      <c r="P6" s="14"/>
      <c r="Q6" s="14"/>
      <c r="R6" s="14"/>
      <c r="S6" s="14"/>
      <c r="T6" s="14"/>
      <c r="U6" s="14"/>
    </row>
    <row r="7" spans="1:21" x14ac:dyDescent="0.25">
      <c r="A7" s="14"/>
      <c r="B7" s="14"/>
      <c r="C7" s="14"/>
      <c r="D7" s="14"/>
      <c r="E7" s="14"/>
      <c r="F7" s="14"/>
      <c r="G7" s="14"/>
      <c r="H7" s="14"/>
      <c r="I7" s="14"/>
      <c r="J7" s="14"/>
      <c r="K7" s="14"/>
      <c r="L7" s="14"/>
      <c r="M7" s="14"/>
      <c r="N7" s="14"/>
      <c r="O7" s="14"/>
      <c r="P7" s="14"/>
      <c r="Q7" s="14"/>
      <c r="R7" s="14"/>
      <c r="S7" s="14"/>
      <c r="T7" s="14"/>
      <c r="U7" s="14"/>
    </row>
    <row r="8" spans="1:21" x14ac:dyDescent="0.25">
      <c r="A8" s="14"/>
      <c r="B8" s="14"/>
      <c r="C8" s="14"/>
      <c r="D8" s="14"/>
      <c r="E8" s="14"/>
      <c r="F8" s="14"/>
      <c r="G8" s="14"/>
      <c r="H8" s="14"/>
      <c r="I8" s="14"/>
      <c r="J8" s="14"/>
      <c r="K8" s="14"/>
      <c r="L8" s="14"/>
      <c r="M8" s="14"/>
      <c r="N8" s="14"/>
      <c r="O8" s="14"/>
      <c r="P8" s="14"/>
      <c r="Q8" s="14"/>
      <c r="R8" s="14"/>
      <c r="S8" s="14"/>
      <c r="T8" s="14"/>
      <c r="U8" s="14"/>
    </row>
    <row r="9" spans="1:21" x14ac:dyDescent="0.25">
      <c r="A9" s="14"/>
      <c r="B9" s="14"/>
      <c r="C9" s="14"/>
      <c r="D9" s="14"/>
      <c r="E9" s="14"/>
      <c r="F9" s="14"/>
      <c r="G9" s="14"/>
      <c r="H9" s="14"/>
      <c r="I9" s="14"/>
      <c r="J9" s="14"/>
      <c r="K9" s="14"/>
      <c r="L9" s="14"/>
      <c r="M9" s="14"/>
      <c r="N9" s="14"/>
      <c r="O9" s="14"/>
      <c r="P9" s="14"/>
      <c r="Q9" s="14"/>
      <c r="R9" s="14"/>
      <c r="S9" s="14"/>
      <c r="T9" s="14"/>
      <c r="U9" s="14"/>
    </row>
    <row r="10" spans="1:21" x14ac:dyDescent="0.25">
      <c r="A10" s="14"/>
      <c r="B10" s="14"/>
      <c r="C10" s="14"/>
      <c r="D10" s="14"/>
      <c r="E10" s="14"/>
      <c r="F10" s="14"/>
      <c r="G10" s="14"/>
      <c r="H10" s="14"/>
      <c r="I10" s="14"/>
      <c r="J10" s="14"/>
      <c r="K10" s="14"/>
      <c r="L10" s="14"/>
      <c r="M10" s="14"/>
      <c r="N10" s="14"/>
      <c r="O10" s="14"/>
      <c r="P10" s="14"/>
      <c r="Q10" s="14"/>
      <c r="R10" s="14"/>
      <c r="S10" s="14"/>
      <c r="T10" s="14"/>
      <c r="U10" s="14"/>
    </row>
    <row r="11" spans="1:21" x14ac:dyDescent="0.25">
      <c r="A11" s="14"/>
      <c r="B11" s="14"/>
      <c r="C11" s="14"/>
      <c r="D11" s="14"/>
      <c r="E11" s="14"/>
      <c r="F11" s="14"/>
      <c r="G11" s="14"/>
      <c r="H11" s="14"/>
      <c r="I11" s="14"/>
      <c r="J11" s="14"/>
      <c r="K11" s="14"/>
      <c r="L11" s="14"/>
      <c r="M11" s="14"/>
      <c r="N11" s="14"/>
      <c r="O11" s="14"/>
      <c r="P11" s="14"/>
      <c r="Q11" s="14"/>
      <c r="R11" s="14"/>
      <c r="S11" s="14"/>
      <c r="T11" s="14"/>
      <c r="U11" s="14"/>
    </row>
    <row r="12" spans="1:21" x14ac:dyDescent="0.25">
      <c r="A12" s="14"/>
      <c r="B12" s="14"/>
      <c r="C12" s="14"/>
      <c r="D12" s="14"/>
      <c r="E12" s="14"/>
      <c r="F12" s="14"/>
      <c r="G12" s="14"/>
      <c r="H12" s="14"/>
      <c r="I12" s="14"/>
      <c r="J12" s="14"/>
      <c r="K12" s="14"/>
      <c r="L12" s="14"/>
      <c r="M12" s="14"/>
      <c r="N12" s="14"/>
      <c r="O12" s="14"/>
      <c r="P12" s="14"/>
      <c r="Q12" s="14"/>
      <c r="R12" s="14"/>
      <c r="S12" s="14"/>
      <c r="T12" s="14"/>
      <c r="U12" s="14"/>
    </row>
    <row r="13" spans="1:21" x14ac:dyDescent="0.25">
      <c r="A13" s="14"/>
      <c r="B13" s="14"/>
      <c r="C13" s="14"/>
      <c r="D13" s="14"/>
      <c r="E13" s="14"/>
      <c r="F13" s="14"/>
      <c r="G13" s="14"/>
      <c r="H13" s="14"/>
      <c r="I13" s="14"/>
      <c r="J13" s="14"/>
      <c r="K13" s="14"/>
      <c r="L13" s="14"/>
      <c r="M13" s="14"/>
      <c r="N13" s="14"/>
      <c r="O13" s="14"/>
      <c r="P13" s="14"/>
      <c r="Q13" s="14"/>
      <c r="R13" s="14"/>
      <c r="S13" s="14"/>
      <c r="T13" s="14"/>
      <c r="U13" s="14"/>
    </row>
    <row r="14" spans="1:21" x14ac:dyDescent="0.25">
      <c r="A14" s="14"/>
      <c r="B14" s="14"/>
      <c r="C14" s="14"/>
      <c r="D14" s="14"/>
      <c r="E14" s="14"/>
      <c r="F14" s="14"/>
      <c r="G14" s="14"/>
      <c r="H14" s="14"/>
      <c r="I14" s="14"/>
      <c r="J14" s="14"/>
      <c r="K14" s="14"/>
      <c r="L14" s="14"/>
      <c r="M14" s="14"/>
      <c r="N14" s="14"/>
      <c r="O14" s="14"/>
      <c r="P14" s="14"/>
      <c r="Q14" s="14"/>
      <c r="R14" s="14"/>
      <c r="S14" s="14"/>
      <c r="T14" s="14"/>
      <c r="U14" s="14"/>
    </row>
    <row r="15" spans="1:21" x14ac:dyDescent="0.25">
      <c r="A15" s="14"/>
      <c r="B15" s="14"/>
      <c r="C15" s="14"/>
      <c r="D15" s="14"/>
      <c r="E15" s="14"/>
      <c r="F15" s="14"/>
      <c r="G15" s="14"/>
      <c r="H15" s="14"/>
      <c r="I15" s="14"/>
      <c r="J15" s="14"/>
      <c r="K15" s="14"/>
      <c r="L15" s="14"/>
      <c r="M15" s="14"/>
      <c r="N15" s="14"/>
      <c r="O15" s="14"/>
      <c r="P15" s="14"/>
      <c r="Q15" s="14"/>
      <c r="R15" s="14"/>
      <c r="S15" s="14"/>
      <c r="T15" s="14"/>
      <c r="U15" s="14"/>
    </row>
    <row r="16" spans="1:21" x14ac:dyDescent="0.25">
      <c r="A16" s="14"/>
      <c r="B16" s="14"/>
      <c r="C16" s="14"/>
      <c r="D16" s="14"/>
      <c r="E16" s="14"/>
      <c r="F16" s="14"/>
      <c r="G16" s="14"/>
      <c r="H16" s="14"/>
      <c r="I16" s="14"/>
      <c r="J16" s="14"/>
      <c r="K16" s="14"/>
      <c r="L16" s="14"/>
      <c r="M16" s="14"/>
      <c r="N16" s="14"/>
      <c r="O16" s="14"/>
      <c r="P16" s="14"/>
      <c r="Q16" s="14"/>
      <c r="R16" s="14"/>
      <c r="S16" s="14"/>
      <c r="T16" s="14"/>
      <c r="U16" s="14"/>
    </row>
    <row r="17" spans="1:21" x14ac:dyDescent="0.25">
      <c r="A17" s="14"/>
      <c r="B17" s="14"/>
      <c r="C17" s="14"/>
      <c r="D17" s="14"/>
      <c r="E17" s="14"/>
      <c r="F17" s="14"/>
      <c r="G17" s="14"/>
      <c r="H17" s="14"/>
      <c r="I17" s="14"/>
      <c r="J17" s="14"/>
      <c r="K17" s="14"/>
      <c r="L17" s="14"/>
      <c r="M17" s="14"/>
      <c r="N17" s="14"/>
      <c r="O17" s="14"/>
      <c r="P17" s="14"/>
      <c r="Q17" s="14"/>
      <c r="R17" s="14"/>
      <c r="S17" s="14"/>
      <c r="T17" s="14"/>
      <c r="U17" s="14"/>
    </row>
    <row r="18" spans="1:21" x14ac:dyDescent="0.25">
      <c r="A18" s="14"/>
      <c r="B18" s="14"/>
      <c r="C18" s="14"/>
      <c r="D18" s="14"/>
      <c r="E18" s="14"/>
      <c r="F18" s="14"/>
      <c r="G18" s="14"/>
      <c r="H18" s="14"/>
      <c r="I18" s="14"/>
      <c r="J18" s="14"/>
      <c r="K18" s="14"/>
      <c r="L18" s="14"/>
      <c r="M18" s="14"/>
      <c r="N18" s="14"/>
      <c r="O18" s="14"/>
      <c r="P18" s="14"/>
      <c r="Q18" s="14"/>
      <c r="R18" s="14"/>
      <c r="S18" s="14"/>
      <c r="T18" s="14"/>
      <c r="U18" s="14"/>
    </row>
    <row r="19" spans="1:21" x14ac:dyDescent="0.25">
      <c r="A19" s="14"/>
      <c r="B19" s="14"/>
      <c r="C19" s="14"/>
      <c r="D19" s="14"/>
      <c r="E19" s="14"/>
      <c r="F19" s="14"/>
      <c r="G19" s="14"/>
      <c r="H19" s="14"/>
      <c r="I19" s="14"/>
      <c r="J19" s="14"/>
      <c r="K19" s="14"/>
      <c r="L19" s="14"/>
      <c r="M19" s="14"/>
      <c r="N19" s="14"/>
      <c r="O19" s="14"/>
      <c r="P19" s="14"/>
      <c r="Q19" s="14"/>
      <c r="R19" s="14"/>
      <c r="S19" s="14"/>
      <c r="T19" s="14"/>
      <c r="U19" s="14"/>
    </row>
    <row r="20" spans="1:21" x14ac:dyDescent="0.25">
      <c r="A20" s="14"/>
      <c r="B20" s="14"/>
      <c r="C20" s="14"/>
      <c r="D20" s="14"/>
      <c r="E20" s="14"/>
      <c r="F20" s="14"/>
      <c r="G20" s="14"/>
      <c r="H20" s="14"/>
      <c r="I20" s="14"/>
      <c r="J20" s="14"/>
      <c r="K20" s="14"/>
      <c r="L20" s="14"/>
      <c r="M20" s="14"/>
      <c r="N20" s="14"/>
      <c r="O20" s="14"/>
      <c r="P20" s="14"/>
      <c r="Q20" s="14"/>
      <c r="R20" s="14"/>
      <c r="S20" s="14"/>
      <c r="T20" s="14"/>
      <c r="U20" s="14"/>
    </row>
    <row r="21" spans="1:21" x14ac:dyDescent="0.25">
      <c r="A21" s="14"/>
      <c r="B21" s="14"/>
      <c r="C21" s="14"/>
      <c r="D21" s="14"/>
      <c r="E21" s="14"/>
      <c r="F21" s="14"/>
      <c r="G21" s="14"/>
      <c r="H21" s="14"/>
      <c r="I21" s="14"/>
      <c r="J21" s="14"/>
      <c r="K21" s="14"/>
      <c r="L21" s="14"/>
      <c r="M21" s="14"/>
      <c r="N21" s="14"/>
      <c r="O21" s="14"/>
      <c r="P21" s="14"/>
      <c r="Q21" s="14"/>
      <c r="R21" s="14"/>
      <c r="S21" s="14"/>
      <c r="T21" s="14"/>
      <c r="U21" s="14"/>
    </row>
    <row r="22" spans="1:21" x14ac:dyDescent="0.25">
      <c r="A22" s="14"/>
      <c r="B22" s="14"/>
      <c r="C22" s="14"/>
      <c r="D22" s="14"/>
      <c r="E22" s="14"/>
      <c r="F22" s="14"/>
      <c r="G22" s="14"/>
      <c r="H22" s="14"/>
      <c r="I22" s="14"/>
      <c r="J22" s="14"/>
      <c r="K22" s="14"/>
      <c r="L22" s="14"/>
      <c r="M22" s="14"/>
      <c r="N22" s="14"/>
      <c r="O22" s="14"/>
      <c r="P22" s="14"/>
      <c r="Q22" s="14"/>
      <c r="R22" s="14"/>
      <c r="S22" s="14"/>
      <c r="T22" s="14"/>
      <c r="U22" s="14"/>
    </row>
    <row r="23" spans="1:21" x14ac:dyDescent="0.25">
      <c r="A23" s="14"/>
      <c r="B23" s="14"/>
      <c r="C23" s="14"/>
      <c r="D23" s="14"/>
      <c r="E23" s="14"/>
      <c r="F23" s="14"/>
      <c r="G23" s="14"/>
      <c r="H23" s="14"/>
      <c r="I23" s="14"/>
      <c r="J23" s="14"/>
      <c r="K23" s="14"/>
      <c r="L23" s="14"/>
      <c r="M23" s="14"/>
      <c r="N23" s="14"/>
      <c r="O23" s="14"/>
      <c r="P23" s="14"/>
      <c r="Q23" s="14"/>
      <c r="R23" s="14"/>
      <c r="S23" s="14"/>
      <c r="T23" s="14"/>
      <c r="U23" s="14"/>
    </row>
    <row r="24" spans="1:21" x14ac:dyDescent="0.25">
      <c r="A24" s="14"/>
      <c r="B24" s="14"/>
      <c r="C24" s="14"/>
      <c r="D24" s="14"/>
      <c r="E24" s="14"/>
      <c r="F24" s="14"/>
      <c r="G24" s="14"/>
      <c r="H24" s="14"/>
      <c r="I24" s="14"/>
      <c r="J24" s="14"/>
      <c r="K24" s="14"/>
      <c r="L24" s="14"/>
      <c r="M24" s="14"/>
      <c r="N24" s="14"/>
      <c r="O24" s="14"/>
      <c r="P24" s="14"/>
      <c r="Q24" s="14"/>
      <c r="R24" s="14"/>
      <c r="S24" s="14"/>
      <c r="T24" s="14"/>
      <c r="U24" s="14"/>
    </row>
    <row r="25" spans="1:21" x14ac:dyDescent="0.25">
      <c r="A25" s="14"/>
      <c r="B25" s="14"/>
      <c r="C25" s="14"/>
      <c r="D25" s="14"/>
      <c r="E25" s="14"/>
      <c r="F25" s="14"/>
      <c r="G25" s="14"/>
      <c r="H25" s="14"/>
      <c r="I25" s="14"/>
      <c r="J25" s="14"/>
      <c r="K25" s="14"/>
      <c r="L25" s="14"/>
      <c r="M25" s="14"/>
      <c r="N25" s="14"/>
      <c r="O25" s="14"/>
      <c r="P25" s="14"/>
      <c r="Q25" s="14"/>
      <c r="R25" s="14"/>
      <c r="S25" s="14"/>
      <c r="T25" s="14"/>
      <c r="U25" s="14"/>
    </row>
    <row r="26" spans="1:21" x14ac:dyDescent="0.25">
      <c r="A26" s="14"/>
      <c r="B26" s="14"/>
      <c r="C26" s="14"/>
      <c r="D26" s="14"/>
      <c r="E26" s="14"/>
      <c r="F26" s="14"/>
      <c r="G26" s="14"/>
      <c r="H26" s="14"/>
      <c r="I26" s="14"/>
      <c r="J26" s="14"/>
      <c r="K26" s="14"/>
      <c r="L26" s="14"/>
      <c r="M26" s="14"/>
      <c r="N26" s="14"/>
      <c r="O26" s="14"/>
      <c r="P26" s="14"/>
      <c r="Q26" s="14"/>
      <c r="R26" s="14"/>
      <c r="S26" s="14"/>
      <c r="T26" s="14"/>
      <c r="U26" s="14"/>
    </row>
    <row r="27" spans="1:21" x14ac:dyDescent="0.25">
      <c r="A27" s="14"/>
      <c r="B27" s="14"/>
      <c r="C27" s="14"/>
      <c r="D27" s="14"/>
      <c r="E27" s="14"/>
      <c r="F27" s="14"/>
      <c r="G27" s="14"/>
      <c r="H27" s="14"/>
      <c r="I27" s="14"/>
      <c r="J27" s="14"/>
      <c r="K27" s="14"/>
      <c r="L27" s="14"/>
      <c r="M27" s="14"/>
      <c r="N27" s="14"/>
      <c r="O27" s="14"/>
      <c r="P27" s="14"/>
      <c r="Q27" s="14"/>
      <c r="R27" s="14"/>
      <c r="S27" s="14"/>
      <c r="T27" s="14"/>
      <c r="U27" s="14"/>
    </row>
    <row r="28" spans="1:21" x14ac:dyDescent="0.25">
      <c r="A28" s="14"/>
      <c r="B28" s="14"/>
      <c r="C28" s="14"/>
      <c r="D28" s="14"/>
      <c r="E28" s="14"/>
      <c r="F28" s="14"/>
      <c r="G28" s="14"/>
      <c r="H28" s="14"/>
      <c r="I28" s="14"/>
      <c r="J28" s="14"/>
      <c r="K28" s="14"/>
      <c r="L28" s="14"/>
      <c r="M28" s="14"/>
      <c r="N28" s="14"/>
      <c r="O28" s="14"/>
      <c r="P28" s="14"/>
      <c r="Q28" s="14"/>
      <c r="R28" s="14"/>
      <c r="S28" s="14"/>
      <c r="T28" s="14"/>
      <c r="U28" s="14"/>
    </row>
    <row r="29" spans="1:21" x14ac:dyDescent="0.25">
      <c r="A29" s="14"/>
      <c r="B29" s="14"/>
      <c r="C29" s="14"/>
      <c r="D29" s="14"/>
      <c r="E29" s="14"/>
      <c r="F29" s="14"/>
      <c r="G29" s="14"/>
      <c r="H29" s="14"/>
      <c r="I29" s="14"/>
      <c r="J29" s="14"/>
      <c r="K29" s="14"/>
      <c r="L29" s="14"/>
      <c r="M29" s="14"/>
      <c r="N29" s="14"/>
      <c r="O29" s="14"/>
      <c r="P29" s="14"/>
      <c r="Q29" s="14"/>
      <c r="R29" s="14"/>
      <c r="S29" s="14"/>
      <c r="T29" s="14"/>
      <c r="U29" s="14"/>
    </row>
    <row r="30" spans="1:21" x14ac:dyDescent="0.25">
      <c r="A30" s="14"/>
      <c r="B30" s="14"/>
      <c r="C30" s="14"/>
      <c r="D30" s="14"/>
      <c r="E30" s="14"/>
      <c r="F30" s="14"/>
      <c r="G30" s="14"/>
      <c r="H30" s="14"/>
      <c r="I30" s="14"/>
      <c r="J30" s="14"/>
      <c r="K30" s="14"/>
      <c r="L30" s="14"/>
      <c r="M30" s="14"/>
      <c r="N30" s="14"/>
      <c r="O30" s="14"/>
      <c r="P30" s="14"/>
      <c r="Q30" s="14"/>
      <c r="R30" s="14"/>
      <c r="S30" s="14"/>
      <c r="T30" s="14"/>
      <c r="U30" s="14"/>
    </row>
    <row r="31" spans="1:21" x14ac:dyDescent="0.25">
      <c r="A31" s="14"/>
      <c r="B31" s="14"/>
      <c r="C31" s="14"/>
      <c r="D31" s="14"/>
      <c r="E31" s="14"/>
      <c r="F31" s="14"/>
      <c r="G31" s="14"/>
      <c r="H31" s="14"/>
      <c r="I31" s="14"/>
      <c r="J31" s="14"/>
      <c r="K31" s="14"/>
      <c r="L31" s="14"/>
      <c r="M31" s="14"/>
      <c r="N31" s="14"/>
      <c r="O31" s="14"/>
      <c r="P31" s="14"/>
      <c r="Q31" s="14"/>
      <c r="R31" s="14"/>
      <c r="S31" s="14"/>
      <c r="T31" s="14"/>
      <c r="U31" s="14"/>
    </row>
    <row r="32" spans="1:21" x14ac:dyDescent="0.25">
      <c r="A32" s="14"/>
      <c r="B32" s="14"/>
      <c r="C32" s="14"/>
      <c r="D32" s="14"/>
      <c r="E32" s="14"/>
      <c r="F32" s="14"/>
      <c r="G32" s="14"/>
      <c r="H32" s="14"/>
      <c r="I32" s="14"/>
      <c r="J32" s="14"/>
      <c r="K32" s="14"/>
      <c r="L32" s="14"/>
      <c r="M32" s="14"/>
      <c r="N32" s="14"/>
      <c r="O32" s="14"/>
      <c r="P32" s="14"/>
      <c r="Q32" s="14"/>
      <c r="R32" s="14"/>
      <c r="S32" s="14"/>
      <c r="T32" s="14"/>
      <c r="U32" s="14"/>
    </row>
    <row r="33" spans="1:21" x14ac:dyDescent="0.25">
      <c r="A33" s="14"/>
      <c r="B33" s="14"/>
      <c r="C33" s="14"/>
      <c r="D33" s="14"/>
      <c r="E33" s="14"/>
      <c r="F33" s="14"/>
      <c r="G33" s="14"/>
      <c r="H33" s="14"/>
      <c r="I33" s="14"/>
      <c r="J33" s="14"/>
      <c r="K33" s="14"/>
      <c r="L33" s="14"/>
      <c r="M33" s="14"/>
      <c r="N33" s="14"/>
      <c r="O33" s="14"/>
      <c r="P33" s="14"/>
      <c r="Q33" s="14"/>
      <c r="R33" s="14"/>
      <c r="S33" s="14"/>
      <c r="T33" s="14"/>
      <c r="U33" s="14"/>
    </row>
    <row r="34" spans="1:21" x14ac:dyDescent="0.25">
      <c r="A34" s="14"/>
      <c r="B34" s="14"/>
      <c r="C34" s="14"/>
      <c r="D34" s="14"/>
      <c r="E34" s="14"/>
      <c r="F34" s="14"/>
      <c r="G34" s="14"/>
      <c r="H34" s="14"/>
      <c r="I34" s="14"/>
      <c r="J34" s="14"/>
      <c r="K34" s="14"/>
      <c r="L34" s="14"/>
      <c r="M34" s="14"/>
      <c r="N34" s="14"/>
      <c r="O34" s="14"/>
      <c r="P34" s="14"/>
      <c r="Q34" s="14"/>
      <c r="R34" s="14"/>
      <c r="S34" s="14"/>
      <c r="T34" s="14"/>
      <c r="U34" s="1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37FB0E-4F0F-4793-BA8D-87B8A884AA25}">
  <sheetPr codeName="Sheet43"/>
  <dimension ref="A1"/>
  <sheetViews>
    <sheetView workbookViewId="0"/>
  </sheetViews>
  <sheetFormatPr defaultRowHeig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A4356-67C1-4C6D-A3FB-413BA11914CE}">
  <sheetPr codeName="Sheet42"/>
  <dimension ref="A1"/>
  <sheetViews>
    <sheetView workbookViewId="0"/>
  </sheetViews>
  <sheetFormatPr defaultRowHeight="15" x14ac:dyDescent="0.2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C28E6-BA89-4C39-82C7-2A97D739FEB9}">
  <sheetPr codeName="Sheet40"/>
  <dimension ref="A1"/>
  <sheetViews>
    <sheetView workbookViewId="0">
      <selection activeCell="E22" sqref="E22"/>
    </sheetView>
  </sheetViews>
  <sheetFormatPr defaultRowHeight="15" x14ac:dyDescent="0.2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64489-7B49-4C7A-B5A7-770EA8A347E1}">
  <sheetPr codeName="Sheet21"/>
  <dimension ref="A1:U34"/>
  <sheetViews>
    <sheetView showRowColHeaders="0" topLeftCell="A11" workbookViewId="0">
      <selection activeCell="M5" sqref="M5"/>
    </sheetView>
  </sheetViews>
  <sheetFormatPr defaultRowHeight="15" x14ac:dyDescent="0.25"/>
  <sheetData>
    <row r="1" spans="1:21" x14ac:dyDescent="0.25">
      <c r="A1" s="14"/>
      <c r="B1" s="14"/>
      <c r="C1" s="14"/>
      <c r="D1" s="14"/>
      <c r="E1" s="14"/>
      <c r="F1" s="14"/>
      <c r="G1" s="14"/>
      <c r="H1" s="14"/>
      <c r="I1" s="14"/>
      <c r="J1" s="14"/>
      <c r="K1" s="14"/>
      <c r="L1" s="14"/>
      <c r="M1" s="14"/>
      <c r="N1" s="14"/>
      <c r="O1" s="14"/>
      <c r="P1" s="14"/>
      <c r="Q1" s="14"/>
      <c r="R1" s="14"/>
      <c r="S1" s="14"/>
      <c r="T1" s="14"/>
      <c r="U1" s="14"/>
    </row>
    <row r="2" spans="1:21" x14ac:dyDescent="0.25">
      <c r="A2" s="14"/>
      <c r="B2" s="14"/>
      <c r="C2" s="14"/>
      <c r="D2" s="14"/>
      <c r="E2" s="14"/>
      <c r="F2" s="14"/>
      <c r="G2" s="14"/>
      <c r="H2" s="14"/>
      <c r="I2" s="14"/>
      <c r="J2" s="14"/>
      <c r="K2" s="14"/>
      <c r="L2" s="14"/>
      <c r="M2" s="14"/>
      <c r="N2" s="14"/>
      <c r="O2" s="14"/>
      <c r="P2" s="14"/>
      <c r="Q2" s="14"/>
      <c r="R2" s="14"/>
      <c r="S2" s="14"/>
      <c r="T2" s="14"/>
      <c r="U2" s="14"/>
    </row>
    <row r="3" spans="1:21" x14ac:dyDescent="0.25">
      <c r="A3" s="14"/>
      <c r="B3" s="14"/>
      <c r="C3" s="14"/>
      <c r="D3" s="14"/>
      <c r="E3" s="14"/>
      <c r="F3" s="14"/>
      <c r="G3" s="14"/>
      <c r="H3" s="14"/>
      <c r="I3" s="14"/>
      <c r="J3" s="14"/>
      <c r="K3" s="14"/>
      <c r="L3" s="14"/>
      <c r="M3" s="14"/>
      <c r="N3" s="14"/>
      <c r="O3" s="14"/>
      <c r="P3" s="14"/>
      <c r="Q3" s="14"/>
      <c r="R3" s="14"/>
      <c r="S3" s="14"/>
      <c r="T3" s="14"/>
      <c r="U3" s="14"/>
    </row>
    <row r="4" spans="1:21" x14ac:dyDescent="0.25">
      <c r="A4" s="14"/>
      <c r="B4" s="14"/>
      <c r="C4" s="14"/>
      <c r="D4" s="14"/>
      <c r="E4" s="14"/>
      <c r="F4" s="14"/>
      <c r="G4" s="14"/>
      <c r="H4" s="14"/>
      <c r="I4" s="14"/>
      <c r="J4" s="14"/>
      <c r="K4" s="14"/>
      <c r="L4" s="14"/>
      <c r="M4" s="14"/>
      <c r="N4" s="14"/>
      <c r="O4" s="14"/>
      <c r="P4" s="14"/>
      <c r="Q4" s="14"/>
      <c r="R4" s="14"/>
      <c r="S4" s="14"/>
      <c r="T4" s="14"/>
      <c r="U4" s="14"/>
    </row>
    <row r="5" spans="1:21" x14ac:dyDescent="0.25">
      <c r="A5" s="14"/>
      <c r="B5" s="14"/>
      <c r="C5" s="14"/>
      <c r="D5" s="14"/>
      <c r="E5" s="14"/>
      <c r="F5" s="14"/>
      <c r="G5" s="14"/>
      <c r="H5" s="14"/>
      <c r="I5" s="14"/>
      <c r="J5" s="14"/>
      <c r="K5" s="14"/>
      <c r="L5" s="14"/>
      <c r="M5" s="14"/>
      <c r="N5" s="14"/>
      <c r="O5" s="14"/>
      <c r="P5" s="14"/>
      <c r="Q5" s="14"/>
      <c r="R5" s="14"/>
      <c r="S5" s="14"/>
      <c r="T5" s="14"/>
      <c r="U5" s="14"/>
    </row>
    <row r="6" spans="1:21" x14ac:dyDescent="0.25">
      <c r="A6" s="14"/>
      <c r="B6" s="14"/>
      <c r="C6" s="14"/>
      <c r="D6" s="14"/>
      <c r="E6" s="14"/>
      <c r="F6" s="14"/>
      <c r="G6" s="14"/>
      <c r="H6" s="14"/>
      <c r="I6" s="14"/>
      <c r="J6" s="14"/>
      <c r="K6" s="14"/>
      <c r="L6" s="14"/>
      <c r="M6" s="14"/>
      <c r="N6" s="14"/>
      <c r="O6" s="14"/>
      <c r="P6" s="14"/>
      <c r="Q6" s="14"/>
      <c r="R6" s="14"/>
      <c r="S6" s="14"/>
      <c r="T6" s="14"/>
      <c r="U6" s="14"/>
    </row>
    <row r="7" spans="1:21" x14ac:dyDescent="0.25">
      <c r="A7" s="14"/>
      <c r="B7" s="14"/>
      <c r="C7" s="14"/>
      <c r="D7" s="14"/>
      <c r="E7" s="14"/>
      <c r="F7" s="14"/>
      <c r="G7" s="14"/>
      <c r="H7" s="14"/>
      <c r="I7" s="14"/>
      <c r="J7" s="14"/>
      <c r="K7" s="14"/>
      <c r="L7" s="14"/>
      <c r="M7" s="14"/>
      <c r="N7" s="14"/>
      <c r="O7" s="14"/>
      <c r="P7" s="14"/>
      <c r="Q7" s="14"/>
      <c r="R7" s="14"/>
      <c r="S7" s="14"/>
      <c r="T7" s="14"/>
      <c r="U7" s="14"/>
    </row>
    <row r="8" spans="1:21" x14ac:dyDescent="0.25">
      <c r="A8" s="14"/>
      <c r="B8" s="14"/>
      <c r="C8" s="14"/>
      <c r="D8" s="14"/>
      <c r="E8" s="14"/>
      <c r="F8" s="14"/>
      <c r="G8" s="14"/>
      <c r="H8" s="14"/>
      <c r="I8" s="14"/>
      <c r="J8" s="14"/>
      <c r="K8" s="14"/>
      <c r="L8" s="14"/>
      <c r="M8" s="14"/>
      <c r="N8" s="14"/>
      <c r="O8" s="14"/>
      <c r="P8" s="14"/>
      <c r="Q8" s="14"/>
      <c r="R8" s="14"/>
      <c r="S8" s="14"/>
      <c r="T8" s="14"/>
      <c r="U8" s="14"/>
    </row>
    <row r="9" spans="1:21" x14ac:dyDescent="0.25">
      <c r="A9" s="14"/>
      <c r="B9" s="14"/>
      <c r="C9" s="14"/>
      <c r="D9" s="14"/>
      <c r="E9" s="14"/>
      <c r="F9" s="14"/>
      <c r="G9" s="14"/>
      <c r="H9" s="14"/>
      <c r="I9" s="14"/>
      <c r="J9" s="14"/>
      <c r="K9" s="14"/>
      <c r="L9" s="14"/>
      <c r="M9" s="14"/>
      <c r="N9" s="14"/>
      <c r="O9" s="14"/>
      <c r="P9" s="14"/>
      <c r="Q9" s="14"/>
      <c r="R9" s="14"/>
      <c r="S9" s="14"/>
      <c r="T9" s="14"/>
      <c r="U9" s="14"/>
    </row>
    <row r="10" spans="1:21" x14ac:dyDescent="0.25">
      <c r="A10" s="14"/>
      <c r="B10" s="14"/>
      <c r="C10" s="14"/>
      <c r="D10" s="14"/>
      <c r="E10" s="14"/>
      <c r="F10" s="14"/>
      <c r="G10" s="14"/>
      <c r="H10" s="14"/>
      <c r="I10" s="14"/>
      <c r="J10" s="14"/>
      <c r="K10" s="14"/>
      <c r="L10" s="14"/>
      <c r="M10" s="14"/>
      <c r="N10" s="14"/>
      <c r="O10" s="14"/>
      <c r="P10" s="14"/>
      <c r="Q10" s="14"/>
      <c r="R10" s="14"/>
      <c r="S10" s="14"/>
      <c r="T10" s="14"/>
      <c r="U10" s="14"/>
    </row>
    <row r="11" spans="1:21" x14ac:dyDescent="0.25">
      <c r="A11" s="14"/>
      <c r="B11" s="14"/>
      <c r="C11" s="14"/>
      <c r="D11" s="14"/>
      <c r="E11" s="14"/>
      <c r="F11" s="14"/>
      <c r="G11" s="14"/>
      <c r="H11" s="14"/>
      <c r="I11" s="14"/>
      <c r="J11" s="14"/>
      <c r="K11" s="14"/>
      <c r="L11" s="14"/>
      <c r="M11" s="14"/>
      <c r="N11" s="14"/>
      <c r="O11" s="14"/>
      <c r="P11" s="14"/>
      <c r="Q11" s="14"/>
      <c r="R11" s="14"/>
      <c r="S11" s="14"/>
      <c r="T11" s="14"/>
      <c r="U11" s="14"/>
    </row>
    <row r="12" spans="1:21" x14ac:dyDescent="0.25">
      <c r="A12" s="14"/>
      <c r="B12" s="14"/>
      <c r="C12" s="14"/>
      <c r="D12" s="14"/>
      <c r="E12" s="14"/>
      <c r="F12" s="14"/>
      <c r="G12" s="14"/>
      <c r="H12" s="14"/>
      <c r="I12" s="14"/>
      <c r="J12" s="14"/>
      <c r="K12" s="14"/>
      <c r="L12" s="14"/>
      <c r="M12" s="14"/>
      <c r="N12" s="14"/>
      <c r="O12" s="14"/>
      <c r="P12" s="14"/>
      <c r="Q12" s="14"/>
      <c r="R12" s="14"/>
      <c r="S12" s="14"/>
      <c r="T12" s="14"/>
      <c r="U12" s="14"/>
    </row>
    <row r="13" spans="1:21" x14ac:dyDescent="0.25">
      <c r="A13" s="14"/>
      <c r="B13" s="14"/>
      <c r="C13" s="14"/>
      <c r="D13" s="14"/>
      <c r="E13" s="14"/>
      <c r="F13" s="14"/>
      <c r="G13" s="14"/>
      <c r="H13" s="14"/>
      <c r="I13" s="14"/>
      <c r="J13" s="14"/>
      <c r="K13" s="14"/>
      <c r="L13" s="14"/>
      <c r="M13" s="14"/>
      <c r="N13" s="14"/>
      <c r="O13" s="14"/>
      <c r="P13" s="14"/>
      <c r="Q13" s="14"/>
      <c r="R13" s="14"/>
      <c r="S13" s="14"/>
      <c r="T13" s="14"/>
      <c r="U13" s="14"/>
    </row>
    <row r="14" spans="1:21" x14ac:dyDescent="0.25">
      <c r="A14" s="14"/>
      <c r="B14" s="14"/>
      <c r="C14" s="14"/>
      <c r="D14" s="14"/>
      <c r="E14" s="14"/>
      <c r="F14" s="14"/>
      <c r="G14" s="14"/>
      <c r="H14" s="14"/>
      <c r="I14" s="14"/>
      <c r="J14" s="14"/>
      <c r="K14" s="14"/>
      <c r="L14" s="14"/>
      <c r="M14" s="14"/>
      <c r="N14" s="14"/>
      <c r="O14" s="14"/>
      <c r="P14" s="14"/>
      <c r="Q14" s="14"/>
      <c r="R14" s="14"/>
      <c r="S14" s="14"/>
      <c r="T14" s="14"/>
      <c r="U14" s="14"/>
    </row>
    <row r="15" spans="1:21" x14ac:dyDescent="0.25">
      <c r="A15" s="14"/>
      <c r="B15" s="14"/>
      <c r="C15" s="14"/>
      <c r="D15" s="14"/>
      <c r="E15" s="14"/>
      <c r="F15" s="14"/>
      <c r="G15" s="14"/>
      <c r="H15" s="14"/>
      <c r="I15" s="14"/>
      <c r="J15" s="14"/>
      <c r="K15" s="14"/>
      <c r="L15" s="14"/>
      <c r="M15" s="14"/>
      <c r="N15" s="14"/>
      <c r="O15" s="14"/>
      <c r="P15" s="14"/>
      <c r="Q15" s="14"/>
      <c r="R15" s="14"/>
      <c r="S15" s="14"/>
      <c r="T15" s="14"/>
      <c r="U15" s="14"/>
    </row>
    <row r="16" spans="1:21" x14ac:dyDescent="0.25">
      <c r="A16" s="14"/>
      <c r="B16" s="14"/>
      <c r="C16" s="14"/>
      <c r="D16" s="14"/>
      <c r="E16" s="14"/>
      <c r="F16" s="14"/>
      <c r="G16" s="14"/>
      <c r="H16" s="14"/>
      <c r="I16" s="14"/>
      <c r="J16" s="14"/>
      <c r="K16" s="14"/>
      <c r="L16" s="14"/>
      <c r="M16" s="14"/>
      <c r="N16" s="14"/>
      <c r="O16" s="14"/>
      <c r="P16" s="14"/>
      <c r="Q16" s="14"/>
      <c r="R16" s="14"/>
      <c r="S16" s="14"/>
      <c r="T16" s="14"/>
      <c r="U16" s="14"/>
    </row>
    <row r="17" spans="1:21" x14ac:dyDescent="0.25">
      <c r="A17" s="14"/>
      <c r="B17" s="14"/>
      <c r="C17" s="14"/>
      <c r="D17" s="14"/>
      <c r="E17" s="14"/>
      <c r="F17" s="14"/>
      <c r="G17" s="14"/>
      <c r="H17" s="14"/>
      <c r="I17" s="14"/>
      <c r="J17" s="14"/>
      <c r="K17" s="14"/>
      <c r="L17" s="14"/>
      <c r="M17" s="14"/>
      <c r="N17" s="14"/>
      <c r="O17" s="14"/>
      <c r="P17" s="14"/>
      <c r="Q17" s="14"/>
      <c r="R17" s="14"/>
      <c r="S17" s="14"/>
      <c r="T17" s="14"/>
      <c r="U17" s="14"/>
    </row>
    <row r="18" spans="1:21" x14ac:dyDescent="0.25">
      <c r="A18" s="14"/>
      <c r="B18" s="14"/>
      <c r="C18" s="14"/>
      <c r="D18" s="14"/>
      <c r="E18" s="14"/>
      <c r="F18" s="14"/>
      <c r="G18" s="14"/>
      <c r="H18" s="14"/>
      <c r="I18" s="14"/>
      <c r="J18" s="14"/>
      <c r="K18" s="14"/>
      <c r="L18" s="14"/>
      <c r="M18" s="14"/>
      <c r="N18" s="14"/>
      <c r="O18" s="14"/>
      <c r="P18" s="14"/>
      <c r="Q18" s="14"/>
      <c r="R18" s="14"/>
      <c r="S18" s="14"/>
      <c r="T18" s="14"/>
      <c r="U18" s="14"/>
    </row>
    <row r="19" spans="1:21" x14ac:dyDescent="0.25">
      <c r="A19" s="14"/>
      <c r="B19" s="14"/>
      <c r="C19" s="14"/>
      <c r="D19" s="14"/>
      <c r="E19" s="14"/>
      <c r="F19" s="14"/>
      <c r="G19" s="14"/>
      <c r="H19" s="14"/>
      <c r="I19" s="14"/>
      <c r="J19" s="14"/>
      <c r="K19" s="14"/>
      <c r="L19" s="14"/>
      <c r="M19" s="14"/>
      <c r="N19" s="14"/>
      <c r="O19" s="14"/>
      <c r="P19" s="14"/>
      <c r="Q19" s="14"/>
      <c r="R19" s="14"/>
      <c r="S19" s="14"/>
      <c r="T19" s="14"/>
      <c r="U19" s="14"/>
    </row>
    <row r="20" spans="1:21" x14ac:dyDescent="0.25">
      <c r="A20" s="14"/>
      <c r="B20" s="14"/>
      <c r="C20" s="14"/>
      <c r="D20" s="14"/>
      <c r="E20" s="14"/>
      <c r="F20" s="14"/>
      <c r="G20" s="14"/>
      <c r="H20" s="14"/>
      <c r="I20" s="14"/>
      <c r="J20" s="14"/>
      <c r="K20" s="14"/>
      <c r="L20" s="14"/>
      <c r="M20" s="14"/>
      <c r="N20" s="14"/>
      <c r="O20" s="14"/>
      <c r="P20" s="14"/>
      <c r="Q20" s="14"/>
      <c r="R20" s="14"/>
      <c r="S20" s="14"/>
      <c r="T20" s="14"/>
      <c r="U20" s="14"/>
    </row>
    <row r="21" spans="1:21" x14ac:dyDescent="0.25">
      <c r="A21" s="14"/>
      <c r="B21" s="14"/>
      <c r="C21" s="14"/>
      <c r="D21" s="14"/>
      <c r="E21" s="14"/>
      <c r="F21" s="14"/>
      <c r="G21" s="14"/>
      <c r="H21" s="14"/>
      <c r="I21" s="14"/>
      <c r="J21" s="14"/>
      <c r="K21" s="14"/>
      <c r="L21" s="14"/>
      <c r="M21" s="14"/>
      <c r="N21" s="14"/>
      <c r="O21" s="14"/>
      <c r="P21" s="14"/>
      <c r="Q21" s="14"/>
      <c r="R21" s="14"/>
      <c r="S21" s="14"/>
      <c r="T21" s="14"/>
      <c r="U21" s="14"/>
    </row>
    <row r="22" spans="1:21" x14ac:dyDescent="0.25">
      <c r="A22" s="14"/>
      <c r="B22" s="14"/>
      <c r="C22" s="14"/>
      <c r="D22" s="14"/>
      <c r="E22" s="14"/>
      <c r="F22" s="14"/>
      <c r="G22" s="14"/>
      <c r="H22" s="14"/>
      <c r="I22" s="14"/>
      <c r="J22" s="14"/>
      <c r="K22" s="14"/>
      <c r="L22" s="14"/>
      <c r="M22" s="14"/>
      <c r="N22" s="14"/>
      <c r="O22" s="14"/>
      <c r="P22" s="14"/>
      <c r="Q22" s="14"/>
      <c r="R22" s="14"/>
      <c r="S22" s="14"/>
      <c r="T22" s="14"/>
      <c r="U22" s="14"/>
    </row>
    <row r="23" spans="1:21" x14ac:dyDescent="0.25">
      <c r="A23" s="14"/>
      <c r="B23" s="14"/>
      <c r="C23" s="14"/>
      <c r="D23" s="14"/>
      <c r="E23" s="14"/>
      <c r="F23" s="14"/>
      <c r="G23" s="14"/>
      <c r="H23" s="14"/>
      <c r="I23" s="14"/>
      <c r="J23" s="14"/>
      <c r="K23" s="14"/>
      <c r="L23" s="14"/>
      <c r="M23" s="14"/>
      <c r="N23" s="14"/>
      <c r="O23" s="14"/>
      <c r="P23" s="14"/>
      <c r="Q23" s="14"/>
      <c r="R23" s="14"/>
      <c r="S23" s="14"/>
      <c r="T23" s="14"/>
      <c r="U23" s="14"/>
    </row>
    <row r="24" spans="1:21" x14ac:dyDescent="0.25">
      <c r="A24" s="14"/>
      <c r="B24" s="14"/>
      <c r="C24" s="14"/>
      <c r="D24" s="14"/>
      <c r="E24" s="14"/>
      <c r="F24" s="14"/>
      <c r="G24" s="14"/>
      <c r="H24" s="14"/>
      <c r="I24" s="14"/>
      <c r="J24" s="14"/>
      <c r="K24" s="14"/>
      <c r="L24" s="14"/>
      <c r="M24" s="14"/>
      <c r="N24" s="14"/>
      <c r="O24" s="14"/>
      <c r="P24" s="14"/>
      <c r="Q24" s="14"/>
      <c r="R24" s="14"/>
      <c r="S24" s="14"/>
      <c r="T24" s="14"/>
      <c r="U24" s="14"/>
    </row>
    <row r="25" spans="1:21" x14ac:dyDescent="0.25">
      <c r="A25" s="14"/>
      <c r="B25" s="14"/>
      <c r="C25" s="14"/>
      <c r="D25" s="14"/>
      <c r="E25" s="14"/>
      <c r="F25" s="14"/>
      <c r="G25" s="14"/>
      <c r="H25" s="14"/>
      <c r="I25" s="14"/>
      <c r="J25" s="14"/>
      <c r="K25" s="14"/>
      <c r="L25" s="14"/>
      <c r="M25" s="14"/>
      <c r="N25" s="14"/>
      <c r="O25" s="14"/>
      <c r="P25" s="14"/>
      <c r="Q25" s="14"/>
      <c r="R25" s="14"/>
      <c r="S25" s="14"/>
      <c r="T25" s="14"/>
      <c r="U25" s="14"/>
    </row>
    <row r="26" spans="1:21" x14ac:dyDescent="0.25">
      <c r="A26" s="14"/>
      <c r="B26" s="14"/>
      <c r="C26" s="14"/>
      <c r="D26" s="14"/>
      <c r="E26" s="14"/>
      <c r="F26" s="14"/>
      <c r="G26" s="14"/>
      <c r="H26" s="14"/>
      <c r="I26" s="14"/>
      <c r="J26" s="14"/>
      <c r="K26" s="14"/>
      <c r="L26" s="14"/>
      <c r="M26" s="14"/>
      <c r="N26" s="14"/>
      <c r="O26" s="14"/>
      <c r="P26" s="14"/>
      <c r="Q26" s="14"/>
      <c r="R26" s="14"/>
      <c r="S26" s="14"/>
      <c r="T26" s="14"/>
      <c r="U26" s="14"/>
    </row>
    <row r="27" spans="1:21" x14ac:dyDescent="0.25">
      <c r="A27" s="14"/>
      <c r="B27" s="14"/>
      <c r="C27" s="14"/>
      <c r="D27" s="14"/>
      <c r="E27" s="14"/>
      <c r="F27" s="14"/>
      <c r="G27" s="14"/>
      <c r="H27" s="14"/>
      <c r="I27" s="14"/>
      <c r="J27" s="14"/>
      <c r="K27" s="14"/>
      <c r="L27" s="14"/>
      <c r="M27" s="14"/>
      <c r="N27" s="14"/>
      <c r="O27" s="14"/>
      <c r="P27" s="14"/>
      <c r="Q27" s="14"/>
      <c r="R27" s="14"/>
      <c r="S27" s="14"/>
      <c r="T27" s="14"/>
      <c r="U27" s="14"/>
    </row>
    <row r="28" spans="1:21" x14ac:dyDescent="0.25">
      <c r="A28" s="14"/>
      <c r="B28" s="14"/>
      <c r="C28" s="14"/>
      <c r="D28" s="14"/>
      <c r="E28" s="14"/>
      <c r="F28" s="14"/>
      <c r="G28" s="14"/>
      <c r="H28" s="14"/>
      <c r="I28" s="14"/>
      <c r="J28" s="14"/>
      <c r="K28" s="14"/>
      <c r="L28" s="14"/>
      <c r="M28" s="14"/>
      <c r="N28" s="14"/>
      <c r="O28" s="14"/>
      <c r="P28" s="14"/>
      <c r="Q28" s="14"/>
      <c r="R28" s="14"/>
      <c r="S28" s="14"/>
      <c r="T28" s="14"/>
      <c r="U28" s="14"/>
    </row>
    <row r="29" spans="1:21" x14ac:dyDescent="0.25">
      <c r="A29" s="14"/>
      <c r="B29" s="14"/>
      <c r="C29" s="14"/>
      <c r="D29" s="14"/>
      <c r="E29" s="14"/>
      <c r="F29" s="14"/>
      <c r="G29" s="14"/>
      <c r="H29" s="14"/>
      <c r="I29" s="14"/>
      <c r="J29" s="14"/>
      <c r="K29" s="14"/>
      <c r="L29" s="14"/>
      <c r="M29" s="14"/>
      <c r="N29" s="14"/>
      <c r="O29" s="14"/>
      <c r="P29" s="14"/>
      <c r="Q29" s="14"/>
      <c r="R29" s="14"/>
      <c r="S29" s="14"/>
      <c r="T29" s="14"/>
      <c r="U29" s="14"/>
    </row>
    <row r="30" spans="1:21" x14ac:dyDescent="0.25">
      <c r="A30" s="14"/>
      <c r="B30" s="14"/>
      <c r="C30" s="14"/>
      <c r="D30" s="14"/>
      <c r="E30" s="14"/>
      <c r="F30" s="14"/>
      <c r="G30" s="14"/>
      <c r="H30" s="14"/>
      <c r="I30" s="14"/>
      <c r="J30" s="14"/>
      <c r="K30" s="14"/>
      <c r="L30" s="14"/>
      <c r="M30" s="14"/>
      <c r="N30" s="14"/>
      <c r="O30" s="14"/>
      <c r="P30" s="14"/>
      <c r="Q30" s="14"/>
      <c r="R30" s="14"/>
      <c r="S30" s="14"/>
      <c r="T30" s="14"/>
      <c r="U30" s="14"/>
    </row>
    <row r="31" spans="1:21" x14ac:dyDescent="0.25">
      <c r="A31" s="14"/>
      <c r="B31" s="14"/>
      <c r="C31" s="14"/>
      <c r="D31" s="14"/>
      <c r="E31" s="14"/>
      <c r="F31" s="14"/>
      <c r="G31" s="14"/>
      <c r="H31" s="14"/>
      <c r="I31" s="14"/>
      <c r="J31" s="14"/>
      <c r="K31" s="14"/>
      <c r="L31" s="14"/>
      <c r="M31" s="14"/>
      <c r="N31" s="14"/>
      <c r="O31" s="14"/>
      <c r="P31" s="14"/>
      <c r="Q31" s="14"/>
      <c r="R31" s="14"/>
      <c r="S31" s="14"/>
      <c r="T31" s="14"/>
      <c r="U31" s="14"/>
    </row>
    <row r="32" spans="1:21" x14ac:dyDescent="0.25">
      <c r="A32" s="14"/>
      <c r="B32" s="14"/>
      <c r="C32" s="14"/>
      <c r="D32" s="14"/>
      <c r="E32" s="14"/>
      <c r="F32" s="14"/>
      <c r="G32" s="14"/>
      <c r="H32" s="14"/>
      <c r="I32" s="14"/>
      <c r="J32" s="14"/>
      <c r="K32" s="14"/>
      <c r="L32" s="14"/>
      <c r="M32" s="14"/>
      <c r="N32" s="14"/>
      <c r="O32" s="14"/>
      <c r="P32" s="14"/>
      <c r="Q32" s="14"/>
      <c r="R32" s="14"/>
      <c r="S32" s="14"/>
      <c r="T32" s="14"/>
      <c r="U32" s="14"/>
    </row>
    <row r="33" spans="1:21" x14ac:dyDescent="0.25">
      <c r="A33" s="14"/>
      <c r="B33" s="14"/>
      <c r="C33" s="14"/>
      <c r="D33" s="14"/>
      <c r="E33" s="14"/>
      <c r="F33" s="14"/>
      <c r="G33" s="14"/>
      <c r="H33" s="14"/>
      <c r="I33" s="14"/>
      <c r="J33" s="14"/>
      <c r="K33" s="14"/>
      <c r="L33" s="14"/>
      <c r="M33" s="14"/>
      <c r="N33" s="14"/>
      <c r="O33" s="14"/>
      <c r="P33" s="14"/>
      <c r="Q33" s="14"/>
      <c r="R33" s="14"/>
      <c r="S33" s="14"/>
      <c r="T33" s="14"/>
      <c r="U33" s="14"/>
    </row>
    <row r="34" spans="1:21" x14ac:dyDescent="0.25">
      <c r="A34" s="14"/>
      <c r="B34" s="14"/>
      <c r="C34" s="14"/>
      <c r="D34" s="14"/>
      <c r="E34" s="14"/>
      <c r="F34" s="14"/>
      <c r="G34" s="14"/>
      <c r="H34" s="14"/>
      <c r="I34" s="14"/>
      <c r="J34" s="14"/>
      <c r="K34" s="14"/>
      <c r="L34" s="14"/>
      <c r="M34" s="14"/>
      <c r="N34" s="14"/>
      <c r="O34" s="14"/>
      <c r="P34" s="14"/>
      <c r="Q34" s="14"/>
      <c r="R34" s="14"/>
      <c r="S34" s="14"/>
      <c r="T34" s="14"/>
      <c r="U34" s="1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D4354B-56EF-4BAA-9E04-F492194C6C26}">
  <sheetPr codeName="Sheet44"/>
  <dimension ref="A1"/>
  <sheetViews>
    <sheetView workbookViewId="0"/>
  </sheetViews>
  <sheetFormatPr defaultRowHeight="15"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60321-706A-4384-9C11-4735ACA9ED71}">
  <sheetPr codeName="Sheet22"/>
  <dimension ref="A1:U34"/>
  <sheetViews>
    <sheetView showRowColHeaders="0" topLeftCell="A9" workbookViewId="0">
      <selection activeCell="A34" sqref="A1:U34"/>
    </sheetView>
  </sheetViews>
  <sheetFormatPr defaultRowHeight="15" x14ac:dyDescent="0.25"/>
  <sheetData>
    <row r="1" spans="1:21" x14ac:dyDescent="0.25">
      <c r="A1" s="14"/>
      <c r="B1" s="14"/>
      <c r="C1" s="14"/>
      <c r="D1" s="14"/>
      <c r="E1" s="14"/>
      <c r="F1" s="14"/>
      <c r="G1" s="14"/>
      <c r="H1" s="14"/>
      <c r="I1" s="14"/>
      <c r="J1" s="14"/>
      <c r="K1" s="14"/>
      <c r="L1" s="14"/>
      <c r="M1" s="14"/>
      <c r="N1" s="14"/>
      <c r="O1" s="14"/>
      <c r="P1" s="14"/>
      <c r="Q1" s="14"/>
      <c r="R1" s="14"/>
      <c r="S1" s="14"/>
      <c r="T1" s="14"/>
      <c r="U1" s="14"/>
    </row>
    <row r="2" spans="1:21" x14ac:dyDescent="0.25">
      <c r="A2" s="14"/>
      <c r="B2" s="14"/>
      <c r="C2" s="14"/>
      <c r="D2" s="14"/>
      <c r="E2" s="14"/>
      <c r="F2" s="14"/>
      <c r="G2" s="14"/>
      <c r="H2" s="14"/>
      <c r="I2" s="14"/>
      <c r="J2" s="14"/>
      <c r="K2" s="14"/>
      <c r="L2" s="14"/>
      <c r="M2" s="14"/>
      <c r="N2" s="14"/>
      <c r="O2" s="14"/>
      <c r="P2" s="14"/>
      <c r="Q2" s="14"/>
      <c r="R2" s="14"/>
      <c r="S2" s="14"/>
      <c r="T2" s="14"/>
      <c r="U2" s="14"/>
    </row>
    <row r="3" spans="1:21" x14ac:dyDescent="0.25">
      <c r="A3" s="14"/>
      <c r="B3" s="14"/>
      <c r="C3" s="14"/>
      <c r="D3" s="14"/>
      <c r="E3" s="14"/>
      <c r="F3" s="14"/>
      <c r="G3" s="14"/>
      <c r="H3" s="14"/>
      <c r="I3" s="14"/>
      <c r="J3" s="14"/>
      <c r="K3" s="14"/>
      <c r="L3" s="14"/>
      <c r="M3" s="14"/>
      <c r="N3" s="14"/>
      <c r="O3" s="14"/>
      <c r="P3" s="14"/>
      <c r="Q3" s="14"/>
      <c r="R3" s="14"/>
      <c r="S3" s="14"/>
      <c r="T3" s="14"/>
      <c r="U3" s="14"/>
    </row>
    <row r="4" spans="1:21" x14ac:dyDescent="0.25">
      <c r="A4" s="14"/>
      <c r="B4" s="14"/>
      <c r="C4" s="14"/>
      <c r="D4" s="14"/>
      <c r="E4" s="14"/>
      <c r="F4" s="14"/>
      <c r="G4" s="14"/>
      <c r="H4" s="14"/>
      <c r="I4" s="14"/>
      <c r="J4" s="14"/>
      <c r="K4" s="14"/>
      <c r="L4" s="14"/>
      <c r="M4" s="14"/>
      <c r="N4" s="14"/>
      <c r="O4" s="14"/>
      <c r="P4" s="14"/>
      <c r="Q4" s="14"/>
      <c r="R4" s="14"/>
      <c r="S4" s="14"/>
      <c r="T4" s="14"/>
      <c r="U4" s="14"/>
    </row>
    <row r="5" spans="1:21" x14ac:dyDescent="0.25">
      <c r="A5" s="14"/>
      <c r="B5" s="14"/>
      <c r="C5" s="14"/>
      <c r="D5" s="14"/>
      <c r="E5" s="14"/>
      <c r="F5" s="14"/>
      <c r="G5" s="14"/>
      <c r="H5" s="14"/>
      <c r="I5" s="14"/>
      <c r="J5" s="14"/>
      <c r="K5" s="14"/>
      <c r="L5" s="14"/>
      <c r="M5" s="14"/>
      <c r="N5" s="14"/>
      <c r="O5" s="14"/>
      <c r="P5" s="14"/>
      <c r="Q5" s="14"/>
      <c r="R5" s="14"/>
      <c r="S5" s="14"/>
      <c r="T5" s="14"/>
      <c r="U5" s="14"/>
    </row>
    <row r="6" spans="1:21" x14ac:dyDescent="0.25">
      <c r="A6" s="14"/>
      <c r="B6" s="14"/>
      <c r="C6" s="14"/>
      <c r="D6" s="14"/>
      <c r="E6" s="14"/>
      <c r="F6" s="14"/>
      <c r="G6" s="14"/>
      <c r="H6" s="14"/>
      <c r="I6" s="14"/>
      <c r="J6" s="14"/>
      <c r="K6" s="14"/>
      <c r="L6" s="14"/>
      <c r="M6" s="14"/>
      <c r="N6" s="14"/>
      <c r="O6" s="14"/>
      <c r="P6" s="14"/>
      <c r="Q6" s="14"/>
      <c r="R6" s="14"/>
      <c r="S6" s="14"/>
      <c r="T6" s="14"/>
      <c r="U6" s="14"/>
    </row>
    <row r="7" spans="1:21" x14ac:dyDescent="0.25">
      <c r="A7" s="14"/>
      <c r="B7" s="14"/>
      <c r="C7" s="14"/>
      <c r="D7" s="14"/>
      <c r="E7" s="14"/>
      <c r="F7" s="14"/>
      <c r="G7" s="14"/>
      <c r="H7" s="14"/>
      <c r="I7" s="14"/>
      <c r="J7" s="14"/>
      <c r="K7" s="14"/>
      <c r="L7" s="14"/>
      <c r="M7" s="14"/>
      <c r="N7" s="14"/>
      <c r="O7" s="14"/>
      <c r="P7" s="14"/>
      <c r="Q7" s="14"/>
      <c r="R7" s="14"/>
      <c r="S7" s="14"/>
      <c r="T7" s="14"/>
      <c r="U7" s="14"/>
    </row>
    <row r="8" spans="1:21" x14ac:dyDescent="0.25">
      <c r="A8" s="14"/>
      <c r="B8" s="14"/>
      <c r="C8" s="14"/>
      <c r="D8" s="14"/>
      <c r="E8" s="14"/>
      <c r="F8" s="14"/>
      <c r="G8" s="14"/>
      <c r="H8" s="14"/>
      <c r="I8" s="14"/>
      <c r="J8" s="14"/>
      <c r="K8" s="14"/>
      <c r="L8" s="14"/>
      <c r="M8" s="14"/>
      <c r="N8" s="14"/>
      <c r="O8" s="14"/>
      <c r="P8" s="14"/>
      <c r="Q8" s="14"/>
      <c r="R8" s="14"/>
      <c r="S8" s="14"/>
      <c r="T8" s="14"/>
      <c r="U8" s="14"/>
    </row>
    <row r="9" spans="1:21" x14ac:dyDescent="0.25">
      <c r="A9" s="14"/>
      <c r="B9" s="14"/>
      <c r="C9" s="14"/>
      <c r="D9" s="14"/>
      <c r="E9" s="14"/>
      <c r="F9" s="14"/>
      <c r="G9" s="14"/>
      <c r="H9" s="14"/>
      <c r="I9" s="14"/>
      <c r="J9" s="14"/>
      <c r="K9" s="14"/>
      <c r="L9" s="14"/>
      <c r="M9" s="14"/>
      <c r="N9" s="14"/>
      <c r="O9" s="14"/>
      <c r="P9" s="14"/>
      <c r="Q9" s="14"/>
      <c r="R9" s="14"/>
      <c r="S9" s="14"/>
      <c r="T9" s="14"/>
      <c r="U9" s="14"/>
    </row>
    <row r="10" spans="1:21" x14ac:dyDescent="0.25">
      <c r="A10" s="14"/>
      <c r="B10" s="14"/>
      <c r="C10" s="14"/>
      <c r="D10" s="14"/>
      <c r="E10" s="14"/>
      <c r="F10" s="14"/>
      <c r="G10" s="14"/>
      <c r="H10" s="14"/>
      <c r="I10" s="14"/>
      <c r="J10" s="14"/>
      <c r="K10" s="14"/>
      <c r="L10" s="14"/>
      <c r="M10" s="14"/>
      <c r="N10" s="14"/>
      <c r="O10" s="14"/>
      <c r="P10" s="14"/>
      <c r="Q10" s="14"/>
      <c r="R10" s="14"/>
      <c r="S10" s="14"/>
      <c r="T10" s="14"/>
      <c r="U10" s="14"/>
    </row>
    <row r="11" spans="1:21" x14ac:dyDescent="0.25">
      <c r="A11" s="14"/>
      <c r="B11" s="14"/>
      <c r="C11" s="14"/>
      <c r="D11" s="14"/>
      <c r="E11" s="14"/>
      <c r="F11" s="14"/>
      <c r="G11" s="14"/>
      <c r="H11" s="14"/>
      <c r="I11" s="14"/>
      <c r="J11" s="14"/>
      <c r="K11" s="14"/>
      <c r="L11" s="14"/>
      <c r="M11" s="14"/>
      <c r="N11" s="14"/>
      <c r="O11" s="14"/>
      <c r="P11" s="14"/>
      <c r="Q11" s="14"/>
      <c r="R11" s="14"/>
      <c r="S11" s="14"/>
      <c r="T11" s="14"/>
      <c r="U11" s="14"/>
    </row>
    <row r="12" spans="1:21" x14ac:dyDescent="0.25">
      <c r="A12" s="14"/>
      <c r="B12" s="14"/>
      <c r="C12" s="14"/>
      <c r="D12" s="14"/>
      <c r="E12" s="14"/>
      <c r="F12" s="14"/>
      <c r="G12" s="14"/>
      <c r="H12" s="14"/>
      <c r="I12" s="14"/>
      <c r="J12" s="14"/>
      <c r="K12" s="14"/>
      <c r="L12" s="14"/>
      <c r="M12" s="14"/>
      <c r="N12" s="14"/>
      <c r="O12" s="14"/>
      <c r="P12" s="14"/>
      <c r="Q12" s="14"/>
      <c r="R12" s="14"/>
      <c r="S12" s="14"/>
      <c r="T12" s="14"/>
      <c r="U12" s="14"/>
    </row>
    <row r="13" spans="1:21" x14ac:dyDescent="0.25">
      <c r="A13" s="14"/>
      <c r="B13" s="14"/>
      <c r="C13" s="14"/>
      <c r="D13" s="14"/>
      <c r="E13" s="14"/>
      <c r="F13" s="14"/>
      <c r="G13" s="14"/>
      <c r="H13" s="14"/>
      <c r="I13" s="14"/>
      <c r="J13" s="14"/>
      <c r="K13" s="14"/>
      <c r="L13" s="14"/>
      <c r="M13" s="14"/>
      <c r="N13" s="14"/>
      <c r="O13" s="14"/>
      <c r="P13" s="14"/>
      <c r="Q13" s="14"/>
      <c r="R13" s="14"/>
      <c r="S13" s="14"/>
      <c r="T13" s="14"/>
      <c r="U13" s="14"/>
    </row>
    <row r="14" spans="1:21" x14ac:dyDescent="0.25">
      <c r="A14" s="14"/>
      <c r="B14" s="14"/>
      <c r="C14" s="14"/>
      <c r="D14" s="14"/>
      <c r="E14" s="14"/>
      <c r="F14" s="14"/>
      <c r="G14" s="14"/>
      <c r="H14" s="14"/>
      <c r="I14" s="14"/>
      <c r="J14" s="14"/>
      <c r="K14" s="14"/>
      <c r="L14" s="14"/>
      <c r="M14" s="14"/>
      <c r="N14" s="14"/>
      <c r="O14" s="14"/>
      <c r="P14" s="14"/>
      <c r="Q14" s="14"/>
      <c r="R14" s="14"/>
      <c r="S14" s="14"/>
      <c r="T14" s="14"/>
      <c r="U14" s="14"/>
    </row>
    <row r="15" spans="1:21" x14ac:dyDescent="0.25">
      <c r="A15" s="14"/>
      <c r="B15" s="14"/>
      <c r="C15" s="14"/>
      <c r="D15" s="14"/>
      <c r="E15" s="14"/>
      <c r="F15" s="14"/>
      <c r="G15" s="14"/>
      <c r="H15" s="14"/>
      <c r="I15" s="14"/>
      <c r="J15" s="14"/>
      <c r="K15" s="14"/>
      <c r="L15" s="14"/>
      <c r="M15" s="14"/>
      <c r="N15" s="14"/>
      <c r="O15" s="14"/>
      <c r="P15" s="14"/>
      <c r="Q15" s="14"/>
      <c r="R15" s="14"/>
      <c r="S15" s="14"/>
      <c r="T15" s="14"/>
      <c r="U15" s="14"/>
    </row>
    <row r="16" spans="1:21" x14ac:dyDescent="0.25">
      <c r="A16" s="14"/>
      <c r="B16" s="14"/>
      <c r="C16" s="14"/>
      <c r="D16" s="14"/>
      <c r="E16" s="14"/>
      <c r="F16" s="14"/>
      <c r="G16" s="14"/>
      <c r="H16" s="14"/>
      <c r="I16" s="14"/>
      <c r="J16" s="14"/>
      <c r="K16" s="14"/>
      <c r="L16" s="14"/>
      <c r="M16" s="14"/>
      <c r="N16" s="14"/>
      <c r="O16" s="14"/>
      <c r="P16" s="14"/>
      <c r="Q16" s="14"/>
      <c r="R16" s="14"/>
      <c r="S16" s="14"/>
      <c r="T16" s="14"/>
      <c r="U16" s="14"/>
    </row>
    <row r="17" spans="1:21" x14ac:dyDescent="0.25">
      <c r="A17" s="14"/>
      <c r="B17" s="14"/>
      <c r="C17" s="14"/>
      <c r="D17" s="14"/>
      <c r="E17" s="14"/>
      <c r="F17" s="14"/>
      <c r="G17" s="14"/>
      <c r="H17" s="14"/>
      <c r="I17" s="14"/>
      <c r="J17" s="14"/>
      <c r="K17" s="14"/>
      <c r="L17" s="14"/>
      <c r="M17" s="14"/>
      <c r="N17" s="14"/>
      <c r="O17" s="14"/>
      <c r="P17" s="14"/>
      <c r="Q17" s="14"/>
      <c r="R17" s="14"/>
      <c r="S17" s="14"/>
      <c r="T17" s="14"/>
      <c r="U17" s="14"/>
    </row>
    <row r="18" spans="1:21" x14ac:dyDescent="0.25">
      <c r="A18" s="14"/>
      <c r="B18" s="14"/>
      <c r="C18" s="14"/>
      <c r="D18" s="14"/>
      <c r="E18" s="14"/>
      <c r="F18" s="14"/>
      <c r="G18" s="14"/>
      <c r="H18" s="14"/>
      <c r="I18" s="14"/>
      <c r="J18" s="14"/>
      <c r="K18" s="14"/>
      <c r="L18" s="14"/>
      <c r="M18" s="14"/>
      <c r="N18" s="14"/>
      <c r="O18" s="14"/>
      <c r="P18" s="14"/>
      <c r="Q18" s="14"/>
      <c r="R18" s="14"/>
      <c r="S18" s="14"/>
      <c r="T18" s="14"/>
      <c r="U18" s="14"/>
    </row>
    <row r="19" spans="1:21" x14ac:dyDescent="0.25">
      <c r="A19" s="14"/>
      <c r="B19" s="14"/>
      <c r="C19" s="14"/>
      <c r="D19" s="14"/>
      <c r="E19" s="14"/>
      <c r="F19" s="14"/>
      <c r="G19" s="14"/>
      <c r="H19" s="14"/>
      <c r="I19" s="14"/>
      <c r="J19" s="14"/>
      <c r="K19" s="14"/>
      <c r="L19" s="14"/>
      <c r="M19" s="14"/>
      <c r="N19" s="14"/>
      <c r="O19" s="14"/>
      <c r="P19" s="14"/>
      <c r="Q19" s="14"/>
      <c r="R19" s="14"/>
      <c r="S19" s="14"/>
      <c r="T19" s="14"/>
      <c r="U19" s="14"/>
    </row>
    <row r="20" spans="1:21" x14ac:dyDescent="0.25">
      <c r="A20" s="14"/>
      <c r="B20" s="14"/>
      <c r="C20" s="14"/>
      <c r="D20" s="14"/>
      <c r="E20" s="14"/>
      <c r="F20" s="14"/>
      <c r="G20" s="14"/>
      <c r="H20" s="14"/>
      <c r="I20" s="14"/>
      <c r="J20" s="14"/>
      <c r="K20" s="14"/>
      <c r="L20" s="14"/>
      <c r="M20" s="14"/>
      <c r="N20" s="14"/>
      <c r="O20" s="14"/>
      <c r="P20" s="14"/>
      <c r="Q20" s="14"/>
      <c r="R20" s="14"/>
      <c r="S20" s="14"/>
      <c r="T20" s="14"/>
      <c r="U20" s="14"/>
    </row>
    <row r="21" spans="1:21" x14ac:dyDescent="0.25">
      <c r="A21" s="14"/>
      <c r="B21" s="14"/>
      <c r="C21" s="14"/>
      <c r="D21" s="14"/>
      <c r="E21" s="14"/>
      <c r="F21" s="14"/>
      <c r="G21" s="14"/>
      <c r="H21" s="14"/>
      <c r="I21" s="14"/>
      <c r="J21" s="14"/>
      <c r="K21" s="14"/>
      <c r="L21" s="14"/>
      <c r="M21" s="14"/>
      <c r="N21" s="14"/>
      <c r="O21" s="14"/>
      <c r="P21" s="14"/>
      <c r="Q21" s="14"/>
      <c r="R21" s="14"/>
      <c r="S21" s="14"/>
      <c r="T21" s="14"/>
      <c r="U21" s="14"/>
    </row>
    <row r="22" spans="1:21" x14ac:dyDescent="0.25">
      <c r="A22" s="14"/>
      <c r="B22" s="14"/>
      <c r="C22" s="14"/>
      <c r="D22" s="14"/>
      <c r="E22" s="14"/>
      <c r="F22" s="14"/>
      <c r="G22" s="14"/>
      <c r="H22" s="14"/>
      <c r="I22" s="14"/>
      <c r="J22" s="14"/>
      <c r="K22" s="14"/>
      <c r="L22" s="14"/>
      <c r="M22" s="14"/>
      <c r="N22" s="14"/>
      <c r="O22" s="14"/>
      <c r="P22" s="14"/>
      <c r="Q22" s="14"/>
      <c r="R22" s="14"/>
      <c r="S22" s="14"/>
      <c r="T22" s="14"/>
      <c r="U22" s="14"/>
    </row>
    <row r="23" spans="1:21" x14ac:dyDescent="0.25">
      <c r="A23" s="14"/>
      <c r="B23" s="14"/>
      <c r="C23" s="14"/>
      <c r="D23" s="14"/>
      <c r="E23" s="14"/>
      <c r="F23" s="14"/>
      <c r="G23" s="14"/>
      <c r="H23" s="14"/>
      <c r="I23" s="14"/>
      <c r="J23" s="14"/>
      <c r="K23" s="14"/>
      <c r="L23" s="14"/>
      <c r="M23" s="14"/>
      <c r="N23" s="14"/>
      <c r="O23" s="14"/>
      <c r="P23" s="14"/>
      <c r="Q23" s="14"/>
      <c r="R23" s="14"/>
      <c r="S23" s="14"/>
      <c r="T23" s="14"/>
      <c r="U23" s="14"/>
    </row>
    <row r="24" spans="1:21" x14ac:dyDescent="0.25">
      <c r="A24" s="14"/>
      <c r="B24" s="14"/>
      <c r="C24" s="14"/>
      <c r="D24" s="14"/>
      <c r="E24" s="14"/>
      <c r="F24" s="14"/>
      <c r="G24" s="14"/>
      <c r="H24" s="14"/>
      <c r="I24" s="14"/>
      <c r="J24" s="14"/>
      <c r="K24" s="14"/>
      <c r="L24" s="14"/>
      <c r="M24" s="14"/>
      <c r="N24" s="14"/>
      <c r="O24" s="14"/>
      <c r="P24" s="14"/>
      <c r="Q24" s="14"/>
      <c r="R24" s="14"/>
      <c r="S24" s="14"/>
      <c r="T24" s="14"/>
      <c r="U24" s="14"/>
    </row>
    <row r="25" spans="1:21" x14ac:dyDescent="0.25">
      <c r="A25" s="14"/>
      <c r="B25" s="14"/>
      <c r="C25" s="14"/>
      <c r="D25" s="14"/>
      <c r="E25" s="14"/>
      <c r="F25" s="14"/>
      <c r="G25" s="14"/>
      <c r="H25" s="14"/>
      <c r="I25" s="14"/>
      <c r="J25" s="14"/>
      <c r="K25" s="14"/>
      <c r="L25" s="14"/>
      <c r="M25" s="14"/>
      <c r="N25" s="14"/>
      <c r="O25" s="14"/>
      <c r="P25" s="14"/>
      <c r="Q25" s="14"/>
      <c r="R25" s="14"/>
      <c r="S25" s="14"/>
      <c r="T25" s="14"/>
      <c r="U25" s="14"/>
    </row>
    <row r="26" spans="1:21" x14ac:dyDescent="0.25">
      <c r="A26" s="14"/>
      <c r="B26" s="14"/>
      <c r="C26" s="14"/>
      <c r="D26" s="14"/>
      <c r="E26" s="14"/>
      <c r="F26" s="14"/>
      <c r="G26" s="14"/>
      <c r="H26" s="14"/>
      <c r="I26" s="14"/>
      <c r="J26" s="14"/>
      <c r="K26" s="14"/>
      <c r="L26" s="14"/>
      <c r="M26" s="14"/>
      <c r="N26" s="14"/>
      <c r="O26" s="14"/>
      <c r="P26" s="14"/>
      <c r="Q26" s="14"/>
      <c r="R26" s="14"/>
      <c r="S26" s="14"/>
      <c r="T26" s="14"/>
      <c r="U26" s="14"/>
    </row>
    <row r="27" spans="1:21" x14ac:dyDescent="0.25">
      <c r="A27" s="14"/>
      <c r="B27" s="14"/>
      <c r="C27" s="14"/>
      <c r="D27" s="14"/>
      <c r="E27" s="14"/>
      <c r="F27" s="14"/>
      <c r="G27" s="14"/>
      <c r="H27" s="14"/>
      <c r="I27" s="14"/>
      <c r="J27" s="14"/>
      <c r="K27" s="14"/>
      <c r="L27" s="14"/>
      <c r="M27" s="14"/>
      <c r="N27" s="14"/>
      <c r="O27" s="14"/>
      <c r="P27" s="14"/>
      <c r="Q27" s="14"/>
      <c r="R27" s="14"/>
      <c r="S27" s="14"/>
      <c r="T27" s="14"/>
      <c r="U27" s="14"/>
    </row>
    <row r="28" spans="1:21" x14ac:dyDescent="0.25">
      <c r="A28" s="14"/>
      <c r="B28" s="14"/>
      <c r="C28" s="14"/>
      <c r="D28" s="14"/>
      <c r="E28" s="14"/>
      <c r="F28" s="14"/>
      <c r="G28" s="14"/>
      <c r="H28" s="14"/>
      <c r="I28" s="14"/>
      <c r="J28" s="14"/>
      <c r="K28" s="14"/>
      <c r="L28" s="14"/>
      <c r="M28" s="14"/>
      <c r="N28" s="14"/>
      <c r="O28" s="14"/>
      <c r="P28" s="14"/>
      <c r="Q28" s="14"/>
      <c r="R28" s="14"/>
      <c r="S28" s="14"/>
      <c r="T28" s="14"/>
      <c r="U28" s="14"/>
    </row>
    <row r="29" spans="1:21" x14ac:dyDescent="0.25">
      <c r="A29" s="14"/>
      <c r="B29" s="14"/>
      <c r="C29" s="14"/>
      <c r="D29" s="14"/>
      <c r="E29" s="14"/>
      <c r="F29" s="14"/>
      <c r="G29" s="14"/>
      <c r="H29" s="14"/>
      <c r="I29" s="14"/>
      <c r="J29" s="14"/>
      <c r="K29" s="14"/>
      <c r="L29" s="14"/>
      <c r="M29" s="14"/>
      <c r="N29" s="14"/>
      <c r="O29" s="14"/>
      <c r="P29" s="14"/>
      <c r="Q29" s="14"/>
      <c r="R29" s="14"/>
      <c r="S29" s="14"/>
      <c r="T29" s="14"/>
      <c r="U29" s="14"/>
    </row>
    <row r="30" spans="1:21" x14ac:dyDescent="0.25">
      <c r="A30" s="14"/>
      <c r="B30" s="14"/>
      <c r="C30" s="14"/>
      <c r="D30" s="14"/>
      <c r="E30" s="14"/>
      <c r="F30" s="14"/>
      <c r="G30" s="14"/>
      <c r="H30" s="14"/>
      <c r="I30" s="14"/>
      <c r="J30" s="14"/>
      <c r="K30" s="14"/>
      <c r="L30" s="14"/>
      <c r="M30" s="14"/>
      <c r="N30" s="14"/>
      <c r="O30" s="14"/>
      <c r="P30" s="14"/>
      <c r="Q30" s="14"/>
      <c r="R30" s="14"/>
      <c r="S30" s="14"/>
      <c r="T30" s="14"/>
      <c r="U30" s="14"/>
    </row>
    <row r="31" spans="1:21" x14ac:dyDescent="0.25">
      <c r="A31" s="14"/>
      <c r="B31" s="14"/>
      <c r="C31" s="14"/>
      <c r="D31" s="14"/>
      <c r="E31" s="14"/>
      <c r="F31" s="14"/>
      <c r="G31" s="14"/>
      <c r="H31" s="14"/>
      <c r="I31" s="14"/>
      <c r="J31" s="14"/>
      <c r="K31" s="14"/>
      <c r="L31" s="14"/>
      <c r="M31" s="14"/>
      <c r="N31" s="14"/>
      <c r="O31" s="14"/>
      <c r="P31" s="14"/>
      <c r="Q31" s="14"/>
      <c r="R31" s="14"/>
      <c r="S31" s="14"/>
      <c r="T31" s="14"/>
      <c r="U31" s="14"/>
    </row>
    <row r="32" spans="1:21" x14ac:dyDescent="0.25">
      <c r="A32" s="14"/>
      <c r="B32" s="14"/>
      <c r="C32" s="14"/>
      <c r="D32" s="14"/>
      <c r="E32" s="14"/>
      <c r="F32" s="14"/>
      <c r="G32" s="14"/>
      <c r="H32" s="14"/>
      <c r="I32" s="14"/>
      <c r="J32" s="14"/>
      <c r="K32" s="14"/>
      <c r="L32" s="14"/>
      <c r="M32" s="14"/>
      <c r="N32" s="14"/>
      <c r="O32" s="14"/>
      <c r="P32" s="14"/>
      <c r="Q32" s="14"/>
      <c r="R32" s="14"/>
      <c r="S32" s="14"/>
      <c r="T32" s="14"/>
      <c r="U32" s="14"/>
    </row>
    <row r="33" spans="1:21" x14ac:dyDescent="0.25">
      <c r="A33" s="14"/>
      <c r="B33" s="14"/>
      <c r="C33" s="14"/>
      <c r="D33" s="14"/>
      <c r="E33" s="14"/>
      <c r="F33" s="14"/>
      <c r="G33" s="14"/>
      <c r="H33" s="14"/>
      <c r="I33" s="14"/>
      <c r="J33" s="14"/>
      <c r="K33" s="14"/>
      <c r="L33" s="14"/>
      <c r="M33" s="14"/>
      <c r="N33" s="14"/>
      <c r="O33" s="14"/>
      <c r="P33" s="14"/>
      <c r="Q33" s="14"/>
      <c r="R33" s="14"/>
      <c r="S33" s="14"/>
      <c r="T33" s="14"/>
      <c r="U33" s="14"/>
    </row>
    <row r="34" spans="1:21" x14ac:dyDescent="0.25">
      <c r="A34" s="14"/>
      <c r="B34" s="14"/>
      <c r="C34" s="14"/>
      <c r="D34" s="14"/>
      <c r="E34" s="14"/>
      <c r="F34" s="14"/>
      <c r="G34" s="14"/>
      <c r="H34" s="14"/>
      <c r="I34" s="14"/>
      <c r="J34" s="14"/>
      <c r="K34" s="14"/>
      <c r="L34" s="14"/>
      <c r="M34" s="14"/>
      <c r="N34" s="14"/>
      <c r="O34" s="14"/>
      <c r="P34" s="14"/>
      <c r="Q34" s="14"/>
      <c r="R34" s="14"/>
      <c r="S34" s="14"/>
      <c r="T34" s="14"/>
      <c r="U34" s="14"/>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C78F8-F030-4676-86C3-5BC92245A4CA}">
  <sheetPr codeName="Sheet45"/>
  <dimension ref="A1"/>
  <sheetViews>
    <sheetView workbookViewId="0"/>
  </sheetViews>
  <sheetFormatPr defaultRowHeight="15" x14ac:dyDescent="0.2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66A0B-4720-4DB7-91AD-E0C7AABEF971}">
  <sheetPr codeName="Sheet23"/>
  <dimension ref="A1:U34"/>
  <sheetViews>
    <sheetView showRowColHeaders="0" workbookViewId="0">
      <selection activeCell="J14" sqref="J14"/>
    </sheetView>
  </sheetViews>
  <sheetFormatPr defaultRowHeight="15" x14ac:dyDescent="0.25"/>
  <sheetData>
    <row r="1" spans="1:21" x14ac:dyDescent="0.25">
      <c r="A1" s="14"/>
      <c r="B1" s="14"/>
      <c r="C1" s="14"/>
      <c r="D1" s="14"/>
      <c r="E1" s="14"/>
      <c r="F1" s="14"/>
      <c r="G1" s="14"/>
      <c r="H1" s="14"/>
      <c r="I1" s="14"/>
      <c r="J1" s="14"/>
      <c r="K1" s="14"/>
      <c r="L1" s="14"/>
      <c r="M1" s="14"/>
      <c r="N1" s="14"/>
      <c r="O1" s="14"/>
      <c r="P1" s="14"/>
      <c r="Q1" s="14"/>
      <c r="R1" s="14"/>
      <c r="S1" s="14"/>
      <c r="T1" s="14"/>
      <c r="U1" s="14"/>
    </row>
    <row r="2" spans="1:21" x14ac:dyDescent="0.25">
      <c r="A2" s="14"/>
      <c r="B2" s="14"/>
      <c r="C2" s="14"/>
      <c r="D2" s="14"/>
      <c r="E2" s="14"/>
      <c r="F2" s="14"/>
      <c r="G2" s="14"/>
      <c r="H2" s="14"/>
      <c r="I2" s="14"/>
      <c r="J2" s="14"/>
      <c r="K2" s="14"/>
      <c r="L2" s="14"/>
      <c r="M2" s="14"/>
      <c r="N2" s="14"/>
      <c r="O2" s="14"/>
      <c r="P2" s="14"/>
      <c r="Q2" s="14"/>
      <c r="R2" s="14"/>
      <c r="S2" s="14"/>
      <c r="T2" s="14"/>
      <c r="U2" s="14"/>
    </row>
    <row r="3" spans="1:21" x14ac:dyDescent="0.25">
      <c r="A3" s="14"/>
      <c r="B3" s="14"/>
      <c r="C3" s="14"/>
      <c r="D3" s="14"/>
      <c r="E3" s="14"/>
      <c r="F3" s="14"/>
      <c r="G3" s="14"/>
      <c r="H3" s="14"/>
      <c r="I3" s="14"/>
      <c r="J3" s="14"/>
      <c r="K3" s="14"/>
      <c r="L3" s="14"/>
      <c r="M3" s="14"/>
      <c r="N3" s="14"/>
      <c r="O3" s="14"/>
      <c r="P3" s="14"/>
      <c r="Q3" s="14"/>
      <c r="R3" s="14"/>
      <c r="S3" s="14"/>
      <c r="T3" s="14"/>
      <c r="U3" s="14"/>
    </row>
    <row r="4" spans="1:21" x14ac:dyDescent="0.25">
      <c r="A4" s="14"/>
      <c r="B4" s="14"/>
      <c r="C4" s="14"/>
      <c r="D4" s="14"/>
      <c r="E4" s="14"/>
      <c r="F4" s="14"/>
      <c r="G4" s="14"/>
      <c r="H4" s="14"/>
      <c r="I4" s="14"/>
      <c r="J4" s="14"/>
      <c r="K4" s="14"/>
      <c r="L4" s="14"/>
      <c r="M4" s="14"/>
      <c r="N4" s="14"/>
      <c r="O4" s="14"/>
      <c r="P4" s="14"/>
      <c r="Q4" s="14"/>
      <c r="R4" s="14"/>
      <c r="S4" s="14"/>
      <c r="T4" s="14"/>
      <c r="U4" s="14"/>
    </row>
    <row r="5" spans="1:21" x14ac:dyDescent="0.25">
      <c r="A5" s="14"/>
      <c r="B5" s="14"/>
      <c r="C5" s="14"/>
      <c r="D5" s="14"/>
      <c r="E5" s="14"/>
      <c r="F5" s="14"/>
      <c r="G5" s="14"/>
      <c r="H5" s="14"/>
      <c r="I5" s="14"/>
      <c r="J5" s="14"/>
      <c r="K5" s="14"/>
      <c r="L5" s="14"/>
      <c r="M5" s="14"/>
      <c r="N5" s="14"/>
      <c r="O5" s="14"/>
      <c r="P5" s="14"/>
      <c r="Q5" s="14"/>
      <c r="R5" s="14"/>
      <c r="S5" s="14"/>
      <c r="T5" s="14"/>
      <c r="U5" s="14"/>
    </row>
    <row r="6" spans="1:21" x14ac:dyDescent="0.25">
      <c r="A6" s="14"/>
      <c r="B6" s="14"/>
      <c r="C6" s="14"/>
      <c r="D6" s="14"/>
      <c r="E6" s="14"/>
      <c r="F6" s="14"/>
      <c r="G6" s="14"/>
      <c r="H6" s="14"/>
      <c r="I6" s="14"/>
      <c r="J6" s="14"/>
      <c r="K6" s="14"/>
      <c r="L6" s="14"/>
      <c r="M6" s="14"/>
      <c r="N6" s="14"/>
      <c r="O6" s="14"/>
      <c r="P6" s="14"/>
      <c r="Q6" s="14"/>
      <c r="R6" s="14"/>
      <c r="S6" s="14"/>
      <c r="T6" s="14"/>
      <c r="U6" s="14"/>
    </row>
    <row r="7" spans="1:21" x14ac:dyDescent="0.25">
      <c r="A7" s="14"/>
      <c r="B7" s="14"/>
      <c r="C7" s="14"/>
      <c r="D7" s="14"/>
      <c r="E7" s="14"/>
      <c r="F7" s="14"/>
      <c r="G7" s="14"/>
      <c r="H7" s="14"/>
      <c r="I7" s="14"/>
      <c r="J7" s="14"/>
      <c r="K7" s="14"/>
      <c r="L7" s="14"/>
      <c r="M7" s="14"/>
      <c r="N7" s="14"/>
      <c r="O7" s="14"/>
      <c r="P7" s="14"/>
      <c r="Q7" s="14"/>
      <c r="R7" s="14"/>
      <c r="S7" s="14"/>
      <c r="T7" s="14"/>
      <c r="U7" s="14"/>
    </row>
    <row r="8" spans="1:21" x14ac:dyDescent="0.25">
      <c r="A8" s="14"/>
      <c r="B8" s="14"/>
      <c r="C8" s="14"/>
      <c r="D8" s="14"/>
      <c r="E8" s="14"/>
      <c r="F8" s="14"/>
      <c r="G8" s="14"/>
      <c r="H8" s="14"/>
      <c r="I8" s="14"/>
      <c r="J8" s="14"/>
      <c r="K8" s="14"/>
      <c r="L8" s="14"/>
      <c r="M8" s="14"/>
      <c r="N8" s="14"/>
      <c r="O8" s="14"/>
      <c r="P8" s="14"/>
      <c r="Q8" s="14"/>
      <c r="R8" s="14"/>
      <c r="S8" s="14"/>
      <c r="T8" s="14"/>
      <c r="U8" s="14"/>
    </row>
    <row r="9" spans="1:21" x14ac:dyDescent="0.25">
      <c r="A9" s="14"/>
      <c r="B9" s="14"/>
      <c r="C9" s="14"/>
      <c r="D9" s="14"/>
      <c r="E9" s="14"/>
      <c r="F9" s="14"/>
      <c r="G9" s="14"/>
      <c r="H9" s="14"/>
      <c r="I9" s="14"/>
      <c r="J9" s="14"/>
      <c r="K9" s="14"/>
      <c r="L9" s="14"/>
      <c r="M9" s="14"/>
      <c r="N9" s="14"/>
      <c r="O9" s="14"/>
      <c r="P9" s="14"/>
      <c r="Q9" s="14"/>
      <c r="R9" s="14"/>
      <c r="S9" s="14"/>
      <c r="T9" s="14"/>
      <c r="U9" s="14"/>
    </row>
    <row r="10" spans="1:21" x14ac:dyDescent="0.25">
      <c r="A10" s="14"/>
      <c r="B10" s="14"/>
      <c r="C10" s="14"/>
      <c r="D10" s="14"/>
      <c r="E10" s="14"/>
      <c r="F10" s="14"/>
      <c r="G10" s="14"/>
      <c r="H10" s="14"/>
      <c r="I10" s="14"/>
      <c r="J10" s="14"/>
      <c r="K10" s="14"/>
      <c r="L10" s="14"/>
      <c r="M10" s="14"/>
      <c r="N10" s="14"/>
      <c r="O10" s="14"/>
      <c r="P10" s="14"/>
      <c r="Q10" s="14"/>
      <c r="R10" s="14"/>
      <c r="S10" s="14"/>
      <c r="T10" s="14"/>
      <c r="U10" s="14"/>
    </row>
    <row r="11" spans="1:21" x14ac:dyDescent="0.25">
      <c r="A11" s="14"/>
      <c r="B11" s="14"/>
      <c r="C11" s="14"/>
      <c r="D11" s="14"/>
      <c r="E11" s="14"/>
      <c r="F11" s="14"/>
      <c r="G11" s="14"/>
      <c r="H11" s="14"/>
      <c r="I11" s="14"/>
      <c r="J11" s="14"/>
      <c r="K11" s="14"/>
      <c r="L11" s="14"/>
      <c r="M11" s="14"/>
      <c r="N11" s="14"/>
      <c r="O11" s="14"/>
      <c r="P11" s="14"/>
      <c r="Q11" s="14"/>
      <c r="R11" s="14"/>
      <c r="S11" s="14"/>
      <c r="T11" s="14"/>
      <c r="U11" s="14"/>
    </row>
    <row r="12" spans="1:21" x14ac:dyDescent="0.25">
      <c r="A12" s="14"/>
      <c r="B12" s="14"/>
      <c r="C12" s="14"/>
      <c r="D12" s="14"/>
      <c r="E12" s="14"/>
      <c r="F12" s="14"/>
      <c r="G12" s="14"/>
      <c r="H12" s="14"/>
      <c r="I12" s="14"/>
      <c r="J12" s="14"/>
      <c r="K12" s="14"/>
      <c r="L12" s="14"/>
      <c r="M12" s="14"/>
      <c r="N12" s="14"/>
      <c r="O12" s="14"/>
      <c r="P12" s="14"/>
      <c r="Q12" s="14"/>
      <c r="R12" s="14"/>
      <c r="S12" s="14"/>
      <c r="T12" s="14"/>
      <c r="U12" s="14"/>
    </row>
    <row r="13" spans="1:21" x14ac:dyDescent="0.25">
      <c r="A13" s="14"/>
      <c r="B13" s="14"/>
      <c r="C13" s="14"/>
      <c r="D13" s="14"/>
      <c r="E13" s="14"/>
      <c r="F13" s="14"/>
      <c r="G13" s="14"/>
      <c r="H13" s="14"/>
      <c r="I13" s="14"/>
      <c r="J13" s="14"/>
      <c r="K13" s="14"/>
      <c r="L13" s="14"/>
      <c r="M13" s="14"/>
      <c r="N13" s="14"/>
      <c r="O13" s="14"/>
      <c r="P13" s="14"/>
      <c r="Q13" s="14"/>
      <c r="R13" s="14"/>
      <c r="S13" s="14"/>
      <c r="T13" s="14"/>
      <c r="U13" s="14"/>
    </row>
    <row r="14" spans="1:21" x14ac:dyDescent="0.25">
      <c r="A14" s="14"/>
      <c r="B14" s="14"/>
      <c r="C14" s="14"/>
      <c r="D14" s="14"/>
      <c r="E14" s="14"/>
      <c r="F14" s="14"/>
      <c r="G14" s="14"/>
      <c r="H14" s="14"/>
      <c r="I14" s="14"/>
      <c r="J14" s="14"/>
      <c r="K14" s="14"/>
      <c r="L14" s="14"/>
      <c r="M14" s="14"/>
      <c r="N14" s="14"/>
      <c r="O14" s="14"/>
      <c r="P14" s="14"/>
      <c r="Q14" s="14"/>
      <c r="R14" s="14"/>
      <c r="S14" s="14"/>
      <c r="T14" s="14"/>
      <c r="U14" s="14"/>
    </row>
    <row r="15" spans="1:21" x14ac:dyDescent="0.25">
      <c r="A15" s="14"/>
      <c r="B15" s="14"/>
      <c r="C15" s="14"/>
      <c r="D15" s="14"/>
      <c r="E15" s="14"/>
      <c r="F15" s="14"/>
      <c r="G15" s="14"/>
      <c r="H15" s="14"/>
      <c r="I15" s="14"/>
      <c r="J15" s="14"/>
      <c r="K15" s="14"/>
      <c r="L15" s="14"/>
      <c r="M15" s="14"/>
      <c r="N15" s="14"/>
      <c r="O15" s="14"/>
      <c r="P15" s="14"/>
      <c r="Q15" s="14"/>
      <c r="R15" s="14"/>
      <c r="S15" s="14"/>
      <c r="T15" s="14"/>
      <c r="U15" s="14"/>
    </row>
    <row r="16" spans="1:21" x14ac:dyDescent="0.25">
      <c r="A16" s="14"/>
      <c r="B16" s="14"/>
      <c r="C16" s="14"/>
      <c r="D16" s="14"/>
      <c r="E16" s="14"/>
      <c r="F16" s="14"/>
      <c r="G16" s="14"/>
      <c r="H16" s="14"/>
      <c r="I16" s="14"/>
      <c r="J16" s="14"/>
      <c r="K16" s="14"/>
      <c r="L16" s="14"/>
      <c r="M16" s="14"/>
      <c r="N16" s="14"/>
      <c r="O16" s="14"/>
      <c r="P16" s="14"/>
      <c r="Q16" s="14"/>
      <c r="R16" s="14"/>
      <c r="S16" s="14"/>
      <c r="T16" s="14"/>
      <c r="U16" s="14"/>
    </row>
    <row r="17" spans="1:21" x14ac:dyDescent="0.25">
      <c r="A17" s="14"/>
      <c r="B17" s="14"/>
      <c r="C17" s="14"/>
      <c r="D17" s="14"/>
      <c r="E17" s="14"/>
      <c r="F17" s="14"/>
      <c r="G17" s="14"/>
      <c r="H17" s="14"/>
      <c r="I17" s="14"/>
      <c r="J17" s="14"/>
      <c r="K17" s="14"/>
      <c r="L17" s="14"/>
      <c r="M17" s="14"/>
      <c r="N17" s="14"/>
      <c r="O17" s="14"/>
      <c r="P17" s="14"/>
      <c r="Q17" s="14"/>
      <c r="R17" s="14"/>
      <c r="S17" s="14"/>
      <c r="T17" s="14"/>
      <c r="U17" s="14"/>
    </row>
    <row r="18" spans="1:21" x14ac:dyDescent="0.25">
      <c r="A18" s="14"/>
      <c r="B18" s="14"/>
      <c r="C18" s="14"/>
      <c r="D18" s="14"/>
      <c r="E18" s="14"/>
      <c r="F18" s="14"/>
      <c r="G18" s="14"/>
      <c r="H18" s="14"/>
      <c r="I18" s="14"/>
      <c r="J18" s="14"/>
      <c r="K18" s="14"/>
      <c r="L18" s="14"/>
      <c r="M18" s="14"/>
      <c r="N18" s="14"/>
      <c r="O18" s="14"/>
      <c r="P18" s="14"/>
      <c r="Q18" s="14"/>
      <c r="R18" s="14"/>
      <c r="S18" s="14"/>
      <c r="T18" s="14"/>
      <c r="U18" s="14"/>
    </row>
    <row r="19" spans="1:21" x14ac:dyDescent="0.25">
      <c r="A19" s="14"/>
      <c r="B19" s="14"/>
      <c r="C19" s="14"/>
      <c r="D19" s="14"/>
      <c r="E19" s="14"/>
      <c r="F19" s="14"/>
      <c r="G19" s="14"/>
      <c r="H19" s="14"/>
      <c r="I19" s="14"/>
      <c r="J19" s="14"/>
      <c r="K19" s="14"/>
      <c r="L19" s="14"/>
      <c r="M19" s="14"/>
      <c r="N19" s="14"/>
      <c r="O19" s="14"/>
      <c r="P19" s="14"/>
      <c r="Q19" s="14"/>
      <c r="R19" s="14"/>
      <c r="S19" s="14"/>
      <c r="T19" s="14"/>
      <c r="U19" s="14"/>
    </row>
    <row r="20" spans="1:21" x14ac:dyDescent="0.25">
      <c r="A20" s="14"/>
      <c r="B20" s="14"/>
      <c r="C20" s="14"/>
      <c r="D20" s="14"/>
      <c r="E20" s="14"/>
      <c r="F20" s="14"/>
      <c r="G20" s="14"/>
      <c r="H20" s="14"/>
      <c r="I20" s="14"/>
      <c r="J20" s="14"/>
      <c r="K20" s="14"/>
      <c r="L20" s="14"/>
      <c r="M20" s="14"/>
      <c r="N20" s="14"/>
      <c r="O20" s="14"/>
      <c r="P20" s="14"/>
      <c r="Q20" s="14"/>
      <c r="R20" s="14"/>
      <c r="S20" s="14"/>
      <c r="T20" s="14"/>
      <c r="U20" s="14"/>
    </row>
    <row r="21" spans="1:21" x14ac:dyDescent="0.25">
      <c r="A21" s="14"/>
      <c r="B21" s="14"/>
      <c r="C21" s="14"/>
      <c r="D21" s="14"/>
      <c r="E21" s="14"/>
      <c r="F21" s="14"/>
      <c r="G21" s="14"/>
      <c r="H21" s="14"/>
      <c r="I21" s="14"/>
      <c r="J21" s="14"/>
      <c r="K21" s="14"/>
      <c r="L21" s="14"/>
      <c r="M21" s="14"/>
      <c r="N21" s="14"/>
      <c r="O21" s="14"/>
      <c r="P21" s="14"/>
      <c r="Q21" s="14"/>
      <c r="R21" s="14"/>
      <c r="S21" s="14"/>
      <c r="T21" s="14"/>
      <c r="U21" s="14"/>
    </row>
    <row r="22" spans="1:21" x14ac:dyDescent="0.25">
      <c r="A22" s="14"/>
      <c r="B22" s="14"/>
      <c r="C22" s="14"/>
      <c r="D22" s="14"/>
      <c r="E22" s="14"/>
      <c r="F22" s="14"/>
      <c r="G22" s="14"/>
      <c r="H22" s="14"/>
      <c r="I22" s="14"/>
      <c r="J22" s="14"/>
      <c r="K22" s="14"/>
      <c r="L22" s="14"/>
      <c r="M22" s="14"/>
      <c r="N22" s="14"/>
      <c r="O22" s="14"/>
      <c r="P22" s="14"/>
      <c r="Q22" s="14"/>
      <c r="R22" s="14"/>
      <c r="S22" s="14"/>
      <c r="T22" s="14"/>
      <c r="U22" s="14"/>
    </row>
    <row r="23" spans="1:21" x14ac:dyDescent="0.25">
      <c r="A23" s="14"/>
      <c r="B23" s="14"/>
      <c r="C23" s="14"/>
      <c r="D23" s="14"/>
      <c r="E23" s="14"/>
      <c r="F23" s="14"/>
      <c r="G23" s="14"/>
      <c r="H23" s="14"/>
      <c r="I23" s="14"/>
      <c r="J23" s="14"/>
      <c r="K23" s="14"/>
      <c r="L23" s="14"/>
      <c r="M23" s="14"/>
      <c r="N23" s="14"/>
      <c r="O23" s="14"/>
      <c r="P23" s="14"/>
      <c r="Q23" s="14"/>
      <c r="R23" s="14"/>
      <c r="S23" s="14"/>
      <c r="T23" s="14"/>
      <c r="U23" s="14"/>
    </row>
    <row r="24" spans="1:21" x14ac:dyDescent="0.25">
      <c r="A24" s="14"/>
      <c r="B24" s="14"/>
      <c r="C24" s="14"/>
      <c r="D24" s="14"/>
      <c r="E24" s="14"/>
      <c r="F24" s="14"/>
      <c r="G24" s="14"/>
      <c r="H24" s="14"/>
      <c r="I24" s="14"/>
      <c r="J24" s="14"/>
      <c r="K24" s="14"/>
      <c r="L24" s="14"/>
      <c r="M24" s="14"/>
      <c r="N24" s="14"/>
      <c r="O24" s="14"/>
      <c r="P24" s="14"/>
      <c r="Q24" s="14"/>
      <c r="R24" s="14"/>
      <c r="S24" s="14"/>
      <c r="T24" s="14"/>
      <c r="U24" s="14"/>
    </row>
    <row r="25" spans="1:21" x14ac:dyDescent="0.25">
      <c r="A25" s="14"/>
      <c r="B25" s="14"/>
      <c r="C25" s="14"/>
      <c r="D25" s="14"/>
      <c r="E25" s="14"/>
      <c r="F25" s="14"/>
      <c r="G25" s="14"/>
      <c r="H25" s="14"/>
      <c r="I25" s="14"/>
      <c r="J25" s="14"/>
      <c r="K25" s="14"/>
      <c r="L25" s="14"/>
      <c r="M25" s="14"/>
      <c r="N25" s="14"/>
      <c r="O25" s="14"/>
      <c r="P25" s="14"/>
      <c r="Q25" s="14"/>
      <c r="R25" s="14"/>
      <c r="S25" s="14"/>
      <c r="T25" s="14"/>
      <c r="U25" s="14"/>
    </row>
    <row r="26" spans="1:21" x14ac:dyDescent="0.25">
      <c r="A26" s="14"/>
      <c r="B26" s="14"/>
      <c r="C26" s="14"/>
      <c r="D26" s="14"/>
      <c r="E26" s="14"/>
      <c r="F26" s="14"/>
      <c r="G26" s="14"/>
      <c r="H26" s="14"/>
      <c r="I26" s="14"/>
      <c r="J26" s="14"/>
      <c r="K26" s="14"/>
      <c r="L26" s="14"/>
      <c r="M26" s="14"/>
      <c r="N26" s="14"/>
      <c r="O26" s="14"/>
      <c r="P26" s="14"/>
      <c r="Q26" s="14"/>
      <c r="R26" s="14"/>
      <c r="S26" s="14"/>
      <c r="T26" s="14"/>
      <c r="U26" s="14"/>
    </row>
    <row r="27" spans="1:21" x14ac:dyDescent="0.25">
      <c r="A27" s="14"/>
      <c r="B27" s="14"/>
      <c r="C27" s="14"/>
      <c r="D27" s="14"/>
      <c r="E27" s="14"/>
      <c r="F27" s="14"/>
      <c r="G27" s="14"/>
      <c r="H27" s="14"/>
      <c r="I27" s="14"/>
      <c r="J27" s="14"/>
      <c r="K27" s="14"/>
      <c r="L27" s="14"/>
      <c r="M27" s="14"/>
      <c r="N27" s="14"/>
      <c r="O27" s="14"/>
      <c r="P27" s="14"/>
      <c r="Q27" s="14"/>
      <c r="R27" s="14"/>
      <c r="S27" s="14"/>
      <c r="T27" s="14"/>
      <c r="U27" s="14"/>
    </row>
    <row r="28" spans="1:21" x14ac:dyDescent="0.25">
      <c r="A28" s="14"/>
      <c r="B28" s="14"/>
      <c r="C28" s="14"/>
      <c r="D28" s="14"/>
      <c r="E28" s="14"/>
      <c r="F28" s="14"/>
      <c r="G28" s="14"/>
      <c r="H28" s="14"/>
      <c r="I28" s="14"/>
      <c r="J28" s="14"/>
      <c r="K28" s="14"/>
      <c r="L28" s="14"/>
      <c r="M28" s="14"/>
      <c r="N28" s="14"/>
      <c r="O28" s="14"/>
      <c r="P28" s="14"/>
      <c r="Q28" s="14"/>
      <c r="R28" s="14"/>
      <c r="S28" s="14"/>
      <c r="T28" s="14"/>
      <c r="U28" s="14"/>
    </row>
    <row r="29" spans="1:21" x14ac:dyDescent="0.25">
      <c r="A29" s="14"/>
      <c r="B29" s="14"/>
      <c r="C29" s="14"/>
      <c r="D29" s="14"/>
      <c r="E29" s="14"/>
      <c r="F29" s="14"/>
      <c r="G29" s="14"/>
      <c r="H29" s="14"/>
      <c r="I29" s="14"/>
      <c r="J29" s="14"/>
      <c r="K29" s="14"/>
      <c r="L29" s="14"/>
      <c r="M29" s="14"/>
      <c r="N29" s="14"/>
      <c r="O29" s="14"/>
      <c r="P29" s="14"/>
      <c r="Q29" s="14"/>
      <c r="R29" s="14"/>
      <c r="S29" s="14"/>
      <c r="T29" s="14"/>
      <c r="U29" s="14"/>
    </row>
    <row r="30" spans="1:21" x14ac:dyDescent="0.25">
      <c r="A30" s="14"/>
      <c r="B30" s="14"/>
      <c r="C30" s="14"/>
      <c r="D30" s="14"/>
      <c r="E30" s="14"/>
      <c r="F30" s="14"/>
      <c r="G30" s="14"/>
      <c r="H30" s="14"/>
      <c r="I30" s="14"/>
      <c r="J30" s="14"/>
      <c r="K30" s="14"/>
      <c r="L30" s="14"/>
      <c r="M30" s="14"/>
      <c r="N30" s="14"/>
      <c r="O30" s="14"/>
      <c r="P30" s="14"/>
      <c r="Q30" s="14"/>
      <c r="R30" s="14"/>
      <c r="S30" s="14"/>
      <c r="T30" s="14"/>
      <c r="U30" s="14"/>
    </row>
    <row r="31" spans="1:21" x14ac:dyDescent="0.25">
      <c r="A31" s="14"/>
      <c r="B31" s="14"/>
      <c r="C31" s="14"/>
      <c r="D31" s="14"/>
      <c r="E31" s="14"/>
      <c r="F31" s="14"/>
      <c r="G31" s="14"/>
      <c r="H31" s="14"/>
      <c r="I31" s="14"/>
      <c r="J31" s="14"/>
      <c r="K31" s="14"/>
      <c r="L31" s="14"/>
      <c r="M31" s="14"/>
      <c r="N31" s="14"/>
      <c r="O31" s="14"/>
      <c r="P31" s="14"/>
      <c r="Q31" s="14"/>
      <c r="R31" s="14"/>
      <c r="S31" s="14"/>
      <c r="T31" s="14"/>
      <c r="U31" s="14"/>
    </row>
    <row r="32" spans="1:21" x14ac:dyDescent="0.25">
      <c r="A32" s="14"/>
      <c r="B32" s="14"/>
      <c r="C32" s="14"/>
      <c r="D32" s="14"/>
      <c r="E32" s="14"/>
      <c r="F32" s="14"/>
      <c r="G32" s="14"/>
      <c r="H32" s="14"/>
      <c r="I32" s="14"/>
      <c r="J32" s="14"/>
      <c r="K32" s="14"/>
      <c r="L32" s="14"/>
      <c r="M32" s="14"/>
      <c r="N32" s="14"/>
      <c r="O32" s="14"/>
      <c r="P32" s="14"/>
      <c r="Q32" s="14"/>
      <c r="R32" s="14"/>
      <c r="S32" s="14"/>
      <c r="T32" s="14"/>
      <c r="U32" s="14"/>
    </row>
    <row r="33" spans="1:21" x14ac:dyDescent="0.25">
      <c r="A33" s="14"/>
      <c r="B33" s="14"/>
      <c r="C33" s="14"/>
      <c r="D33" s="14"/>
      <c r="E33" s="14"/>
      <c r="F33" s="14"/>
      <c r="G33" s="14"/>
      <c r="H33" s="14"/>
      <c r="I33" s="14"/>
      <c r="J33" s="14"/>
      <c r="K33" s="14"/>
      <c r="L33" s="14"/>
      <c r="M33" s="14"/>
      <c r="N33" s="14"/>
      <c r="O33" s="14"/>
      <c r="P33" s="14"/>
      <c r="Q33" s="14"/>
      <c r="R33" s="14"/>
      <c r="S33" s="14"/>
      <c r="T33" s="14"/>
      <c r="U33" s="14"/>
    </row>
    <row r="34" spans="1:21" x14ac:dyDescent="0.25">
      <c r="A34" s="14"/>
      <c r="B34" s="14"/>
      <c r="C34" s="14"/>
      <c r="D34" s="14"/>
      <c r="E34" s="14"/>
      <c r="F34" s="14"/>
      <c r="G34" s="14"/>
      <c r="H34" s="14"/>
      <c r="I34" s="14"/>
      <c r="J34" s="14"/>
      <c r="K34" s="14"/>
      <c r="L34" s="14"/>
      <c r="M34" s="14"/>
      <c r="N34" s="14"/>
      <c r="O34" s="14"/>
      <c r="P34" s="14"/>
      <c r="Q34" s="14"/>
      <c r="R34" s="14"/>
      <c r="S34" s="14"/>
      <c r="T34" s="14"/>
      <c r="U34" s="14"/>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87D37-B2CC-496C-9B00-28ECEB2EA730}">
  <sheetPr codeName="Sheet24"/>
  <dimension ref="A1:P34"/>
  <sheetViews>
    <sheetView showRowColHeaders="0" workbookViewId="0">
      <selection activeCell="L23" sqref="L23"/>
    </sheetView>
  </sheetViews>
  <sheetFormatPr defaultRowHeight="15" x14ac:dyDescent="0.25"/>
  <cols>
    <col min="5" max="5" width="26.42578125" customWidth="1"/>
    <col min="6" max="6" width="29.42578125" customWidth="1"/>
    <col min="7" max="7" width="18.7109375" customWidth="1"/>
  </cols>
  <sheetData>
    <row r="1" spans="1:16" x14ac:dyDescent="0.25">
      <c r="A1" s="14"/>
      <c r="B1" s="14"/>
      <c r="C1" s="14"/>
      <c r="D1" s="14"/>
      <c r="E1" s="14"/>
      <c r="F1" s="14"/>
      <c r="G1" s="14"/>
      <c r="H1" s="14"/>
      <c r="I1" s="14"/>
      <c r="J1" s="14"/>
      <c r="K1" s="14"/>
      <c r="L1" s="14"/>
      <c r="M1" s="14"/>
      <c r="N1" s="14"/>
      <c r="O1" s="14"/>
      <c r="P1" s="14"/>
    </row>
    <row r="2" spans="1:16" x14ac:dyDescent="0.25">
      <c r="A2" s="14"/>
      <c r="B2" s="14"/>
      <c r="C2" s="14"/>
      <c r="D2" s="14"/>
      <c r="E2" s="14"/>
      <c r="F2" s="14"/>
      <c r="G2" s="14"/>
      <c r="H2" s="14"/>
      <c r="I2" s="14"/>
      <c r="J2" s="14"/>
      <c r="K2" s="14"/>
      <c r="L2" s="14"/>
      <c r="M2" s="14"/>
      <c r="N2" s="14"/>
      <c r="O2" s="14"/>
      <c r="P2" s="14"/>
    </row>
    <row r="3" spans="1:16" x14ac:dyDescent="0.25">
      <c r="A3" s="14"/>
      <c r="B3" s="14"/>
      <c r="C3" s="14"/>
      <c r="D3" s="14"/>
      <c r="E3" s="14"/>
      <c r="F3" s="14"/>
      <c r="G3" s="14"/>
      <c r="H3" s="14"/>
      <c r="I3" s="14"/>
      <c r="J3" s="14"/>
      <c r="K3" s="14"/>
      <c r="L3" s="14"/>
      <c r="M3" s="14"/>
      <c r="N3" s="14"/>
      <c r="O3" s="14"/>
      <c r="P3" s="14"/>
    </row>
    <row r="4" spans="1:16" x14ac:dyDescent="0.25">
      <c r="A4" s="14"/>
      <c r="B4" s="14"/>
      <c r="C4" s="14"/>
      <c r="D4" s="14"/>
      <c r="E4" s="14"/>
      <c r="F4" s="14"/>
      <c r="G4" s="14"/>
      <c r="H4" s="14"/>
      <c r="I4" s="14"/>
      <c r="J4" s="14"/>
      <c r="K4" s="14"/>
      <c r="L4" s="14"/>
      <c r="M4" s="14"/>
      <c r="N4" s="14"/>
      <c r="O4" s="14"/>
      <c r="P4" s="14"/>
    </row>
    <row r="5" spans="1:16" x14ac:dyDescent="0.25">
      <c r="A5" s="14"/>
      <c r="B5" s="14"/>
      <c r="C5" s="14"/>
      <c r="D5" s="14"/>
      <c r="E5" s="14"/>
      <c r="F5" s="14"/>
      <c r="G5" s="14"/>
      <c r="H5" s="14"/>
      <c r="I5" s="14"/>
      <c r="J5" s="14"/>
      <c r="K5" s="14"/>
      <c r="L5" s="14"/>
      <c r="M5" s="14"/>
      <c r="N5" s="14"/>
      <c r="O5" s="14"/>
      <c r="P5" s="14"/>
    </row>
    <row r="6" spans="1:16" ht="15.75" x14ac:dyDescent="0.25">
      <c r="A6" s="14"/>
      <c r="B6" s="14"/>
      <c r="C6" s="14"/>
      <c r="D6" s="14"/>
      <c r="E6" s="18" t="s">
        <v>16</v>
      </c>
      <c r="F6" s="18" t="s">
        <v>79</v>
      </c>
      <c r="G6" s="18" t="s">
        <v>80</v>
      </c>
      <c r="H6" s="14"/>
      <c r="I6" s="14"/>
      <c r="J6" s="14"/>
      <c r="K6" s="14"/>
      <c r="L6" s="14"/>
      <c r="M6" s="14"/>
      <c r="N6" s="14"/>
      <c r="O6" s="14"/>
      <c r="P6" s="14"/>
    </row>
    <row r="7" spans="1:16" x14ac:dyDescent="0.25">
      <c r="A7" s="14"/>
      <c r="B7" s="14"/>
      <c r="C7" s="14"/>
      <c r="D7" s="14"/>
      <c r="E7" s="11"/>
      <c r="F7" s="11"/>
      <c r="G7" s="11"/>
      <c r="H7" s="14"/>
      <c r="I7" s="14"/>
      <c r="J7" s="14"/>
      <c r="K7" s="14"/>
      <c r="L7" s="14"/>
      <c r="M7" s="14"/>
      <c r="N7" s="14"/>
      <c r="O7" s="14"/>
      <c r="P7" s="14"/>
    </row>
    <row r="8" spans="1:16" x14ac:dyDescent="0.25">
      <c r="A8" s="14"/>
      <c r="B8" s="14"/>
      <c r="C8" s="14"/>
      <c r="D8" s="14"/>
      <c r="E8" s="11" t="s">
        <v>0</v>
      </c>
      <c r="F8" s="11" t="s">
        <v>81</v>
      </c>
      <c r="G8" s="11">
        <v>768</v>
      </c>
      <c r="H8" s="14"/>
      <c r="I8" s="14"/>
      <c r="J8" s="14"/>
      <c r="K8" s="14"/>
      <c r="L8" s="14"/>
      <c r="M8" s="14"/>
      <c r="N8" s="14"/>
      <c r="O8" s="14"/>
      <c r="P8" s="14"/>
    </row>
    <row r="9" spans="1:16" x14ac:dyDescent="0.25">
      <c r="A9" s="14"/>
      <c r="B9" s="14"/>
      <c r="C9" s="14"/>
      <c r="D9" s="14"/>
      <c r="E9" s="11"/>
      <c r="F9" s="11"/>
      <c r="G9" s="11"/>
      <c r="H9" s="14"/>
      <c r="I9" s="14"/>
      <c r="J9" s="14"/>
      <c r="K9" s="14"/>
      <c r="L9" s="14"/>
      <c r="M9" s="14"/>
      <c r="N9" s="14"/>
      <c r="O9" s="14"/>
      <c r="P9" s="14"/>
    </row>
    <row r="10" spans="1:16" x14ac:dyDescent="0.25">
      <c r="A10" s="14"/>
      <c r="B10" s="14"/>
      <c r="C10" s="14"/>
      <c r="D10" s="14"/>
      <c r="E10" s="11" t="s">
        <v>1</v>
      </c>
      <c r="F10" s="11" t="s">
        <v>82</v>
      </c>
      <c r="G10" s="19" t="s">
        <v>89</v>
      </c>
      <c r="H10" s="14"/>
      <c r="I10" s="14"/>
      <c r="J10" s="14"/>
      <c r="K10" s="14"/>
      <c r="L10" s="14"/>
      <c r="M10" s="14"/>
      <c r="N10" s="14"/>
      <c r="O10" s="14"/>
      <c r="P10" s="14"/>
    </row>
    <row r="11" spans="1:16" x14ac:dyDescent="0.25">
      <c r="A11" s="14"/>
      <c r="B11" s="14"/>
      <c r="C11" s="14"/>
      <c r="D11" s="14"/>
      <c r="E11" s="11"/>
      <c r="F11" s="11"/>
      <c r="G11" s="11"/>
      <c r="H11" s="14"/>
      <c r="I11" s="14"/>
      <c r="J11" s="14"/>
      <c r="K11" s="14"/>
      <c r="L11" s="14"/>
      <c r="M11" s="14"/>
      <c r="N11" s="14"/>
      <c r="O11" s="14"/>
      <c r="P11" s="14"/>
    </row>
    <row r="12" spans="1:16" x14ac:dyDescent="0.25">
      <c r="A12" s="14"/>
      <c r="B12" s="14"/>
      <c r="C12" s="14"/>
      <c r="D12" s="14"/>
      <c r="E12" s="11" t="s">
        <v>2</v>
      </c>
      <c r="F12" s="11" t="s">
        <v>83</v>
      </c>
      <c r="G12" s="19" t="s">
        <v>88</v>
      </c>
      <c r="H12" s="14"/>
      <c r="I12" s="14"/>
      <c r="J12" s="14"/>
      <c r="K12" s="14"/>
      <c r="L12" s="14"/>
      <c r="M12" s="14"/>
      <c r="N12" s="14"/>
      <c r="O12" s="14"/>
      <c r="P12" s="14"/>
    </row>
    <row r="13" spans="1:16" x14ac:dyDescent="0.25">
      <c r="A13" s="14"/>
      <c r="B13" s="14"/>
      <c r="C13" s="14"/>
      <c r="D13" s="14"/>
      <c r="E13" s="11"/>
      <c r="F13" s="11"/>
      <c r="G13" s="11"/>
      <c r="H13" s="14"/>
      <c r="I13" s="14"/>
      <c r="J13" s="14"/>
      <c r="K13" s="14"/>
      <c r="L13" s="14"/>
      <c r="M13" s="14"/>
      <c r="N13" s="14"/>
      <c r="O13" s="14"/>
      <c r="P13" s="14"/>
    </row>
    <row r="14" spans="1:16" x14ac:dyDescent="0.25">
      <c r="A14" s="14"/>
      <c r="B14" s="14"/>
      <c r="C14" s="14"/>
      <c r="D14" s="14"/>
      <c r="E14" s="11" t="s">
        <v>3</v>
      </c>
      <c r="F14" s="11" t="s">
        <v>84</v>
      </c>
      <c r="G14" s="20" t="s">
        <v>86</v>
      </c>
      <c r="H14" s="14"/>
      <c r="I14" s="14"/>
      <c r="J14" s="14"/>
      <c r="K14" s="14"/>
      <c r="L14" s="14"/>
      <c r="M14" s="14"/>
      <c r="N14" s="14"/>
      <c r="O14" s="14"/>
      <c r="P14" s="14"/>
    </row>
    <row r="15" spans="1:16" x14ac:dyDescent="0.25">
      <c r="A15" s="14"/>
      <c r="B15" s="14"/>
      <c r="C15" s="14"/>
      <c r="D15" s="14"/>
      <c r="E15" s="11"/>
      <c r="F15" s="11"/>
      <c r="G15" s="11"/>
      <c r="H15" s="14"/>
      <c r="I15" s="14"/>
      <c r="J15" s="14"/>
      <c r="K15" s="14"/>
      <c r="L15" s="14"/>
      <c r="M15" s="14"/>
      <c r="N15" s="14"/>
      <c r="O15" s="14"/>
      <c r="P15" s="14"/>
    </row>
    <row r="16" spans="1:16" x14ac:dyDescent="0.25">
      <c r="A16" s="14"/>
      <c r="B16" s="14"/>
      <c r="C16" s="14"/>
      <c r="D16" s="14"/>
      <c r="E16" s="11" t="s">
        <v>4</v>
      </c>
      <c r="F16" s="11" t="s">
        <v>85</v>
      </c>
      <c r="G16" s="19" t="s">
        <v>87</v>
      </c>
      <c r="H16" s="14"/>
      <c r="I16" s="14"/>
      <c r="J16" s="14"/>
      <c r="K16" s="14"/>
      <c r="L16" s="14"/>
      <c r="M16" s="14"/>
      <c r="N16" s="14"/>
      <c r="O16" s="14"/>
      <c r="P16" s="14"/>
    </row>
    <row r="17" spans="1:16" x14ac:dyDescent="0.25">
      <c r="A17" s="14"/>
      <c r="B17" s="14"/>
      <c r="C17" s="14"/>
      <c r="D17" s="14"/>
      <c r="E17" s="11"/>
      <c r="F17" s="11"/>
      <c r="G17" s="11"/>
      <c r="H17" s="14"/>
      <c r="I17" s="14"/>
      <c r="J17" s="14"/>
      <c r="K17" s="14"/>
      <c r="L17" s="14"/>
      <c r="M17" s="14"/>
      <c r="N17" s="14"/>
      <c r="O17" s="14"/>
      <c r="P17" s="14"/>
    </row>
    <row r="18" spans="1:16" x14ac:dyDescent="0.25">
      <c r="A18" s="14"/>
      <c r="B18" s="14"/>
      <c r="C18" s="14"/>
      <c r="D18" s="14"/>
      <c r="E18" s="11" t="s">
        <v>5</v>
      </c>
      <c r="F18" s="11" t="s">
        <v>90</v>
      </c>
      <c r="G18" s="19" t="s">
        <v>91</v>
      </c>
      <c r="H18" s="14"/>
      <c r="I18" s="14"/>
      <c r="J18" s="14"/>
      <c r="K18" s="14"/>
      <c r="L18" s="14"/>
      <c r="M18" s="14"/>
      <c r="N18" s="14"/>
      <c r="O18" s="14"/>
      <c r="P18" s="14"/>
    </row>
    <row r="19" spans="1:16" x14ac:dyDescent="0.25">
      <c r="A19" s="14"/>
      <c r="B19" s="14"/>
      <c r="C19" s="14"/>
      <c r="D19" s="14"/>
      <c r="E19" s="11"/>
      <c r="F19" s="11"/>
      <c r="G19" s="11"/>
      <c r="H19" s="14"/>
      <c r="I19" s="14"/>
      <c r="J19" s="14"/>
      <c r="K19" s="14"/>
      <c r="L19" s="14"/>
      <c r="M19" s="14"/>
      <c r="N19" s="14"/>
      <c r="O19" s="14"/>
      <c r="P19" s="14"/>
    </row>
    <row r="20" spans="1:16" x14ac:dyDescent="0.25">
      <c r="A20" s="14"/>
      <c r="B20" s="14"/>
      <c r="C20" s="14"/>
      <c r="D20" s="14"/>
      <c r="E20" s="11" t="s">
        <v>6</v>
      </c>
      <c r="F20" s="11" t="s">
        <v>92</v>
      </c>
      <c r="G20" s="19" t="s">
        <v>93</v>
      </c>
      <c r="H20" s="14"/>
      <c r="I20" s="14"/>
      <c r="J20" s="14"/>
      <c r="K20" s="14"/>
      <c r="L20" s="14"/>
      <c r="M20" s="14"/>
      <c r="N20" s="14"/>
      <c r="O20" s="14"/>
      <c r="P20" s="14"/>
    </row>
    <row r="21" spans="1:16" x14ac:dyDescent="0.25">
      <c r="A21" s="14"/>
      <c r="B21" s="14"/>
      <c r="C21" s="14"/>
      <c r="D21" s="14"/>
      <c r="E21" s="11"/>
      <c r="F21" s="11"/>
      <c r="G21" s="11"/>
      <c r="H21" s="14"/>
      <c r="I21" s="14"/>
      <c r="J21" s="14"/>
      <c r="K21" s="14"/>
      <c r="L21" s="14"/>
      <c r="M21" s="14"/>
      <c r="N21" s="14"/>
      <c r="O21" s="14"/>
      <c r="P21" s="14"/>
    </row>
    <row r="22" spans="1:16" x14ac:dyDescent="0.25">
      <c r="A22" s="14"/>
      <c r="B22" s="14"/>
      <c r="C22" s="14"/>
      <c r="D22" s="14"/>
      <c r="E22" s="11" t="s">
        <v>7</v>
      </c>
      <c r="F22" s="11" t="s">
        <v>94</v>
      </c>
      <c r="G22" s="19" t="s">
        <v>95</v>
      </c>
      <c r="H22" s="14"/>
      <c r="I22" s="14"/>
      <c r="J22" s="14"/>
      <c r="K22" s="14"/>
      <c r="L22" s="14"/>
      <c r="M22" s="14"/>
      <c r="N22" s="14"/>
      <c r="O22" s="14"/>
      <c r="P22" s="14"/>
    </row>
    <row r="23" spans="1:16" x14ac:dyDescent="0.25">
      <c r="A23" s="14"/>
      <c r="B23" s="14"/>
      <c r="C23" s="14"/>
      <c r="D23" s="14"/>
      <c r="E23" s="11"/>
      <c r="F23" s="11"/>
      <c r="G23" s="11"/>
      <c r="H23" s="14"/>
      <c r="I23" s="14"/>
      <c r="J23" s="14"/>
      <c r="K23" s="14"/>
      <c r="L23" s="14"/>
      <c r="M23" s="14"/>
      <c r="N23" s="14"/>
      <c r="O23" s="14"/>
      <c r="P23" s="14"/>
    </row>
    <row r="24" spans="1:16" x14ac:dyDescent="0.25">
      <c r="A24" s="14"/>
      <c r="B24" s="14"/>
      <c r="C24" s="14"/>
      <c r="D24" s="14"/>
      <c r="E24" s="11" t="s">
        <v>8</v>
      </c>
      <c r="F24" s="11" t="s">
        <v>96</v>
      </c>
      <c r="G24" s="19" t="s">
        <v>97</v>
      </c>
      <c r="H24" s="14"/>
      <c r="I24" s="14"/>
      <c r="J24" s="14"/>
      <c r="K24" s="14"/>
      <c r="L24" s="14"/>
      <c r="M24" s="14"/>
      <c r="N24" s="14"/>
      <c r="O24" s="14"/>
      <c r="P24" s="14"/>
    </row>
    <row r="25" spans="1:16" x14ac:dyDescent="0.25">
      <c r="A25" s="14"/>
      <c r="B25" s="14"/>
      <c r="C25" s="14"/>
      <c r="D25" s="14"/>
      <c r="E25" s="14"/>
      <c r="F25" s="14"/>
      <c r="G25" s="14"/>
      <c r="H25" s="14"/>
      <c r="I25" s="14"/>
      <c r="J25" s="14"/>
      <c r="K25" s="14"/>
      <c r="L25" s="14"/>
      <c r="M25" s="14"/>
      <c r="N25" s="14"/>
      <c r="O25" s="14"/>
      <c r="P25" s="14"/>
    </row>
    <row r="26" spans="1:16" x14ac:dyDescent="0.25">
      <c r="A26" s="14"/>
      <c r="B26" s="14"/>
      <c r="C26" s="14"/>
      <c r="D26" s="14"/>
      <c r="E26" s="14"/>
      <c r="F26" s="14"/>
      <c r="G26" s="14"/>
      <c r="H26" s="14"/>
      <c r="I26" s="14"/>
      <c r="J26" s="14"/>
      <c r="K26" s="14"/>
      <c r="L26" s="14"/>
      <c r="M26" s="14"/>
      <c r="N26" s="14"/>
      <c r="O26" s="14"/>
      <c r="P26" s="14"/>
    </row>
    <row r="27" spans="1:16" x14ac:dyDescent="0.25">
      <c r="A27" s="14"/>
      <c r="B27" s="14"/>
      <c r="C27" s="14"/>
      <c r="D27" s="14"/>
      <c r="E27" s="14"/>
      <c r="F27" s="14"/>
      <c r="G27" s="14"/>
      <c r="H27" s="14"/>
      <c r="I27" s="14"/>
      <c r="J27" s="14"/>
      <c r="K27" s="14"/>
      <c r="L27" s="14"/>
      <c r="M27" s="14"/>
      <c r="N27" s="14"/>
      <c r="O27" s="14"/>
      <c r="P27" s="14"/>
    </row>
    <row r="28" spans="1:16" x14ac:dyDescent="0.25">
      <c r="A28" s="14"/>
      <c r="B28" s="14"/>
      <c r="C28" s="14"/>
      <c r="D28" s="14"/>
      <c r="E28" s="14"/>
      <c r="F28" s="14"/>
      <c r="G28" s="14"/>
      <c r="H28" s="14"/>
      <c r="I28" s="14"/>
      <c r="J28" s="14"/>
      <c r="K28" s="14"/>
      <c r="L28" s="14"/>
      <c r="M28" s="14"/>
      <c r="N28" s="14"/>
      <c r="O28" s="14"/>
      <c r="P28" s="14"/>
    </row>
    <row r="29" spans="1:16" x14ac:dyDescent="0.25">
      <c r="A29" s="14"/>
      <c r="B29" s="14"/>
      <c r="C29" s="14"/>
      <c r="D29" s="14"/>
      <c r="E29" s="14"/>
      <c r="F29" s="14"/>
      <c r="G29" s="14"/>
      <c r="H29" s="14"/>
      <c r="I29" s="14"/>
      <c r="J29" s="14"/>
      <c r="K29" s="14"/>
      <c r="L29" s="14"/>
      <c r="M29" s="14"/>
      <c r="N29" s="14"/>
      <c r="O29" s="14"/>
      <c r="P29" s="14"/>
    </row>
    <row r="30" spans="1:16" x14ac:dyDescent="0.25">
      <c r="A30" s="14"/>
      <c r="B30" s="14"/>
      <c r="C30" s="14"/>
      <c r="D30" s="14"/>
      <c r="E30" s="14"/>
      <c r="F30" s="14"/>
      <c r="G30" s="14"/>
      <c r="H30" s="14"/>
      <c r="I30" s="14"/>
      <c r="J30" s="14"/>
      <c r="K30" s="14"/>
      <c r="L30" s="14"/>
      <c r="M30" s="14"/>
      <c r="N30" s="14"/>
      <c r="O30" s="14"/>
      <c r="P30" s="14"/>
    </row>
    <row r="31" spans="1:16" x14ac:dyDescent="0.25">
      <c r="A31" s="14"/>
      <c r="B31" s="14"/>
      <c r="C31" s="14"/>
      <c r="D31" s="14"/>
      <c r="E31" s="14"/>
      <c r="F31" s="14"/>
      <c r="G31" s="14"/>
      <c r="H31" s="14"/>
      <c r="I31" s="14"/>
      <c r="J31" s="14"/>
      <c r="K31" s="14"/>
      <c r="L31" s="14"/>
      <c r="M31" s="14"/>
      <c r="N31" s="14"/>
      <c r="O31" s="14"/>
      <c r="P31" s="14"/>
    </row>
    <row r="32" spans="1:16" x14ac:dyDescent="0.25">
      <c r="A32" s="14"/>
      <c r="B32" s="14"/>
      <c r="C32" s="14"/>
      <c r="D32" s="14"/>
      <c r="E32" s="14"/>
      <c r="F32" s="14"/>
      <c r="G32" s="14"/>
      <c r="H32" s="14"/>
      <c r="I32" s="14"/>
      <c r="J32" s="14"/>
      <c r="K32" s="14"/>
      <c r="L32" s="14"/>
      <c r="M32" s="14"/>
      <c r="N32" s="14"/>
      <c r="O32" s="14"/>
      <c r="P32" s="14"/>
    </row>
    <row r="33" spans="1:16" x14ac:dyDescent="0.25">
      <c r="A33" s="14"/>
      <c r="B33" s="14"/>
      <c r="C33" s="14"/>
      <c r="D33" s="14"/>
      <c r="E33" s="14"/>
      <c r="F33" s="14"/>
      <c r="G33" s="14"/>
      <c r="H33" s="14"/>
      <c r="I33" s="14"/>
      <c r="J33" s="14"/>
      <c r="K33" s="14"/>
      <c r="L33" s="14"/>
      <c r="M33" s="14"/>
      <c r="N33" s="14"/>
      <c r="O33" s="14"/>
      <c r="P33" s="14"/>
    </row>
    <row r="34" spans="1:16" x14ac:dyDescent="0.25">
      <c r="A34" s="14"/>
      <c r="B34" s="14"/>
      <c r="C34" s="14"/>
      <c r="D34" s="14"/>
      <c r="E34" s="14"/>
      <c r="F34" s="14"/>
      <c r="G34" s="14"/>
      <c r="H34" s="14"/>
      <c r="I34" s="14"/>
      <c r="J34" s="14"/>
      <c r="K34" s="14"/>
      <c r="L34" s="14"/>
      <c r="M34" s="14"/>
      <c r="N34" s="14"/>
      <c r="O34" s="14"/>
      <c r="P34" s="14"/>
    </row>
  </sheetData>
  <pageMargins left="0.7" right="0.7" top="0.75" bottom="0.75" header="0.3" footer="0.3"/>
  <pageSetup orientation="portrait" r:id="rId1"/>
  <drawing r:id="rId2"/>
  <tableParts count="1">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B78CA-6CF2-4948-B434-454C43016DE2}">
  <sheetPr codeName="Sheet25"/>
  <dimension ref="A3:B10"/>
  <sheetViews>
    <sheetView workbookViewId="0">
      <selection activeCell="O18" sqref="O18"/>
    </sheetView>
  </sheetViews>
  <sheetFormatPr defaultRowHeight="15" x14ac:dyDescent="0.25"/>
  <cols>
    <col min="1" max="1" width="13.140625" bestFit="1" customWidth="1"/>
    <col min="2" max="2" width="14.85546875" bestFit="1" customWidth="1"/>
  </cols>
  <sheetData>
    <row r="3" spans="1:2" x14ac:dyDescent="0.25">
      <c r="A3" s="2" t="s">
        <v>9</v>
      </c>
      <c r="B3" t="s">
        <v>71</v>
      </c>
    </row>
    <row r="4" spans="1:2" x14ac:dyDescent="0.25">
      <c r="A4" s="3" t="s">
        <v>41</v>
      </c>
      <c r="B4" s="21">
        <v>47974</v>
      </c>
    </row>
    <row r="5" spans="1:2" x14ac:dyDescent="0.25">
      <c r="A5" s="3" t="s">
        <v>42</v>
      </c>
      <c r="B5" s="21">
        <v>19931</v>
      </c>
    </row>
    <row r="6" spans="1:2" x14ac:dyDescent="0.25">
      <c r="A6" s="3" t="s">
        <v>43</v>
      </c>
      <c r="B6" s="21">
        <v>14233</v>
      </c>
    </row>
    <row r="7" spans="1:2" x14ac:dyDescent="0.25">
      <c r="A7" s="3" t="s">
        <v>44</v>
      </c>
      <c r="B7" s="21">
        <v>7622</v>
      </c>
    </row>
    <row r="8" spans="1:2" x14ac:dyDescent="0.25">
      <c r="A8" s="3" t="s">
        <v>45</v>
      </c>
      <c r="B8" s="21">
        <v>3439</v>
      </c>
    </row>
    <row r="9" spans="1:2" x14ac:dyDescent="0.25">
      <c r="A9" s="3" t="s">
        <v>46</v>
      </c>
      <c r="B9" s="21">
        <v>253</v>
      </c>
    </row>
    <row r="10" spans="1:2" x14ac:dyDescent="0.25">
      <c r="A10" s="3" t="s">
        <v>10</v>
      </c>
      <c r="B10" s="21">
        <v>93452</v>
      </c>
    </row>
  </sheetData>
  <pageMargins left="0.7" right="0.7" top="0.75" bottom="0.75" header="0.3" footer="0.3"/>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EDA98-3C0E-4E5C-BBC8-D8B5F203819F}">
  <sheetPr codeName="Sheet26"/>
  <dimension ref="A3:B10"/>
  <sheetViews>
    <sheetView workbookViewId="0">
      <selection activeCell="M16" sqref="M16"/>
    </sheetView>
  </sheetViews>
  <sheetFormatPr defaultRowHeight="15" x14ac:dyDescent="0.25"/>
  <cols>
    <col min="1" max="1" width="13.140625" bestFit="1" customWidth="1"/>
    <col min="2" max="2" width="11.140625" bestFit="1" customWidth="1"/>
  </cols>
  <sheetData>
    <row r="3" spans="1:2" x14ac:dyDescent="0.25">
      <c r="A3" s="2" t="s">
        <v>9</v>
      </c>
      <c r="B3" t="s">
        <v>78</v>
      </c>
    </row>
    <row r="4" spans="1:2" x14ac:dyDescent="0.25">
      <c r="A4" s="3" t="s">
        <v>46</v>
      </c>
      <c r="B4" s="21">
        <v>46</v>
      </c>
    </row>
    <row r="5" spans="1:2" x14ac:dyDescent="0.25">
      <c r="A5" s="3" t="s">
        <v>45</v>
      </c>
      <c r="B5" s="21">
        <v>755</v>
      </c>
    </row>
    <row r="6" spans="1:2" x14ac:dyDescent="0.25">
      <c r="A6" s="3" t="s">
        <v>44</v>
      </c>
      <c r="B6" s="21">
        <v>1714</v>
      </c>
    </row>
    <row r="7" spans="1:2" x14ac:dyDescent="0.25">
      <c r="A7" s="3" t="s">
        <v>43</v>
      </c>
      <c r="B7" s="21">
        <v>3900</v>
      </c>
    </row>
    <row r="8" spans="1:2" x14ac:dyDescent="0.25">
      <c r="A8" s="3" t="s">
        <v>42</v>
      </c>
      <c r="B8" s="21">
        <v>5160</v>
      </c>
    </row>
    <row r="9" spans="1:2" x14ac:dyDescent="0.25">
      <c r="A9" s="3" t="s">
        <v>41</v>
      </c>
      <c r="B9" s="21">
        <v>13345</v>
      </c>
    </row>
    <row r="10" spans="1:2" x14ac:dyDescent="0.25">
      <c r="A10" s="3" t="s">
        <v>10</v>
      </c>
      <c r="B10" s="21">
        <v>24920</v>
      </c>
    </row>
  </sheetData>
  <pageMargins left="0.7" right="0.7" top="0.75" bottom="0.75" header="0.3" footer="0.3"/>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1B6CC-ECB1-4AC2-B0A6-B473BC7F3091}">
  <sheetPr codeName="Sheet27"/>
  <dimension ref="A3:B10"/>
  <sheetViews>
    <sheetView workbookViewId="0">
      <selection activeCell="M14" sqref="M14"/>
    </sheetView>
  </sheetViews>
  <sheetFormatPr defaultRowHeight="15" x14ac:dyDescent="0.25"/>
  <cols>
    <col min="1" max="1" width="13.140625" bestFit="1" customWidth="1"/>
    <col min="2" max="2" width="31.85546875" bestFit="1" customWidth="1"/>
  </cols>
  <sheetData>
    <row r="3" spans="1:2" x14ac:dyDescent="0.25">
      <c r="A3" s="2" t="s">
        <v>9</v>
      </c>
      <c r="B3" t="s">
        <v>72</v>
      </c>
    </row>
    <row r="4" spans="1:2" x14ac:dyDescent="0.25">
      <c r="A4" s="3" t="s">
        <v>41</v>
      </c>
      <c r="B4" s="21">
        <v>280.22399999999999</v>
      </c>
    </row>
    <row r="5" spans="1:2" x14ac:dyDescent="0.25">
      <c r="A5" s="3" t="s">
        <v>42</v>
      </c>
      <c r="B5" s="21">
        <v>105.18299999999971</v>
      </c>
    </row>
    <row r="6" spans="1:2" x14ac:dyDescent="0.25">
      <c r="A6" s="3" t="s">
        <v>43</v>
      </c>
      <c r="B6" s="21">
        <v>75.890999999999835</v>
      </c>
    </row>
    <row r="7" spans="1:2" x14ac:dyDescent="0.25">
      <c r="A7" s="3" t="s">
        <v>44</v>
      </c>
      <c r="B7" s="21">
        <v>36.287999999999997</v>
      </c>
    </row>
    <row r="8" spans="1:2" x14ac:dyDescent="0.25">
      <c r="A8" s="3" t="s">
        <v>45</v>
      </c>
      <c r="B8" s="21">
        <v>16.800000000000004</v>
      </c>
    </row>
    <row r="9" spans="1:2" x14ac:dyDescent="0.25">
      <c r="A9" s="3" t="s">
        <v>46</v>
      </c>
      <c r="B9" s="21">
        <v>1.3440000000000001</v>
      </c>
    </row>
    <row r="10" spans="1:2" x14ac:dyDescent="0.25">
      <c r="A10" s="3" t="s">
        <v>10</v>
      </c>
      <c r="B10" s="21">
        <v>515.72999999999956</v>
      </c>
    </row>
  </sheetData>
  <pageMargins left="0.7" right="0.7" top="0.75" bottom="0.75" header="0.3" footer="0.3"/>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6CFD9-05A3-4BD0-B208-E61EB38A964D}">
  <sheetPr codeName="Sheet28"/>
  <dimension ref="A3:B10"/>
  <sheetViews>
    <sheetView workbookViewId="0">
      <selection activeCell="H22" sqref="H22"/>
    </sheetView>
  </sheetViews>
  <sheetFormatPr defaultRowHeight="15" x14ac:dyDescent="0.25"/>
  <cols>
    <col min="1" max="1" width="13.140625" bestFit="1" customWidth="1"/>
    <col min="2" max="2" width="13.7109375" bestFit="1" customWidth="1"/>
  </cols>
  <sheetData>
    <row r="3" spans="1:2" x14ac:dyDescent="0.25">
      <c r="A3" s="2" t="s">
        <v>9</v>
      </c>
      <c r="B3" t="s">
        <v>75</v>
      </c>
    </row>
    <row r="4" spans="1:2" x14ac:dyDescent="0.25">
      <c r="A4" s="3" t="s">
        <v>46</v>
      </c>
      <c r="B4" s="21">
        <v>140</v>
      </c>
    </row>
    <row r="5" spans="1:2" x14ac:dyDescent="0.25">
      <c r="A5" s="3" t="s">
        <v>45</v>
      </c>
      <c r="B5" s="21">
        <v>2210</v>
      </c>
    </row>
    <row r="6" spans="1:2" x14ac:dyDescent="0.25">
      <c r="A6" s="3" t="s">
        <v>44</v>
      </c>
      <c r="B6" s="21">
        <v>9166</v>
      </c>
    </row>
    <row r="7" spans="1:2" x14ac:dyDescent="0.25">
      <c r="A7" s="3" t="s">
        <v>43</v>
      </c>
      <c r="B7" s="21">
        <v>12491</v>
      </c>
    </row>
    <row r="8" spans="1:2" x14ac:dyDescent="0.25">
      <c r="A8" s="3" t="s">
        <v>42</v>
      </c>
      <c r="B8" s="21">
        <v>18683</v>
      </c>
    </row>
    <row r="9" spans="1:2" x14ac:dyDescent="0.25">
      <c r="A9" s="3" t="s">
        <v>41</v>
      </c>
      <c r="B9" s="21">
        <v>48516</v>
      </c>
    </row>
    <row r="10" spans="1:2" x14ac:dyDescent="0.25">
      <c r="A10" s="3" t="s">
        <v>10</v>
      </c>
      <c r="B10" s="21">
        <v>91206</v>
      </c>
    </row>
  </sheetData>
  <pageMargins left="0.7" right="0.7" top="0.75" bottom="0.75" header="0.3" footer="0.3"/>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4C41-0F40-4F1C-BEA5-E895E44C8CA6}">
  <sheetPr codeName="Sheet29"/>
  <dimension ref="A3:B10"/>
  <sheetViews>
    <sheetView workbookViewId="0">
      <selection activeCell="H22" sqref="H22"/>
    </sheetView>
  </sheetViews>
  <sheetFormatPr defaultRowHeight="15" x14ac:dyDescent="0.25"/>
  <cols>
    <col min="1" max="1" width="13.140625" bestFit="1" customWidth="1"/>
    <col min="2" max="2" width="20.140625" bestFit="1" customWidth="1"/>
  </cols>
  <sheetData>
    <row r="3" spans="1:2" x14ac:dyDescent="0.25">
      <c r="A3" s="2" t="s">
        <v>9</v>
      </c>
      <c r="B3" t="s">
        <v>76</v>
      </c>
    </row>
    <row r="4" spans="1:2" x14ac:dyDescent="0.25">
      <c r="A4" s="3" t="s">
        <v>41</v>
      </c>
      <c r="B4" s="21">
        <v>10979</v>
      </c>
    </row>
    <row r="5" spans="1:2" x14ac:dyDescent="0.25">
      <c r="A5" s="3" t="s">
        <v>42</v>
      </c>
      <c r="B5" s="21">
        <v>4359</v>
      </c>
    </row>
    <row r="6" spans="1:2" x14ac:dyDescent="0.25">
      <c r="A6" s="3" t="s">
        <v>43</v>
      </c>
      <c r="B6" s="21">
        <v>3094</v>
      </c>
    </row>
    <row r="7" spans="1:2" x14ac:dyDescent="0.25">
      <c r="A7" s="3" t="s">
        <v>44</v>
      </c>
      <c r="B7" s="21">
        <v>1398</v>
      </c>
    </row>
    <row r="8" spans="1:2" x14ac:dyDescent="0.25">
      <c r="A8" s="3" t="s">
        <v>45</v>
      </c>
      <c r="B8" s="21">
        <v>655</v>
      </c>
    </row>
    <row r="9" spans="1:2" x14ac:dyDescent="0.25">
      <c r="A9" s="3" t="s">
        <v>46</v>
      </c>
      <c r="B9" s="21">
        <v>54</v>
      </c>
    </row>
    <row r="10" spans="1:2" x14ac:dyDescent="0.25">
      <c r="A10" s="3" t="s">
        <v>10</v>
      </c>
      <c r="B10" s="21">
        <v>20539</v>
      </c>
    </row>
  </sheetData>
  <pageMargins left="0.7" right="0.7" top="0.75" bottom="0.75" header="0.3" footer="0.3"/>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69AB0-2D1C-40D9-A36A-2F6E1D92E9F8}">
  <sheetPr codeName="Sheet30"/>
  <dimension ref="A3:E10"/>
  <sheetViews>
    <sheetView workbookViewId="0">
      <selection activeCell="D18" sqref="D18"/>
    </sheetView>
  </sheetViews>
  <sheetFormatPr defaultRowHeight="15" x14ac:dyDescent="0.25"/>
  <cols>
    <col min="1" max="1" width="13.140625" bestFit="1" customWidth="1"/>
    <col min="2" max="2" width="20.7109375" bestFit="1" customWidth="1"/>
  </cols>
  <sheetData>
    <row r="3" spans="1:5" x14ac:dyDescent="0.25">
      <c r="A3" s="2" t="s">
        <v>9</v>
      </c>
      <c r="B3" t="s">
        <v>77</v>
      </c>
    </row>
    <row r="4" spans="1:5" x14ac:dyDescent="0.25">
      <c r="A4" s="3" t="s">
        <v>41</v>
      </c>
      <c r="B4" s="21">
        <v>28758</v>
      </c>
      <c r="D4" t="str">
        <f>A4</f>
        <v>21-30</v>
      </c>
      <c r="E4">
        <f>B4</f>
        <v>28758</v>
      </c>
    </row>
    <row r="5" spans="1:5" x14ac:dyDescent="0.25">
      <c r="A5" s="3" t="s">
        <v>42</v>
      </c>
      <c r="B5" s="21">
        <v>11585</v>
      </c>
      <c r="D5" t="str">
        <f t="shared" ref="D5:D9" si="0">A5</f>
        <v>31-40</v>
      </c>
      <c r="E5">
        <f t="shared" ref="E5:E9" si="1">B5</f>
        <v>11585</v>
      </c>
    </row>
    <row r="6" spans="1:5" x14ac:dyDescent="0.25">
      <c r="A6" s="3" t="s">
        <v>43</v>
      </c>
      <c r="B6" s="21">
        <v>8727</v>
      </c>
      <c r="D6" t="str">
        <f t="shared" si="0"/>
        <v>41-50</v>
      </c>
      <c r="E6">
        <f t="shared" si="1"/>
        <v>8727</v>
      </c>
    </row>
    <row r="7" spans="1:5" x14ac:dyDescent="0.25">
      <c r="A7" s="3" t="s">
        <v>44</v>
      </c>
      <c r="B7" s="21">
        <v>4323</v>
      </c>
      <c r="D7" t="str">
        <f t="shared" si="0"/>
        <v>51-60</v>
      </c>
      <c r="E7">
        <f t="shared" si="1"/>
        <v>4323</v>
      </c>
    </row>
    <row r="8" spans="1:5" x14ac:dyDescent="0.25">
      <c r="A8" s="3" t="s">
        <v>45</v>
      </c>
      <c r="B8" s="21">
        <v>1952</v>
      </c>
      <c r="D8" t="str">
        <f t="shared" si="0"/>
        <v>61-70</v>
      </c>
      <c r="E8">
        <f t="shared" si="1"/>
        <v>1952</v>
      </c>
    </row>
    <row r="9" spans="1:5" x14ac:dyDescent="0.25">
      <c r="A9" s="3" t="s">
        <v>46</v>
      </c>
      <c r="B9" s="21">
        <v>143</v>
      </c>
      <c r="D9" t="str">
        <f t="shared" si="0"/>
        <v>71-81</v>
      </c>
      <c r="E9">
        <f t="shared" si="1"/>
        <v>143</v>
      </c>
    </row>
    <row r="10" spans="1:5" x14ac:dyDescent="0.25">
      <c r="A10" s="3" t="s">
        <v>10</v>
      </c>
      <c r="B10" s="21">
        <v>55488</v>
      </c>
    </row>
  </sheetData>
  <pageMargins left="0.7" right="0.7" top="0.75" bottom="0.75" header="0.3" footer="0.3"/>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89FF1-256C-405A-B0A0-710F54B94483}">
  <sheetPr codeName="Sheet31"/>
  <dimension ref="A3:B10"/>
  <sheetViews>
    <sheetView workbookViewId="0">
      <selection activeCell="B7" sqref="B7"/>
    </sheetView>
  </sheetViews>
  <sheetFormatPr defaultRowHeight="15" x14ac:dyDescent="0.25"/>
  <cols>
    <col min="1" max="1" width="13.140625" bestFit="1" customWidth="1"/>
    <col min="2" max="2" width="15.85546875" bestFit="1" customWidth="1"/>
  </cols>
  <sheetData>
    <row r="3" spans="1:2" x14ac:dyDescent="0.25">
      <c r="A3" s="2" t="s">
        <v>9</v>
      </c>
      <c r="B3" t="s">
        <v>11</v>
      </c>
    </row>
    <row r="4" spans="1:2" x14ac:dyDescent="0.25">
      <c r="A4" s="3" t="s">
        <v>41</v>
      </c>
      <c r="B4" s="4">
        <v>0.33582089552238809</v>
      </c>
    </row>
    <row r="5" spans="1:2" x14ac:dyDescent="0.25">
      <c r="A5" s="3" t="s">
        <v>42</v>
      </c>
      <c r="B5" s="4">
        <v>0.28358208955223879</v>
      </c>
    </row>
    <row r="6" spans="1:2" x14ac:dyDescent="0.25">
      <c r="A6" s="3" t="s">
        <v>43</v>
      </c>
      <c r="B6" s="4">
        <v>0.23880597014925373</v>
      </c>
    </row>
    <row r="7" spans="1:2" x14ac:dyDescent="0.25">
      <c r="A7" s="3" t="s">
        <v>44</v>
      </c>
      <c r="B7" s="4">
        <v>0.11567164179104478</v>
      </c>
    </row>
    <row r="8" spans="1:2" x14ac:dyDescent="0.25">
      <c r="A8" s="3" t="s">
        <v>45</v>
      </c>
      <c r="B8" s="4">
        <v>2.6119402985074626E-2</v>
      </c>
    </row>
    <row r="9" spans="1:2" x14ac:dyDescent="0.25">
      <c r="A9" s="3" t="s">
        <v>46</v>
      </c>
      <c r="B9" s="4">
        <v>0</v>
      </c>
    </row>
    <row r="10" spans="1:2" x14ac:dyDescent="0.25">
      <c r="A10" s="3" t="s">
        <v>10</v>
      </c>
      <c r="B10" s="4">
        <v>1</v>
      </c>
    </row>
  </sheetData>
  <pageMargins left="0.7" right="0.7" top="0.75" bottom="0.75" header="0.3" footer="0.3"/>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78867-D68F-414A-A476-0ABEF4ECC579}">
  <sheetPr codeName="Sheet32"/>
  <dimension ref="A3:B10"/>
  <sheetViews>
    <sheetView showFormulas="1" workbookViewId="0">
      <selection activeCell="B15" sqref="B15"/>
    </sheetView>
  </sheetViews>
  <sheetFormatPr defaultRowHeight="15" x14ac:dyDescent="0.25"/>
  <cols>
    <col min="1" max="1" width="6.7109375" bestFit="1" customWidth="1"/>
    <col min="2" max="2" width="10.42578125" bestFit="1" customWidth="1"/>
  </cols>
  <sheetData>
    <row r="3" spans="1:2" x14ac:dyDescent="0.25">
      <c r="A3" s="2" t="s">
        <v>9</v>
      </c>
      <c r="B3" t="s">
        <v>77</v>
      </c>
    </row>
    <row r="4" spans="1:2" x14ac:dyDescent="0.25">
      <c r="A4" s="3" t="s">
        <v>41</v>
      </c>
      <c r="B4" s="4">
        <v>0.51827422145328716</v>
      </c>
    </row>
    <row r="5" spans="1:2" x14ac:dyDescent="0.25">
      <c r="A5" s="3" t="s">
        <v>42</v>
      </c>
      <c r="B5" s="4">
        <v>0.20878388119953864</v>
      </c>
    </row>
    <row r="6" spans="1:2" x14ac:dyDescent="0.25">
      <c r="A6" s="3" t="s">
        <v>43</v>
      </c>
      <c r="B6" s="4">
        <v>0.15727724913494809</v>
      </c>
    </row>
    <row r="7" spans="1:2" x14ac:dyDescent="0.25">
      <c r="A7" s="3" t="s">
        <v>44</v>
      </c>
      <c r="B7" s="4">
        <v>7.790873702422145E-2</v>
      </c>
    </row>
    <row r="8" spans="1:2" x14ac:dyDescent="0.25">
      <c r="A8" s="3" t="s">
        <v>45</v>
      </c>
      <c r="B8" s="4">
        <v>3.5178777393310268E-2</v>
      </c>
    </row>
    <row r="9" spans="1:2" x14ac:dyDescent="0.25">
      <c r="A9" s="3" t="s">
        <v>46</v>
      </c>
      <c r="B9" s="4">
        <v>2.5771337946943482E-3</v>
      </c>
    </row>
    <row r="10" spans="1:2" x14ac:dyDescent="0.25">
      <c r="A10" s="3" t="s">
        <v>10</v>
      </c>
      <c r="B10" s="4">
        <v>1</v>
      </c>
    </row>
  </sheetData>
  <pageMargins left="0.7" right="0.7" top="0.75" bottom="0.75" header="0.3" footer="0.3"/>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21B33-7371-4A0B-B3A5-E38B7D4433FD}">
  <sheetPr codeName="Sheet33"/>
  <dimension ref="A3:B9"/>
  <sheetViews>
    <sheetView workbookViewId="0">
      <selection activeCell="M14" sqref="M14"/>
    </sheetView>
  </sheetViews>
  <sheetFormatPr defaultRowHeight="15" x14ac:dyDescent="0.25"/>
  <cols>
    <col min="1" max="1" width="13.140625" bestFit="1" customWidth="1"/>
    <col min="2" max="2" width="20.140625" bestFit="1" customWidth="1"/>
  </cols>
  <sheetData>
    <row r="3" spans="1:2" x14ac:dyDescent="0.25">
      <c r="A3" s="2" t="s">
        <v>9</v>
      </c>
      <c r="B3" t="s">
        <v>76</v>
      </c>
    </row>
    <row r="4" spans="1:2" x14ac:dyDescent="0.25">
      <c r="A4" s="3" t="s">
        <v>41</v>
      </c>
      <c r="B4" s="4">
        <v>0.53454403817128393</v>
      </c>
    </row>
    <row r="5" spans="1:2" x14ac:dyDescent="0.25">
      <c r="A5" s="3" t="s">
        <v>42</v>
      </c>
      <c r="B5" s="4">
        <v>0.2122303909635328</v>
      </c>
    </row>
    <row r="6" spans="1:2" x14ac:dyDescent="0.25">
      <c r="A6" s="3" t="s">
        <v>43</v>
      </c>
      <c r="B6" s="4">
        <v>0.15064024538682508</v>
      </c>
    </row>
    <row r="7" spans="1:2" x14ac:dyDescent="0.25">
      <c r="A7" s="3" t="s">
        <v>44</v>
      </c>
      <c r="B7" s="4">
        <v>6.8065631238132335E-2</v>
      </c>
    </row>
    <row r="8" spans="1:2" x14ac:dyDescent="0.25">
      <c r="A8" s="3" t="s">
        <v>45</v>
      </c>
      <c r="B8" s="4">
        <v>3.189054968596329E-2</v>
      </c>
    </row>
    <row r="9" spans="1:2" x14ac:dyDescent="0.25">
      <c r="A9" s="3" t="s">
        <v>46</v>
      </c>
      <c r="B9" s="4">
        <v>2.6291445542626223E-3</v>
      </c>
    </row>
  </sheetData>
  <pageMargins left="0.7" right="0.7" top="0.75" bottom="0.75" header="0.3" footer="0.3"/>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48E92-F7E8-403C-85B4-0CA3C1F79B25}">
  <sheetPr codeName="Sheet34"/>
  <dimension ref="A3:B9"/>
  <sheetViews>
    <sheetView workbookViewId="0">
      <selection activeCell="L9" sqref="L9"/>
    </sheetView>
  </sheetViews>
  <sheetFormatPr defaultRowHeight="15" x14ac:dyDescent="0.25"/>
  <cols>
    <col min="1" max="1" width="13.140625" bestFit="1" customWidth="1"/>
    <col min="2" max="2" width="13.7109375" bestFit="1" customWidth="1"/>
  </cols>
  <sheetData>
    <row r="3" spans="1:2" x14ac:dyDescent="0.25">
      <c r="A3" s="2" t="s">
        <v>9</v>
      </c>
      <c r="B3" t="s">
        <v>75</v>
      </c>
    </row>
    <row r="4" spans="1:2" x14ac:dyDescent="0.25">
      <c r="A4" s="3" t="s">
        <v>41</v>
      </c>
      <c r="B4" s="4">
        <v>0.53193868824419444</v>
      </c>
    </row>
    <row r="5" spans="1:2" x14ac:dyDescent="0.25">
      <c r="A5" s="3" t="s">
        <v>42</v>
      </c>
      <c r="B5" s="4">
        <v>0.20484397956274805</v>
      </c>
    </row>
    <row r="6" spans="1:2" x14ac:dyDescent="0.25">
      <c r="A6" s="3" t="s">
        <v>43</v>
      </c>
      <c r="B6" s="4">
        <v>0.13695370918579919</v>
      </c>
    </row>
    <row r="7" spans="1:2" x14ac:dyDescent="0.25">
      <c r="A7" s="3" t="s">
        <v>44</v>
      </c>
      <c r="B7" s="4">
        <v>0.10049777426923667</v>
      </c>
    </row>
    <row r="8" spans="1:2" x14ac:dyDescent="0.25">
      <c r="A8" s="3" t="s">
        <v>45</v>
      </c>
      <c r="B8" s="4">
        <v>2.4230862004692672E-2</v>
      </c>
    </row>
    <row r="9" spans="1:2" x14ac:dyDescent="0.25">
      <c r="A9" s="3" t="s">
        <v>46</v>
      </c>
      <c r="B9" s="4">
        <v>1.5349867333289476E-3</v>
      </c>
    </row>
  </sheetData>
  <pageMargins left="0.7" right="0.7" top="0.75" bottom="0.75" header="0.3" footer="0.3"/>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3F0C6-3742-4821-9F47-041857CF3D48}">
  <sheetPr codeName="Sheet35"/>
  <dimension ref="A3:B10"/>
  <sheetViews>
    <sheetView workbookViewId="0">
      <selection activeCell="L9" sqref="L9"/>
    </sheetView>
  </sheetViews>
  <sheetFormatPr defaultRowHeight="15" x14ac:dyDescent="0.25"/>
  <cols>
    <col min="1" max="1" width="13.140625" bestFit="1" customWidth="1"/>
    <col min="2" max="2" width="31.85546875" bestFit="1" customWidth="1"/>
  </cols>
  <sheetData>
    <row r="3" spans="1:2" x14ac:dyDescent="0.25">
      <c r="A3" s="2" t="s">
        <v>9</v>
      </c>
      <c r="B3" t="s">
        <v>72</v>
      </c>
    </row>
    <row r="4" spans="1:2" x14ac:dyDescent="0.25">
      <c r="A4" s="3" t="s">
        <v>41</v>
      </c>
      <c r="B4" s="4">
        <v>0.54335408062358259</v>
      </c>
    </row>
    <row r="5" spans="1:2" x14ac:dyDescent="0.25">
      <c r="A5" s="3" t="s">
        <v>42</v>
      </c>
      <c r="B5" s="4">
        <v>0.20394974114362127</v>
      </c>
    </row>
    <row r="6" spans="1:2" x14ac:dyDescent="0.25">
      <c r="A6" s="3" t="s">
        <v>43</v>
      </c>
      <c r="B6" s="4">
        <v>0.14715257983828728</v>
      </c>
    </row>
    <row r="7" spans="1:2" x14ac:dyDescent="0.25">
      <c r="A7" s="3" t="s">
        <v>44</v>
      </c>
      <c r="B7" s="4">
        <v>7.0362398929672554E-2</v>
      </c>
    </row>
    <row r="8" spans="1:2" x14ac:dyDescent="0.25">
      <c r="A8" s="3" t="s">
        <v>45</v>
      </c>
      <c r="B8" s="4">
        <v>3.2575184689663229E-2</v>
      </c>
    </row>
    <row r="9" spans="1:2" x14ac:dyDescent="0.25">
      <c r="A9" s="3" t="s">
        <v>46</v>
      </c>
      <c r="B9" s="4">
        <v>2.6060147751730579E-3</v>
      </c>
    </row>
    <row r="10" spans="1:2" x14ac:dyDescent="0.25">
      <c r="A10" s="3" t="s">
        <v>10</v>
      </c>
      <c r="B10" s="4">
        <v>1</v>
      </c>
    </row>
  </sheetData>
  <pageMargins left="0.7" right="0.7" top="0.75" bottom="0.75" header="0.3" footer="0.3"/>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0D69C-747A-4A8B-8DDF-4041006ABC90}">
  <sheetPr codeName="Sheet36"/>
  <dimension ref="A3:B9"/>
  <sheetViews>
    <sheetView workbookViewId="0">
      <selection activeCell="B6" sqref="B6"/>
    </sheetView>
  </sheetViews>
  <sheetFormatPr defaultRowHeight="15" x14ac:dyDescent="0.25"/>
  <cols>
    <col min="1" max="1" width="13.140625" bestFit="1" customWidth="1"/>
    <col min="2" max="2" width="14.85546875" bestFit="1" customWidth="1"/>
  </cols>
  <sheetData>
    <row r="3" spans="1:2" x14ac:dyDescent="0.25">
      <c r="A3" s="2" t="s">
        <v>9</v>
      </c>
      <c r="B3" t="s">
        <v>71</v>
      </c>
    </row>
    <row r="4" spans="1:2" x14ac:dyDescent="0.25">
      <c r="A4" s="3" t="s">
        <v>41</v>
      </c>
      <c r="B4" s="4">
        <v>0.51335444934297825</v>
      </c>
    </row>
    <row r="5" spans="1:2" x14ac:dyDescent="0.25">
      <c r="A5" s="3" t="s">
        <v>42</v>
      </c>
      <c r="B5" s="4">
        <v>0.2132752643068099</v>
      </c>
    </row>
    <row r="6" spans="1:2" x14ac:dyDescent="0.25">
      <c r="A6" s="3" t="s">
        <v>43</v>
      </c>
      <c r="B6" s="4">
        <v>0.15230278645721868</v>
      </c>
    </row>
    <row r="7" spans="1:2" x14ac:dyDescent="0.25">
      <c r="A7" s="3" t="s">
        <v>44</v>
      </c>
      <c r="B7" s="4">
        <v>8.1560587253349318E-2</v>
      </c>
    </row>
    <row r="8" spans="1:2" x14ac:dyDescent="0.25">
      <c r="A8" s="3" t="s">
        <v>45</v>
      </c>
      <c r="B8" s="4">
        <v>3.6799640457133076E-2</v>
      </c>
    </row>
    <row r="9" spans="1:2" x14ac:dyDescent="0.25">
      <c r="A9" s="3" t="s">
        <v>46</v>
      </c>
      <c r="B9" s="4">
        <v>2.7072721825108078E-3</v>
      </c>
    </row>
  </sheetData>
  <pageMargins left="0.7" right="0.7" top="0.75" bottom="0.75" header="0.3" footer="0.3"/>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66E27-5A4F-402F-A038-E52EF29554DF}">
  <sheetPr codeName="Sheet37"/>
  <dimension ref="B3"/>
  <sheetViews>
    <sheetView workbookViewId="0">
      <selection activeCell="B3" sqref="B3"/>
    </sheetView>
  </sheetViews>
  <sheetFormatPr defaultRowHeight="15" x14ac:dyDescent="0.25"/>
  <sheetData>
    <row r="3" spans="2:2" ht="75" x14ac:dyDescent="0.25">
      <c r="B3" s="15" t="str">
        <f>"Analysis Age Range" &amp;CHAR(10) &amp;"21-30" &amp;" Years"</f>
        <v>Analysis Age Range
21-30 Years</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79E01-3926-4E27-9F94-7AA2BE41AC6A}">
  <sheetPr codeName="Sheet38"/>
  <dimension ref="A3:B9"/>
  <sheetViews>
    <sheetView workbookViewId="0">
      <selection activeCell="P17" sqref="P17"/>
    </sheetView>
  </sheetViews>
  <sheetFormatPr defaultRowHeight="15" x14ac:dyDescent="0.25"/>
  <cols>
    <col min="1" max="1" width="13.140625" bestFit="1" customWidth="1"/>
    <col min="2" max="2" width="11" bestFit="1" customWidth="1"/>
  </cols>
  <sheetData>
    <row r="3" spans="1:2" x14ac:dyDescent="0.25">
      <c r="A3" s="2" t="s">
        <v>9</v>
      </c>
      <c r="B3" t="s">
        <v>74</v>
      </c>
    </row>
    <row r="4" spans="1:2" x14ac:dyDescent="0.25">
      <c r="A4" s="3" t="s">
        <v>41</v>
      </c>
      <c r="B4" s="4">
        <v>0.40181754083591209</v>
      </c>
    </row>
    <row r="5" spans="1:2" x14ac:dyDescent="0.25">
      <c r="A5" s="3" t="s">
        <v>42</v>
      </c>
      <c r="B5" s="4">
        <v>0.21614634337420188</v>
      </c>
    </row>
    <row r="6" spans="1:2" x14ac:dyDescent="0.25">
      <c r="A6" s="3" t="s">
        <v>43</v>
      </c>
      <c r="B6" s="4">
        <v>0.19620823377335578</v>
      </c>
    </row>
    <row r="7" spans="1:2" x14ac:dyDescent="0.25">
      <c r="A7" s="3" t="s">
        <v>44</v>
      </c>
      <c r="B7" s="4">
        <v>0.1162991108151514</v>
      </c>
    </row>
    <row r="8" spans="1:2" x14ac:dyDescent="0.25">
      <c r="A8" s="3" t="s">
        <v>45</v>
      </c>
      <c r="B8" s="4">
        <v>6.3535586979513489E-2</v>
      </c>
    </row>
    <row r="9" spans="1:2" x14ac:dyDescent="0.25">
      <c r="A9" s="3" t="s">
        <v>46</v>
      </c>
      <c r="B9" s="4">
        <v>5.9931842218653294E-3</v>
      </c>
    </row>
  </sheetData>
  <pageMargins left="0.7" right="0.7" top="0.75" bottom="0.75" header="0.3" footer="0.3"/>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B5A90-30B8-4D44-AE13-D2C29FBA4A5F}">
  <sheetPr codeName="Sheet39"/>
  <dimension ref="B3:D6"/>
  <sheetViews>
    <sheetView workbookViewId="0">
      <selection activeCell="N16" sqref="N16"/>
    </sheetView>
  </sheetViews>
  <sheetFormatPr defaultRowHeight="15" x14ac:dyDescent="0.25"/>
  <sheetData>
    <row r="3" spans="2:4" ht="45" x14ac:dyDescent="0.25">
      <c r="B3" s="15" t="str">
        <f>"High Risk BMI" &amp;CHAR(10) &amp;"&gt;=23"</f>
        <v>High Risk BMI
&gt;=23</v>
      </c>
    </row>
    <row r="6" spans="2:4" ht="45" x14ac:dyDescent="0.25">
      <c r="D6" s="15" t="str">
        <f>"High Risk Glucose" &amp;CHAR(10) &amp;"&gt;=100"</f>
        <v>High Risk Glucose
&gt;=100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0B4033-71C3-41DB-B223-BCEB16C5F58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diabetes</vt:lpstr>
      <vt:lpstr>Table2</vt:lpstr>
      <vt:lpstr>Table1</vt:lpstr>
      <vt:lpstr>Sheet2</vt:lpstr>
      <vt:lpstr>KPI</vt:lpstr>
      <vt:lpstr>preg</vt:lpstr>
      <vt:lpstr>glu</vt:lpstr>
      <vt:lpstr>bp</vt:lpstr>
      <vt:lpstr>st</vt:lpstr>
      <vt:lpstr>ins</vt:lpstr>
      <vt:lpstr>bmi</vt:lpstr>
      <vt:lpstr>dpf</vt:lpstr>
      <vt:lpstr>age</vt:lpstr>
      <vt:lpstr>Sheet9</vt:lpstr>
      <vt:lpstr>Ach1</vt:lpstr>
      <vt:lpstr>Ach2</vt:lpstr>
      <vt:lpstr>Sheet5</vt:lpstr>
      <vt:lpstr>Ach3</vt:lpstr>
      <vt:lpstr>OverView</vt:lpstr>
      <vt:lpstr>Sheet4</vt:lpstr>
      <vt:lpstr>Analysis1</vt:lpstr>
      <vt:lpstr>Sheet7</vt:lpstr>
      <vt:lpstr>Sheet6</vt:lpstr>
      <vt:lpstr>Sheet1</vt:lpstr>
      <vt:lpstr>Analysis2</vt:lpstr>
      <vt:lpstr>Sheet8</vt:lpstr>
      <vt:lpstr>Trend Analysis</vt:lpstr>
      <vt:lpstr>Sheet10</vt:lpstr>
      <vt:lpstr>Key Insights</vt:lpstr>
      <vt:lpstr>dict</vt:lpstr>
      <vt:lpstr>Tch1</vt:lpstr>
      <vt:lpstr>Tch2</vt:lpstr>
      <vt:lpstr>Tch3</vt:lpstr>
      <vt:lpstr>Tch4</vt:lpstr>
      <vt:lpstr>Tch5</vt:lpstr>
      <vt:lpstr>Tch6</vt:lpstr>
      <vt:lpstr>Ach7</vt:lpstr>
      <vt:lpstr>A2ch6</vt:lpstr>
      <vt:lpstr>A2ch5</vt:lpstr>
      <vt:lpstr>A2ch4</vt:lpstr>
      <vt:lpstr>A2ch3</vt:lpstr>
      <vt:lpstr>A2ch1</vt:lpstr>
      <vt:lpstr>Sheet3</vt:lpstr>
      <vt:lpstr>A2ch2</vt:lpstr>
      <vt:lpstr>AKPI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Syed Hasnain Abbas</cp:lastModifiedBy>
  <dcterms:created xsi:type="dcterms:W3CDTF">2026-07-21T21:57:38Z</dcterms:created>
  <dcterms:modified xsi:type="dcterms:W3CDTF">2026-08-17T16:38:50Z</dcterms:modified>
</cp:coreProperties>
</file>