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slicers/slicer1.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0.xml" ContentType="application/vnd.openxmlformats-officedocument.drawing+xml"/>
  <Override PartName="/xl/slicers/slicer2.xml" ContentType="application/vnd.ms-excel.slicer+xml"/>
  <Override PartName="/xl/drawings/drawing11.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slicers/slicer4.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3.xml" ContentType="application/vnd.openxmlformats-officedocument.spreadsheetml.table+xml"/>
  <Override PartName="/xl/pivotTables/pivotTable18.xml" ContentType="application/vnd.openxmlformats-officedocument.spreadsheetml.pivotTable+xml"/>
  <Override PartName="/xl/drawings/drawing16.xml" ContentType="application/vnd.openxmlformats-officedocument.drawing+xml"/>
  <Override PartName="/xl/slicers/slicer5.xml" ContentType="application/vnd.ms-excel.slicer+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19.xml" ContentType="application/vnd.openxmlformats-officedocument.spreadsheetml.pivotTable+xml"/>
  <Override PartName="/xl/drawings/drawing17.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20.xml" ContentType="application/vnd.openxmlformats-officedocument.spreadsheetml.pivotTable+xml"/>
  <Override PartName="/xl/drawings/drawing18.xml" ContentType="application/vnd.openxmlformats-officedocument.drawing+xml"/>
  <Override PartName="/xl/slicers/slicer6.xml" ContentType="application/vnd.ms-excel.slicer+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21.xml" ContentType="application/vnd.openxmlformats-officedocument.spreadsheetml.pivot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22.xml" ContentType="application/vnd.openxmlformats-officedocument.spreadsheetml.pivotTable+xml"/>
  <Override PartName="/xl/drawings/drawing20.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pivotTables/pivotTable23.xml" ContentType="application/vnd.openxmlformats-officedocument.spreadsheetml.pivotTable+xml"/>
  <Override PartName="/xl/drawings/drawing21.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p\Desktop\House Price\"/>
    </mc:Choice>
  </mc:AlternateContent>
  <xr:revisionPtr revIDLastSave="0" documentId="13_ncr:1_{33F4BCC2-7871-463A-A449-F3280C25DCD6}" xr6:coauthVersionLast="47" xr6:coauthVersionMax="47" xr10:uidLastSave="{00000000-0000-0000-0000-000000000000}"/>
  <bookViews>
    <workbookView xWindow="-120" yWindow="-120" windowWidth="20730" windowHeight="11160" firstSheet="23" activeTab="28" xr2:uid="{DBA5E7A1-8E1C-4AD5-8EB9-AEF56DB42D81}"/>
  </bookViews>
  <sheets>
    <sheet name="house_price (2)" sheetId="1" state="hidden" r:id="rId1"/>
    <sheet name="Table1" sheetId="2" state="hidden" r:id="rId2"/>
    <sheet name="trend ch1" sheetId="34" state="hidden" r:id="rId3"/>
    <sheet name="trend ch2" sheetId="35" state="hidden" r:id="rId4"/>
    <sheet name="trend ch3" sheetId="36" state="hidden" r:id="rId5"/>
    <sheet name="trend ch4" sheetId="39" state="hidden" r:id="rId6"/>
    <sheet name="Sheet9" sheetId="37" state="hidden" r:id="rId7"/>
    <sheet name="location2" sheetId="23" state="hidden" r:id="rId8"/>
    <sheet name="dist2" sheetId="22" state="hidden" r:id="rId9"/>
    <sheet name="bedroom2" sheetId="21" state="hidden" r:id="rId10"/>
    <sheet name="area" sheetId="3" state="hidden" r:id="rId11"/>
    <sheet name="Analyze2" sheetId="27" state="hidden" r:id="rId12"/>
    <sheet name="area2" sheetId="20" state="hidden" r:id="rId13"/>
    <sheet name="Sheet1" sheetId="16" state="hidden" r:id="rId14"/>
    <sheet name="bedroom" sheetId="4" state="hidden" r:id="rId15"/>
    <sheet name="bathroom" sheetId="5" state="hidden" r:id="rId16"/>
    <sheet name="age" sheetId="6" state="hidden" r:id="rId17"/>
    <sheet name="distance" sheetId="7" state="hidden" r:id="rId18"/>
    <sheet name="parking" sheetId="8" state="hidden" r:id="rId19"/>
    <sheet name="location" sheetId="9" state="hidden" r:id="rId20"/>
    <sheet name="diff table" sheetId="11" state="hidden" r:id="rId21"/>
    <sheet name="Sheet2" sheetId="17" state="hidden" r:id="rId22"/>
    <sheet name="Sheet3" sheetId="19" state="hidden" r:id="rId23"/>
    <sheet name="Overview" sheetId="18" r:id="rId24"/>
    <sheet name="Sheet4" sheetId="42" state="hidden" r:id="rId25"/>
    <sheet name="Analyze" sheetId="26" r:id="rId26"/>
    <sheet name="Trend Analysis" sheetId="33" r:id="rId27"/>
    <sheet name="Key Insights" sheetId="38" r:id="rId28"/>
    <sheet name="Dictionary" sheetId="40" r:id="rId29"/>
    <sheet name="Sheet13" sheetId="41" state="hidden" r:id="rId30"/>
    <sheet name="ana Loc" sheetId="32" state="hidden" r:id="rId31"/>
    <sheet name="Sheet5" sheetId="29" state="hidden" r:id="rId32"/>
    <sheet name="ana area" sheetId="28" state="hidden" r:id="rId33"/>
    <sheet name="ana bed" sheetId="31" state="hidden" r:id="rId34"/>
    <sheet name="parking2" sheetId="24" state="hidden" r:id="rId35"/>
    <sheet name="age2" sheetId="25" state="hidden" r:id="rId36"/>
    <sheet name="ana price" sheetId="30" state="hidden" r:id="rId37"/>
  </sheets>
  <definedNames>
    <definedName name="ExternalData_1" localSheetId="1" hidden="1">Table1!$A$1:$H$1021</definedName>
    <definedName name="Slicer_bathrooms">#N/A</definedName>
    <definedName name="Slicer_bedrooms">#N/A</definedName>
    <definedName name="Slicer_bedrooms1">#N/A</definedName>
    <definedName name="Slicer_location_score">#N/A</definedName>
    <definedName name="Slicer_location_score1">#N/A</definedName>
    <definedName name="Slicer_parking">#N/A</definedName>
  </definedNames>
  <calcPr calcId="191029"/>
  <pivotCaches>
    <pivotCache cacheId="0" r:id="rId38"/>
  </pivotCaches>
  <extLst>
    <ext xmlns:x14="http://schemas.microsoft.com/office/spreadsheetml/2009/9/main" uri="{BBE1A952-AA13-448e-AADC-164F8A28A991}">
      <x14:slicerCaches>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_581a5ce4-d41e-4de7-83d9-92fb77dc4c93" name="Table1" connection="Query - 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9" l="1"/>
  <c r="B9" i="19"/>
  <c r="B6" i="19"/>
  <c r="G4" i="27"/>
  <c r="D11" i="27"/>
  <c r="D5" i="27"/>
  <c r="D8" i="27"/>
  <c r="B12" i="19"/>
  <c r="F16" i="11"/>
  <c r="F14" i="11"/>
  <c r="F12" i="11"/>
  <c r="F10" i="11"/>
  <c r="F8" i="11"/>
  <c r="F6" i="11"/>
  <c r="F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38C49B-B84C-41E7-BF18-06ADA48B07F4}" keepAlive="1" name="ModelConnection_ExternalData_1" description="Data Model" type="5" refreshedVersion="8" minRefreshableVersion="5" saveData="1">
    <dbPr connection="Data Model Connection" command="Table1" commandType="3"/>
    <extLst>
      <ext xmlns:x15="http://schemas.microsoft.com/office/spreadsheetml/2010/11/main" uri="{DE250136-89BD-433C-8126-D09CA5730AF9}">
        <x15:connection id="" model="1"/>
      </ext>
    </extLst>
  </connection>
  <connection id="2" xr16:uid="{5B3EBA88-3FFB-42DA-9653-08705E69FE11}" name="Query - Table1" description="Connection to the 'Table1' query in the workbook." type="100" refreshedVersion="8" minRefreshableVersion="5">
    <extLst>
      <ext xmlns:x15="http://schemas.microsoft.com/office/spreadsheetml/2010/11/main" uri="{DE250136-89BD-433C-8126-D09CA5730AF9}">
        <x15:connection id="c5f76d43-eb86-4f3f-9b0e-baff6609eeee"/>
      </ext>
    </extLst>
  </connection>
  <connection id="3" xr16:uid="{F8426F10-1C3B-4087-BBE6-6CB1BD9F7BE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<sst xmlns="http://schemas.openxmlformats.org/spreadsheetml/2006/main" count="209" uniqueCount="73">
  <si>
    <t>area_sqft</t>
  </si>
  <si>
    <t>bedrooms</t>
  </si>
  <si>
    <t>bathrooms</t>
  </si>
  <si>
    <t>age</t>
  </si>
  <si>
    <t>distance_city_km</t>
  </si>
  <si>
    <t>parking</t>
  </si>
  <si>
    <t>location_score</t>
  </si>
  <si>
    <t>price</t>
  </si>
  <si>
    <t>Row Labels</t>
  </si>
  <si>
    <t>Grand Total</t>
  </si>
  <si>
    <t>Sum of price</t>
  </si>
  <si>
    <t>403-1402</t>
  </si>
  <si>
    <t>1403-2402</t>
  </si>
  <si>
    <t>2403-3402</t>
  </si>
  <si>
    <t>3403-4402</t>
  </si>
  <si>
    <t>4403-5402</t>
  </si>
  <si>
    <t>Sum of price2</t>
  </si>
  <si>
    <t>0-4</t>
  </si>
  <si>
    <t>5-9</t>
  </si>
  <si>
    <t>10-14</t>
  </si>
  <si>
    <t>15-19</t>
  </si>
  <si>
    <t>20-24</t>
  </si>
  <si>
    <t>25-29</t>
  </si>
  <si>
    <t>30-34</t>
  </si>
  <si>
    <t>35-39</t>
  </si>
  <si>
    <t>1-5</t>
  </si>
  <si>
    <t>6-10</t>
  </si>
  <si>
    <t>11-15</t>
  </si>
  <si>
    <t>16-20</t>
  </si>
  <si>
    <t>21-25</t>
  </si>
  <si>
    <t>26-30</t>
  </si>
  <si>
    <t>31-35</t>
  </si>
  <si>
    <t>Variable</t>
  </si>
  <si>
    <t xml:space="preserve">Highest </t>
  </si>
  <si>
    <t>Lowest</t>
  </si>
  <si>
    <t>Diff</t>
  </si>
  <si>
    <t>area</t>
  </si>
  <si>
    <t>bedroom</t>
  </si>
  <si>
    <t>bathroom</t>
  </si>
  <si>
    <t>distance</t>
  </si>
  <si>
    <t>location</t>
  </si>
  <si>
    <t>Correlation</t>
  </si>
  <si>
    <t>strong positive</t>
  </si>
  <si>
    <t>weak positive</t>
  </si>
  <si>
    <t>very weak negative</t>
  </si>
  <si>
    <t>very weak positive</t>
  </si>
  <si>
    <t>Moderate positive</t>
  </si>
  <si>
    <t>Count of price3</t>
  </si>
  <si>
    <t>Average of price</t>
  </si>
  <si>
    <t>Column Labels</t>
  </si>
  <si>
    <t>Count of area_sqft</t>
  </si>
  <si>
    <t>Count of price</t>
  </si>
  <si>
    <t>Count of bedrooms</t>
  </si>
  <si>
    <t>Count of location_score</t>
  </si>
  <si>
    <t xml:space="preserve"> </t>
  </si>
  <si>
    <t>Description</t>
  </si>
  <si>
    <t>Value</t>
  </si>
  <si>
    <t>Area per Squre Feet</t>
  </si>
  <si>
    <t>Number of Bedrooms in a House</t>
  </si>
  <si>
    <t>Number of Bathrooms in a House</t>
  </si>
  <si>
    <t xml:space="preserve">How much old the Building  </t>
  </si>
  <si>
    <t>Distance of House from the city</t>
  </si>
  <si>
    <t>Number of Parking in a House</t>
  </si>
  <si>
    <t>Rate of location on the basis of standard or demand</t>
  </si>
  <si>
    <t>Price of House</t>
  </si>
  <si>
    <t>min=403 sq ft, max=4998 sq ft</t>
  </si>
  <si>
    <t>min=1, max=5</t>
  </si>
  <si>
    <t>min=1, max=4</t>
  </si>
  <si>
    <t>min=0, max=39</t>
  </si>
  <si>
    <t>min=1, max=35</t>
  </si>
  <si>
    <t>min=0, max=2</t>
  </si>
  <si>
    <t>0 to 10</t>
  </si>
  <si>
    <t>min=92105, max=1289170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</si>
</sst>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4F8123"/>
      <name val="Calibri"/>
      <family val="2"/>
      <scheme val="minor"/>
    </font>
    <font>
      <b/>
      <sz val="14"/>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indexed="64"/>
      </patternFill>
    </fill>
    <fill>
      <patternFill patternType="solid">
        <fgColor rgb="FF4F8123"/>
        <bgColor indexed="64"/>
      </patternFill>
    </fill>
    <fill>
      <patternFill patternType="solid">
        <fgColor rgb="FFC6E89C"/>
        <bgColor indexed="64"/>
      </patternFill>
    </fill>
    <fill>
      <patternFill patternType="solid">
        <fgColor rgb="FFA9D86E"/>
        <bgColor indexed="64"/>
      </patternFill>
    </fill>
    <fill>
      <patternFill patternType="solid">
        <fgColor rgb="FF92D050"/>
        <bgColor indexed="64"/>
      </patternFill>
    </fill>
    <fill>
      <patternFill patternType="solid">
        <fgColor rgb="FF70AD47"/>
        <bgColor theme="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1" fontId="0" fillId="0" borderId="0" xfId="0" applyNumberFormat="1"/>
    <xf numFmtId="0" fontId="0" fillId="0" borderId="0" xfId="0" pivotButton="1"/>
    <xf numFmtId="0" fontId="0" fillId="0" borderId="0" xfId="0" applyAlignment="1">
      <alignment horizontal="left"/>
    </xf>
    <xf numFmtId="10" fontId="0" fillId="0" borderId="0" xfId="0" applyNumberFormat="1"/>
    <xf numFmtId="9" fontId="0" fillId="0" borderId="0" xfId="0" applyNumberFormat="1"/>
    <xf numFmtId="0" fontId="16" fillId="0" borderId="0" xfId="0" applyFont="1"/>
    <xf numFmtId="0" fontId="0" fillId="33" borderId="0" xfId="0" applyFill="1"/>
    <xf numFmtId="0" fontId="0" fillId="34" borderId="0" xfId="0" applyFill="1"/>
    <xf numFmtId="0" fontId="0" fillId="35" borderId="0" xfId="0" applyFill="1"/>
    <xf numFmtId="0" fontId="0" fillId="0" borderId="0" xfId="0" applyAlignment="1">
      <alignment wrapText="1"/>
    </xf>
    <xf numFmtId="0" fontId="0" fillId="0" borderId="0" xfId="0" applyAlignment="1">
      <alignment horizontal="center" vertical="center" wrapText="1"/>
    </xf>
    <xf numFmtId="0" fontId="0" fillId="36" borderId="0" xfId="0" applyFill="1"/>
    <xf numFmtId="0" fontId="18" fillId="0" borderId="0" xfId="0" applyFont="1"/>
    <xf numFmtId="0" fontId="0" fillId="37" borderId="0" xfId="0" applyFill="1"/>
    <xf numFmtId="0" fontId="0" fillId="0" borderId="0" xfId="0" applyAlignment="1">
      <alignment horizontal="left" indent="1"/>
    </xf>
    <xf numFmtId="0" fontId="19" fillId="33" borderId="0" xfId="0" applyFont="1" applyFill="1"/>
    <xf numFmtId="0" fontId="16" fillId="38" borderId="10" xfId="0" applyFont="1" applyFill="1" applyBorder="1"/>
    <xf numFmtId="0" fontId="16" fillId="38" borderId="11" xfId="0" applyFont="1" applyFill="1" applyBorder="1"/>
    <xf numFmtId="0" fontId="16" fillId="38" borderId="12"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numFmt numFmtId="1" formatCode="0"/>
    </dxf>
    <dxf>
      <numFmt numFmtId="1" formatCode="0"/>
    </dxf>
    <dxf>
      <numFmt numFmtId="1" formatCode="0"/>
    </dxf>
    <dxf>
      <numFmt numFmtId="13" formatCode="0%"/>
    </dxf>
    <dxf>
      <numFmt numFmtId="13" formatCode="0%"/>
    </dxf>
    <dxf>
      <numFmt numFmtId="13" formatCode="0%"/>
    </dxf>
    <dxf>
      <numFmt numFmtId="13" formatCode="0%"/>
    </dxf>
    <dxf>
      <numFmt numFmtId="13" formatCode="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ill>
        <patternFill patternType="solid">
          <bgColor rgb="FF70AD47"/>
        </patternFill>
      </fill>
    </dxf>
    <dxf>
      <fill>
        <patternFill patternType="solid">
          <bgColor rgb="FF70AD47"/>
        </patternFill>
      </fill>
    </dxf>
    <dxf>
      <fill>
        <patternFill patternType="solid">
          <bgColor rgb="FF70AD47"/>
        </patternFill>
      </fill>
    </dxf>
    <dxf>
      <fill>
        <patternFill patternType="solid">
          <bgColor rgb="FF70AD47"/>
        </patternFill>
      </fill>
    </dxf>
    <dxf>
      <font>
        <b/>
        <i val="0"/>
        <strike val="0"/>
        <condense val="0"/>
        <extend val="0"/>
        <outline val="0"/>
        <shadow val="0"/>
        <u val="none"/>
        <vertAlign val="baseline"/>
        <sz val="14"/>
        <color theme="1"/>
        <name val="Calibri"/>
        <family val="2"/>
        <scheme val="minor"/>
      </font>
      <fill>
        <patternFill patternType="solid">
          <bgColor rgb="FF70AD47"/>
        </patternFill>
      </fill>
    </dxf>
  </dxfs>
  <tableStyles count="0" defaultTableStyle="TableStyleMedium2" defaultPivotStyle="PivotStyleLight16"/>
  <colors>
    <mruColors>
      <color rgb="FF70AD47"/>
      <color rgb="FFC6E89C"/>
      <color rgb="FF4F8123"/>
      <color rgb="FF92D050"/>
      <color rgb="FFA9D86E"/>
      <color rgb="FF00FF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4.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microsoft.com/office/2007/relationships/slicerCache" Target="slicerCaches/slicerCache2.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6.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5.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openxmlformats.org/officeDocument/2006/relationships/connections" Target="connections.xml"/><Relationship Id="rId20" Type="http://schemas.openxmlformats.org/officeDocument/2006/relationships/worksheet" Target="worksheets/sheet20.xml"/><Relationship Id="rId41"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ch1!PivotTable1</c:name>
    <c:fmtId val="0"/>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Area Range</a:t>
            </a:r>
            <a:r>
              <a:rPr lang="en-US" b="1" baseline="0">
                <a:solidFill>
                  <a:srgbClr val="4F8123"/>
                </a:solidFill>
              </a:rPr>
              <a:t> By Average Price</a:t>
            </a:r>
            <a:endParaRPr lang="en-US" b="1">
              <a:solidFill>
                <a:srgbClr val="4F8123"/>
              </a:solidFill>
            </a:endParaRPr>
          </a:p>
        </c:rich>
      </c:tx>
      <c:layout>
        <c:manualLayout>
          <c:xMode val="edge"/>
          <c:yMode val="edge"/>
          <c:x val="0.27502077865266844"/>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 ch1'!$B$3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 ch1'!$A$4:$A$9</c:f>
              <c:strCache>
                <c:ptCount val="5"/>
                <c:pt idx="0">
                  <c:v>403-1402</c:v>
                </c:pt>
                <c:pt idx="1">
                  <c:v>1403-2402</c:v>
                </c:pt>
                <c:pt idx="2">
                  <c:v>2403-3402</c:v>
                </c:pt>
                <c:pt idx="3">
                  <c:v>3403-4402</c:v>
                </c:pt>
                <c:pt idx="4">
                  <c:v>4403-5402</c:v>
                </c:pt>
              </c:strCache>
            </c:strRef>
          </c:cat>
          <c:val>
            <c:numRef>
              <c:f>'trend ch1'!$B$4:$B$9</c:f>
              <c:numCache>
                <c:formatCode>0</c:formatCode>
                <c:ptCount val="5"/>
                <c:pt idx="0">
                  <c:v>481064.08510638296</c:v>
                </c:pt>
                <c:pt idx="1">
                  <c:v>610508.35944700462</c:v>
                </c:pt>
                <c:pt idx="2">
                  <c:v>729727.47286821704</c:v>
                </c:pt>
                <c:pt idx="3">
                  <c:v>824671.25327510922</c:v>
                </c:pt>
                <c:pt idx="4">
                  <c:v>944738.546875</c:v>
                </c:pt>
              </c:numCache>
            </c:numRef>
          </c:val>
          <c:smooth val="0"/>
          <c:extLst>
            <c:ext xmlns:c16="http://schemas.microsoft.com/office/drawing/2014/chart" uri="{C3380CC4-5D6E-409C-BE32-E72D297353CC}">
              <c16:uniqueId val="{00000000-6DFA-4DD1-92A4-AEC6A5A05CB9}"/>
            </c:ext>
          </c:extLst>
        </c:ser>
        <c:dLbls>
          <c:showLegendKey val="0"/>
          <c:showVal val="0"/>
          <c:showCatName val="0"/>
          <c:showSerName val="0"/>
          <c:showPercent val="0"/>
          <c:showBubbleSize val="0"/>
        </c:dLbls>
        <c:marker val="1"/>
        <c:smooth val="0"/>
        <c:axId val="638887039"/>
        <c:axId val="638907679"/>
      </c:lineChart>
      <c:catAx>
        <c:axId val="638887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07679"/>
        <c:crosses val="autoZero"/>
        <c:auto val="1"/>
        <c:lblAlgn val="ctr"/>
        <c:lblOffset val="100"/>
        <c:noMultiLvlLbl val="0"/>
      </c:catAx>
      <c:valAx>
        <c:axId val="63890767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887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ch2!PivotTable2</c:name>
    <c:fmtId val="0"/>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Bedrooms</a:t>
            </a:r>
            <a:r>
              <a:rPr lang="en-US" b="1" baseline="0">
                <a:solidFill>
                  <a:srgbClr val="4F8123"/>
                </a:solidFill>
              </a:rPr>
              <a:t> By Average Price</a:t>
            </a:r>
            <a:endParaRPr lang="en-US" b="1">
              <a:solidFill>
                <a:srgbClr val="4F8123"/>
              </a:solidFill>
            </a:endParaRPr>
          </a:p>
        </c:rich>
      </c:tx>
      <c:layout>
        <c:manualLayout>
          <c:xMode val="edge"/>
          <c:yMode val="edge"/>
          <c:x val="0.27600678040244969"/>
          <c:y val="9.2592592592592587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ch2'!$B$3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 ch2'!$A$4:$A$9</c:f>
              <c:strCache>
                <c:ptCount val="5"/>
                <c:pt idx="0">
                  <c:v>1</c:v>
                </c:pt>
                <c:pt idx="1">
                  <c:v>2</c:v>
                </c:pt>
                <c:pt idx="2">
                  <c:v>3</c:v>
                </c:pt>
                <c:pt idx="3">
                  <c:v>4</c:v>
                </c:pt>
                <c:pt idx="4">
                  <c:v>5</c:v>
                </c:pt>
              </c:strCache>
            </c:strRef>
          </c:cat>
          <c:val>
            <c:numRef>
              <c:f>'trend ch2'!$B$4:$B$9</c:f>
              <c:numCache>
                <c:formatCode>0</c:formatCode>
                <c:ptCount val="5"/>
                <c:pt idx="0">
                  <c:v>600126.1308900523</c:v>
                </c:pt>
                <c:pt idx="1">
                  <c:v>652931.58499999996</c:v>
                </c:pt>
                <c:pt idx="2">
                  <c:v>709735.12033195025</c:v>
                </c:pt>
                <c:pt idx="3">
                  <c:v>783609.91752577317</c:v>
                </c:pt>
                <c:pt idx="4">
                  <c:v>787058.78865979379</c:v>
                </c:pt>
              </c:numCache>
            </c:numRef>
          </c:val>
          <c:extLst>
            <c:ext xmlns:c16="http://schemas.microsoft.com/office/drawing/2014/chart" uri="{C3380CC4-5D6E-409C-BE32-E72D297353CC}">
              <c16:uniqueId val="{00000000-AA08-4CBC-83DC-3FA41683FB74}"/>
            </c:ext>
          </c:extLst>
        </c:ser>
        <c:dLbls>
          <c:showLegendKey val="0"/>
          <c:showVal val="0"/>
          <c:showCatName val="0"/>
          <c:showSerName val="0"/>
          <c:showPercent val="0"/>
          <c:showBubbleSize val="0"/>
        </c:dLbls>
        <c:gapWidth val="150"/>
        <c:overlap val="100"/>
        <c:axId val="638930239"/>
        <c:axId val="638939359"/>
      </c:barChart>
      <c:catAx>
        <c:axId val="63893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39359"/>
        <c:crosses val="autoZero"/>
        <c:auto val="1"/>
        <c:lblAlgn val="ctr"/>
        <c:lblOffset val="100"/>
        <c:noMultiLvlLbl val="0"/>
      </c:catAx>
      <c:valAx>
        <c:axId val="63893935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30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ch3!PivotTable3</c:name>
    <c:fmtId val="0"/>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Bathrooms</a:t>
            </a:r>
            <a:r>
              <a:rPr lang="en-US" b="1" baseline="0">
                <a:solidFill>
                  <a:srgbClr val="4F8123"/>
                </a:solidFill>
              </a:rPr>
              <a:t> By Average Price</a:t>
            </a:r>
            <a:endParaRPr lang="en-US" b="1">
              <a:solidFill>
                <a:srgbClr val="4F8123"/>
              </a:solidFill>
            </a:endParaRPr>
          </a:p>
        </c:rich>
      </c:tx>
      <c:layout>
        <c:manualLayout>
          <c:xMode val="edge"/>
          <c:yMode val="edge"/>
          <c:x val="0.27003455818022748"/>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'trend ch3'!$B$3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 ch3'!$A$4:$A$8</c:f>
              <c:strCache>
                <c:ptCount val="4"/>
                <c:pt idx="0">
                  <c:v>1</c:v>
                </c:pt>
                <c:pt idx="1">
                  <c:v>2</c:v>
                </c:pt>
                <c:pt idx="2">
                  <c:v>3</c:v>
                </c:pt>
                <c:pt idx="3">
                  <c:v>4</c:v>
                </c:pt>
              </c:strCache>
            </c:strRef>
          </c:cat>
          <c:val>
            <c:numRef>
              <c:f>'trend ch3'!$B$4:$B$8</c:f>
              <c:numCache>
                <c:formatCode>0</c:formatCode>
                <c:ptCount val="4"/>
                <c:pt idx="0">
                  <c:v>639422.19246861921</c:v>
                </c:pt>
                <c:pt idx="1">
                  <c:v>693043.99585062242</c:v>
                </c:pt>
                <c:pt idx="2">
                  <c:v>732428.51310861425</c:v>
                </c:pt>
                <c:pt idx="3">
                  <c:v>752975.75457875454</c:v>
                </c:pt>
              </c:numCache>
            </c:numRef>
          </c:val>
          <c:extLst>
            <c:ext xmlns:c16="http://schemas.microsoft.com/office/drawing/2014/chart" uri="{C3380CC4-5D6E-409C-BE32-E72D297353CC}">
              <c16:uniqueId val="{00000000-DC59-410F-9380-649031C96010}"/>
            </c:ext>
          </c:extLst>
        </c:ser>
        <c:dLbls>
          <c:showLegendKey val="0"/>
          <c:showVal val="0"/>
          <c:showCatName val="0"/>
          <c:showSerName val="0"/>
          <c:showPercent val="0"/>
          <c:showBubbleSize val="0"/>
        </c:dLbls>
        <c:gapWidth val="150"/>
        <c:overlap val="100"/>
        <c:axId val="638942239"/>
        <c:axId val="638926879"/>
      </c:barChart>
      <c:catAx>
        <c:axId val="638942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26879"/>
        <c:crosses val="autoZero"/>
        <c:auto val="1"/>
        <c:lblAlgn val="ctr"/>
        <c:lblOffset val="100"/>
        <c:noMultiLvlLbl val="0"/>
      </c:catAx>
      <c:valAx>
        <c:axId val="638926879"/>
        <c:scaling>
          <c:orientation val="minMax"/>
        </c:scaling>
        <c:delete val="1"/>
        <c:axPos val="b"/>
        <c:numFmt formatCode="0" sourceLinked="1"/>
        <c:majorTickMark val="none"/>
        <c:minorTickMark val="none"/>
        <c:tickLblPos val="nextTo"/>
        <c:crossAx val="638942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ch4!PivotTable4</c:name>
    <c:fmtId val="0"/>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Parking</a:t>
            </a:r>
            <a:r>
              <a:rPr lang="en-US" b="1" baseline="0">
                <a:solidFill>
                  <a:srgbClr val="4F8123"/>
                </a:solidFill>
              </a:rPr>
              <a:t> By Average Price</a:t>
            </a:r>
            <a:endParaRPr lang="en-US" b="1">
              <a:solidFill>
                <a:srgbClr val="4F8123"/>
              </a:solidFill>
            </a:endParaRPr>
          </a:p>
        </c:rich>
      </c:tx>
      <c:layout>
        <c:manualLayout>
          <c:xMode val="edge"/>
          <c:yMode val="edge"/>
          <c:x val="0.30097900262467192"/>
          <c:y val="4.6296296296296294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ch4'!$B$3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strRef>
              <c:f>'trend ch4'!$A$4:$A$7</c:f>
              <c:strCache>
                <c:ptCount val="3"/>
                <c:pt idx="0">
                  <c:v>0</c:v>
                </c:pt>
                <c:pt idx="1">
                  <c:v>1</c:v>
                </c:pt>
                <c:pt idx="2">
                  <c:v>2</c:v>
                </c:pt>
              </c:strCache>
            </c:strRef>
          </c:cat>
          <c:val>
            <c:numRef>
              <c:f>'trend ch4'!$B$4:$B$7</c:f>
              <c:numCache>
                <c:formatCode>0</c:formatCode>
                <c:ptCount val="3"/>
                <c:pt idx="0">
                  <c:v>691871.75159235671</c:v>
                </c:pt>
                <c:pt idx="1">
                  <c:v>713288.99195710453</c:v>
                </c:pt>
                <c:pt idx="2">
                  <c:v>713699.03003003006</c:v>
                </c:pt>
              </c:numCache>
            </c:numRef>
          </c:val>
          <c:extLst>
            <c:ext xmlns:c16="http://schemas.microsoft.com/office/drawing/2014/chart" uri="{C3380CC4-5D6E-409C-BE32-E72D297353CC}">
              <c16:uniqueId val="{00000000-0A07-4958-A5BF-6A356EF290FD}"/>
            </c:ext>
          </c:extLst>
        </c:ser>
        <c:dLbls>
          <c:dLblPos val="ctr"/>
          <c:showLegendKey val="0"/>
          <c:showVal val="1"/>
          <c:showCatName val="0"/>
          <c:showSerName val="0"/>
          <c:showPercent val="0"/>
          <c:showBubbleSize val="0"/>
        </c:dLbls>
        <c:gapWidth val="150"/>
        <c:overlap val="100"/>
        <c:axId val="1472452991"/>
        <c:axId val="1472446271"/>
      </c:barChart>
      <c:catAx>
        <c:axId val="1472452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72446271"/>
        <c:crosses val="autoZero"/>
        <c:auto val="1"/>
        <c:lblAlgn val="ctr"/>
        <c:lblOffset val="100"/>
        <c:noMultiLvlLbl val="0"/>
      </c:catAx>
      <c:valAx>
        <c:axId val="147244627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72452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(2).xlsm]location2!PivotTable14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5 </a:t>
            </a:r>
            <a:r>
              <a:rPr lang="en-US" b="1"/>
              <a:t>Location_Score</a:t>
            </a:r>
            <a:r>
              <a:rPr lang="en-US" b="1" baseline="0"/>
              <a:t> By Price</a:t>
            </a:r>
            <a:endParaRPr lang="en-US" b="1"/>
          </a:p>
        </c:rich>
      </c:tx>
      <c:layout>
        <c:manualLayout>
          <c:xMode val="edge"/>
          <c:yMode val="edge"/>
          <c:x val="0.2515137795275590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location2!$B$3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location2!$A$4:$A$9</c:f>
              <c:strCache>
                <c:ptCount val="5"/>
                <c:pt idx="0">
                  <c:v>6</c:v>
                </c:pt>
                <c:pt idx="1">
                  <c:v>7</c:v>
                </c:pt>
                <c:pt idx="2">
                  <c:v>8</c:v>
                </c:pt>
                <c:pt idx="3">
                  <c:v>9</c:v>
                </c:pt>
                <c:pt idx="4">
                  <c:v>10</c:v>
                </c:pt>
              </c:strCache>
            </c:strRef>
          </c:cat>
          <c:val>
            <c:numRef>
              <c:f>location2!$B$4:$B$9</c:f>
              <c:numCache>
                <c:formatCode>0</c:formatCode>
                <c:ptCount val="5"/>
                <c:pt idx="0">
                  <c:v>721636.752293578</c:v>
                </c:pt>
                <c:pt idx="1">
                  <c:v>778735.50537634408</c:v>
                </c:pt>
                <c:pt idx="2">
                  <c:v>799000.65656565654</c:v>
                </c:pt>
                <c:pt idx="3">
                  <c:v>846436.4134615385</c:v>
                </c:pt>
                <c:pt idx="4">
                  <c:v>888812.57894736843</c:v>
                </c:pt>
              </c:numCache>
            </c:numRef>
          </c:val>
          <c:extLst>
            <c:ext xmlns:c16="http://schemas.microsoft.com/office/drawing/2014/chart" uri="{C3380CC4-5D6E-409C-BE32-E72D297353CC}">
              <c16:uniqueId val="{00000000-00CD-47E9-BA51-F6FA6E8FADCF}"/>
            </c:ext>
          </c:extLst>
        </c:ser>
        <c:dLbls>
          <c:showLegendKey val="0"/>
          <c:showVal val="0"/>
          <c:showCatName val="0"/>
          <c:showSerName val="0"/>
          <c:showPercent val="0"/>
          <c:showBubbleSize val="0"/>
        </c:dLbls>
        <c:gapWidth val="150"/>
        <c:overlap val="100"/>
        <c:axId val="9084175"/>
        <c:axId val="9092815"/>
      </c:barChart>
      <c:catAx>
        <c:axId val="9084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92815"/>
        <c:crosses val="autoZero"/>
        <c:auto val="1"/>
        <c:lblAlgn val="ctr"/>
        <c:lblOffset val="100"/>
        <c:noMultiLvlLbl val="0"/>
      </c:catAx>
      <c:valAx>
        <c:axId val="909281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84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[house_price (2).xlsm]dist2!PivotTable3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F8123"/>
                </a:solidFill>
              </a:rPr>
              <a:t>Distance</a:t>
            </a:r>
            <a:r>
              <a:rPr lang="en-US" b="1" baseline="0">
                <a:solidFill>
                  <a:srgbClr val="4F8123"/>
                </a:solidFill>
              </a:rPr>
              <a:t> From City By Price</a:t>
            </a:r>
            <a:endParaRPr lang="en-US" b="1">
              <a:solidFill>
                <a:srgbClr val="4F8123"/>
              </a:solidFill>
            </a:endParaRPr>
          </a:p>
        </c:rich>
      </c:tx>
      <c:layout>
        <c:manualLayout>
          <c:xMode val="edge"/>
          <c:yMode val="edge"/>
          <c:x val="0.27685411198600174"/>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dist2!$B$3</c:f>
              <c:strCache>
                <c:ptCount val="1"/>
                <c:pt idx="0">
                  <c:v>Total</c:v>
                </c:pt>
              </c:strCache>
            </c:strRef>
          </c:tx>
          <c:spPr>
            <a:solidFill>
              <a:schemeClr val="accent1"/>
            </a:solidFill>
            <a:ln>
              <a:noFill/>
            </a:ln>
            <a:effectLst/>
          </c:spPr>
          <c:invertIfNegative val="0"/>
          <c:cat>
            <c:strRef>
              <c:f>dist2!$A$4:$A$11</c:f>
              <c:strCache>
                <c:ptCount val="7"/>
                <c:pt idx="0">
                  <c:v>1-5</c:v>
                </c:pt>
                <c:pt idx="1">
                  <c:v>6-10</c:v>
                </c:pt>
                <c:pt idx="2">
                  <c:v>11-15</c:v>
                </c:pt>
                <c:pt idx="3">
                  <c:v>16-20</c:v>
                </c:pt>
                <c:pt idx="4">
                  <c:v>21-25</c:v>
                </c:pt>
                <c:pt idx="5">
                  <c:v>26-30</c:v>
                </c:pt>
                <c:pt idx="6">
                  <c:v>31-35</c:v>
                </c:pt>
              </c:strCache>
            </c:strRef>
          </c:cat>
          <c:val>
            <c:numRef>
              <c:f>dist2!$B$4:$B$11</c:f>
              <c:numCache>
                <c:formatCode>0</c:formatCode>
                <c:ptCount val="7"/>
                <c:pt idx="0">
                  <c:v>724297.25</c:v>
                </c:pt>
                <c:pt idx="1">
                  <c:v>727114.05185185187</c:v>
                </c:pt>
                <c:pt idx="2">
                  <c:v>692413.5555555555</c:v>
                </c:pt>
                <c:pt idx="3">
                  <c:v>707530.57368421054</c:v>
                </c:pt>
                <c:pt idx="4">
                  <c:v>693622.92361111112</c:v>
                </c:pt>
                <c:pt idx="5">
                  <c:v>706932.66887417214</c:v>
                </c:pt>
                <c:pt idx="6">
                  <c:v>697030.41935483867</c:v>
                </c:pt>
              </c:numCache>
            </c:numRef>
          </c:val>
          <c:extLst>
            <c:ext xmlns:c16="http://schemas.microsoft.com/office/drawing/2014/chart" uri="{C3380CC4-5D6E-409C-BE32-E72D297353CC}">
              <c16:uniqueId val="{00000000-B1F9-473A-AF44-AB99B97416E6}"/>
            </c:ext>
          </c:extLst>
        </c:ser>
        <c:dLbls>
          <c:showLegendKey val="0"/>
          <c:showVal val="0"/>
          <c:showCatName val="0"/>
          <c:showSerName val="0"/>
          <c:showPercent val="0"/>
          <c:showBubbleSize val="0"/>
        </c:dLbls>
        <c:gapWidth val="219"/>
        <c:overlap val="-27"/>
        <c:axId val="9088495"/>
        <c:axId val="9082255"/>
      </c:barChart>
      <c:catAx>
        <c:axId val="9088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82255"/>
        <c:crosses val="autoZero"/>
        <c:auto val="1"/>
        <c:lblAlgn val="ctr"/>
        <c:lblOffset val="100"/>
        <c:noMultiLvlLbl val="0"/>
      </c:catAx>
      <c:valAx>
        <c:axId val="908225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8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(2).xlsm]bedroom2!PivotTable2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F8123"/>
                </a:solidFill>
              </a:rPr>
              <a:t>Bedrooms</a:t>
            </a:r>
            <a:r>
              <a:rPr lang="en-US" b="1" baseline="0">
                <a:solidFill>
                  <a:srgbClr val="4F8123"/>
                </a:solidFill>
              </a:rPr>
              <a:t> By Price</a:t>
            </a:r>
            <a:endParaRPr lang="en-US" b="1">
              <a:solidFill>
                <a:srgbClr val="4F8123"/>
              </a:solidFill>
            </a:endParaRPr>
          </a:p>
        </c:rich>
      </c:tx>
      <c:layout>
        <c:manualLayout>
          <c:xMode val="edge"/>
          <c:yMode val="edge"/>
          <c:x val="0.3439234470691163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dLbl>
          <c:idx val="0"/>
          <c:layout>
            <c:manualLayout>
              <c:x val="-1.0185067526415994E-16"/>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dLbl>
          <c:idx val="0"/>
          <c:layout>
            <c:manualLayout>
              <c:x val="2.7777777777777779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a:noFill/>
          </a:ln>
          <a:effectLst/>
        </c:spPr>
        <c:dLbl>
          <c:idx val="0"/>
          <c:layout>
            <c:manualLayout>
              <c:x val="2.7777777777777779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a:noFill/>
          </a:ln>
          <a:effectLst/>
        </c:spPr>
        <c:dLbl>
          <c:idx val="0"/>
          <c:layout>
            <c:manualLayout>
              <c:x val="2.777777777777676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dLbl>
          <c:idx val="0"/>
          <c:layout>
            <c:manualLayout>
              <c:x val="1.0185067526415994E-16"/>
              <c:y val="-2.31481481481481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bedroom2!$B$3</c:f>
              <c:strCache>
                <c:ptCount val="1"/>
                <c:pt idx="0">
                  <c:v>Total</c:v>
                </c:pt>
              </c:strCache>
            </c:strRef>
          </c:tx>
          <c:spPr>
            <a:noFill/>
            <a:ln>
              <a:noFill/>
            </a:ln>
            <a:effectLst/>
          </c:spPr>
          <c:invertIfNegative val="0"/>
          <c:dPt>
            <c:idx val="0"/>
            <c:invertIfNegative val="0"/>
            <c:bubble3D val="0"/>
            <c:extLst>
              <c:ext xmlns:c16="http://schemas.microsoft.com/office/drawing/2014/chart" uri="{C3380CC4-5D6E-409C-BE32-E72D297353CC}">
                <c16:uniqueId val="{00000004-9068-4896-9A78-DD2636437B11}"/>
              </c:ext>
            </c:extLst>
          </c:dPt>
          <c:dPt>
            <c:idx val="1"/>
            <c:invertIfNegative val="0"/>
            <c:bubble3D val="0"/>
            <c:extLst>
              <c:ext xmlns:c16="http://schemas.microsoft.com/office/drawing/2014/chart" uri="{C3380CC4-5D6E-409C-BE32-E72D297353CC}">
                <c16:uniqueId val="{00000003-9068-4896-9A78-DD2636437B11}"/>
              </c:ext>
            </c:extLst>
          </c:dPt>
          <c:dPt>
            <c:idx val="2"/>
            <c:invertIfNegative val="0"/>
            <c:bubble3D val="0"/>
            <c:extLst>
              <c:ext xmlns:c16="http://schemas.microsoft.com/office/drawing/2014/chart" uri="{C3380CC4-5D6E-409C-BE32-E72D297353CC}">
                <c16:uniqueId val="{00000002-9068-4896-9A78-DD2636437B11}"/>
              </c:ext>
            </c:extLst>
          </c:dPt>
          <c:dPt>
            <c:idx val="3"/>
            <c:invertIfNegative val="0"/>
            <c:bubble3D val="0"/>
            <c:extLst>
              <c:ext xmlns:c16="http://schemas.microsoft.com/office/drawing/2014/chart" uri="{C3380CC4-5D6E-409C-BE32-E72D297353CC}">
                <c16:uniqueId val="{00000005-9068-4896-9A78-DD2636437B11}"/>
              </c:ext>
            </c:extLst>
          </c:dPt>
          <c:dPt>
            <c:idx val="4"/>
            <c:invertIfNegative val="0"/>
            <c:bubble3D val="0"/>
            <c:extLst>
              <c:ext xmlns:c16="http://schemas.microsoft.com/office/drawing/2014/chart" uri="{C3380CC4-5D6E-409C-BE32-E72D297353CC}">
                <c16:uniqueId val="{00000006-9068-4896-9A78-DD2636437B11}"/>
              </c:ext>
            </c:extLst>
          </c:dPt>
          <c:dLbls>
            <c:dLbl>
              <c:idx val="0"/>
              <c:layout>
                <c:manualLayout>
                  <c:x val="2.7777777777777779E-3"/>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068-4896-9A78-DD2636437B11}"/>
                </c:ext>
              </c:extLst>
            </c:dLbl>
            <c:dLbl>
              <c:idx val="1"/>
              <c:layout>
                <c:manualLayout>
                  <c:x val="2.7777777777777779E-3"/>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68-4896-9A78-DD2636437B11}"/>
                </c:ext>
              </c:extLst>
            </c:dLbl>
            <c:dLbl>
              <c:idx val="2"/>
              <c:layout>
                <c:manualLayout>
                  <c:x val="-1.0185067526415994E-16"/>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068-4896-9A78-DD2636437B11}"/>
                </c:ext>
              </c:extLst>
            </c:dLbl>
            <c:dLbl>
              <c:idx val="3"/>
              <c:layout>
                <c:manualLayout>
                  <c:x val="2.777777777777676E-3"/>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068-4896-9A78-DD2636437B11}"/>
                </c:ext>
              </c:extLst>
            </c:dLbl>
            <c:dLbl>
              <c:idx val="4"/>
              <c:layout>
                <c:manualLayout>
                  <c:x val="1.0185067526415994E-16"/>
                  <c:y val="-2.31481481481481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068-4896-9A78-DD2636437B1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strRef>
              <c:f>bedroom2!$A$4:$A$9</c:f>
              <c:strCache>
                <c:ptCount val="5"/>
                <c:pt idx="0">
                  <c:v>1</c:v>
                </c:pt>
                <c:pt idx="1">
                  <c:v>2</c:v>
                </c:pt>
                <c:pt idx="2">
                  <c:v>3</c:v>
                </c:pt>
                <c:pt idx="3">
                  <c:v>4</c:v>
                </c:pt>
                <c:pt idx="4">
                  <c:v>5</c:v>
                </c:pt>
              </c:strCache>
            </c:strRef>
          </c:cat>
          <c:val>
            <c:numRef>
              <c:f>bedroom2!$B$4:$B$9</c:f>
              <c:numCache>
                <c:formatCode>0</c:formatCode>
                <c:ptCount val="5"/>
                <c:pt idx="0">
                  <c:v>600126.1308900523</c:v>
                </c:pt>
                <c:pt idx="1">
                  <c:v>652931.58499999996</c:v>
                </c:pt>
                <c:pt idx="2">
                  <c:v>709735.12033195025</c:v>
                </c:pt>
                <c:pt idx="3">
                  <c:v>783609.91752577317</c:v>
                </c:pt>
                <c:pt idx="4">
                  <c:v>787058.78865979379</c:v>
                </c:pt>
              </c:numCache>
            </c:numRef>
          </c:val>
          <c:extLst>
            <c:ext xmlns:c16="http://schemas.microsoft.com/office/drawing/2014/chart" uri="{C3380CC4-5D6E-409C-BE32-E72D297353CC}">
              <c16:uniqueId val="{00000000-9068-4896-9A78-DD2636437B11}"/>
            </c:ext>
          </c:extLst>
        </c:ser>
        <c:dLbls>
          <c:showLegendKey val="0"/>
          <c:showVal val="0"/>
          <c:showCatName val="0"/>
          <c:showSerName val="0"/>
          <c:showPercent val="0"/>
          <c:showBubbleSize val="0"/>
        </c:dLbls>
        <c:gapWidth val="219"/>
        <c:overlap val="-27"/>
        <c:axId val="9094735"/>
        <c:axId val="9087535"/>
      </c:barChart>
      <c:catAx>
        <c:axId val="909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87535"/>
        <c:crosses val="autoZero"/>
        <c:auto val="1"/>
        <c:lblAlgn val="ctr"/>
        <c:lblOffset val="100"/>
        <c:noMultiLvlLbl val="0"/>
      </c:catAx>
      <c:valAx>
        <c:axId val="90875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947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(2).xlsm]area2!PivotTable1</c:name>
    <c:fmtId val="0"/>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Area</a:t>
            </a:r>
            <a:r>
              <a:rPr lang="en-US" b="1" baseline="0">
                <a:solidFill>
                  <a:srgbClr val="4F8123"/>
                </a:solidFill>
              </a:rPr>
              <a:t> Square Feet by Average Price</a:t>
            </a:r>
            <a:endParaRPr lang="en-US" b="1">
              <a:solidFill>
                <a:srgbClr val="4F8123"/>
              </a:solidFill>
            </a:endParaRPr>
          </a:p>
        </c:rich>
      </c:tx>
      <c:layout>
        <c:manualLayout>
          <c:xMode val="edge"/>
          <c:yMode val="edge"/>
          <c:x val="0.2220277777777778"/>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ln w="28575" cap="rnd">
            <a:solidFill>
              <a:schemeClr val="tx1"/>
            </a:solidFill>
            <a:round/>
          </a:ln>
          <a:effectLst/>
        </c:spPr>
        <c:marker>
          <c:symbol val="circle"/>
          <c:size val="5"/>
          <c:spPr>
            <a:solidFill>
              <a:srgbClr val="92D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tx1"/>
            </a:solidFill>
            <a:round/>
          </a:ln>
          <a:effectLst/>
        </c:spPr>
        <c:marker>
          <c:symbol val="circle"/>
          <c:size val="5"/>
          <c:spPr>
            <a:solidFill>
              <a:srgbClr val="92D050"/>
            </a:solidFill>
            <a:ln w="9525">
              <a:solidFill>
                <a:schemeClr val="accent1"/>
              </a:solidFill>
            </a:ln>
            <a:effectLst/>
          </c:spPr>
        </c:marker>
        <c:dLbl>
          <c:idx val="0"/>
          <c:layout>
            <c:manualLayout>
              <c:x val="-1.0530839895013022E-2"/>
              <c:y val="-6.70949985418489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area2!$B$3</c:f>
              <c:strCache>
                <c:ptCount val="1"/>
                <c:pt idx="0">
                  <c:v>Total</c:v>
                </c:pt>
              </c:strCache>
            </c:strRef>
          </c:tx>
          <c:spPr>
            <a:ln w="28575" cap="rnd">
              <a:solidFill>
                <a:schemeClr val="tx1"/>
              </a:solidFill>
              <a:round/>
            </a:ln>
            <a:effectLst/>
          </c:spPr>
          <c:marker>
            <c:symbol val="circle"/>
            <c:size val="5"/>
            <c:spPr>
              <a:solidFill>
                <a:srgbClr val="92D050"/>
              </a:solidFill>
              <a:ln w="9525">
                <a:solidFill>
                  <a:schemeClr val="accent1"/>
                </a:solidFill>
              </a:ln>
              <a:effectLst/>
            </c:spPr>
          </c:marker>
          <c:dPt>
            <c:idx val="4"/>
            <c:marker>
              <c:symbol val="circle"/>
              <c:size val="5"/>
              <c:spPr>
                <a:solidFill>
                  <a:srgbClr val="92D050"/>
                </a:solidFill>
                <a:ln w="9525">
                  <a:solidFill>
                    <a:schemeClr val="accent1"/>
                  </a:solidFill>
                </a:ln>
                <a:effectLst/>
              </c:spPr>
            </c:marker>
            <c:bubble3D val="0"/>
            <c:spPr>
              <a:ln w="28575" cap="rnd">
                <a:solidFill>
                  <a:schemeClr val="tx1"/>
                </a:solidFill>
                <a:round/>
              </a:ln>
              <a:effectLst/>
            </c:spPr>
            <c:extLst>
              <c:ext xmlns:c16="http://schemas.microsoft.com/office/drawing/2014/chart" uri="{C3380CC4-5D6E-409C-BE32-E72D297353CC}">
                <c16:uniqueId val="{00000002-E7F4-4991-A1AB-C166DBCEE2C0}"/>
              </c:ext>
            </c:extLst>
          </c:dPt>
          <c:dLbls>
            <c:dLbl>
              <c:idx val="4"/>
              <c:layout>
                <c:manualLayout>
                  <c:x val="-1.0530839895013022E-2"/>
                  <c:y val="-6.7094998541848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7F4-4991-A1AB-C166DBCEE2C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area2!$A$4:$A$9</c:f>
              <c:strCache>
                <c:ptCount val="5"/>
                <c:pt idx="0">
                  <c:v>403-1402</c:v>
                </c:pt>
                <c:pt idx="1">
                  <c:v>1403-2402</c:v>
                </c:pt>
                <c:pt idx="2">
                  <c:v>2403-3402</c:v>
                </c:pt>
                <c:pt idx="3">
                  <c:v>3403-4402</c:v>
                </c:pt>
                <c:pt idx="4">
                  <c:v>4403-5402</c:v>
                </c:pt>
              </c:strCache>
            </c:strRef>
          </c:cat>
          <c:val>
            <c:numRef>
              <c:f>area2!$B$4:$B$9</c:f>
              <c:numCache>
                <c:formatCode>0</c:formatCode>
                <c:ptCount val="5"/>
                <c:pt idx="0">
                  <c:v>481064.08510638296</c:v>
                </c:pt>
                <c:pt idx="1">
                  <c:v>610508.35944700462</c:v>
                </c:pt>
                <c:pt idx="2">
                  <c:v>729727.47286821704</c:v>
                </c:pt>
                <c:pt idx="3">
                  <c:v>824671.25327510922</c:v>
                </c:pt>
                <c:pt idx="4">
                  <c:v>944738.546875</c:v>
                </c:pt>
              </c:numCache>
            </c:numRef>
          </c:val>
          <c:smooth val="0"/>
          <c:extLst>
            <c:ext xmlns:c16="http://schemas.microsoft.com/office/drawing/2014/chart" uri="{C3380CC4-5D6E-409C-BE32-E72D297353CC}">
              <c16:uniqueId val="{00000000-E7F4-4991-A1AB-C166DBCEE2C0}"/>
            </c:ext>
          </c:extLst>
        </c:ser>
        <c:dLbls>
          <c:showLegendKey val="0"/>
          <c:showVal val="0"/>
          <c:showCatName val="0"/>
          <c:showSerName val="0"/>
          <c:showPercent val="0"/>
          <c:showBubbleSize val="0"/>
        </c:dLbls>
        <c:marker val="1"/>
        <c:smooth val="0"/>
        <c:axId val="9062095"/>
        <c:axId val="9076975"/>
      </c:lineChart>
      <c:catAx>
        <c:axId val="906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76975"/>
        <c:crosses val="autoZero"/>
        <c:auto val="1"/>
        <c:lblAlgn val="ctr"/>
        <c:lblOffset val="100"/>
        <c:noMultiLvlLbl val="0"/>
      </c:catAx>
      <c:valAx>
        <c:axId val="90769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62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(2).xlsm]area2!PivotTable1</c:name>
    <c:fmtId val="4"/>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baseline="0">
                <a:solidFill>
                  <a:srgbClr val="4F8123"/>
                </a:solidFill>
              </a:rPr>
              <a:t>Average Price By Area Square Feet</a:t>
            </a:r>
            <a:endParaRPr lang="en-US" b="1">
              <a:solidFill>
                <a:srgbClr val="4F8123"/>
              </a:solidFill>
            </a:endParaRPr>
          </a:p>
        </c:rich>
      </c:tx>
      <c:layout>
        <c:manualLayout>
          <c:xMode val="edge"/>
          <c:yMode val="edge"/>
          <c:x val="0.19024599599599604"/>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chemeClr val="accent1"/>
          </a:solidFill>
          <a:ln w="28575" cap="rnd">
            <a:solidFill>
              <a:schemeClr val="tx1"/>
            </a:solidFill>
            <a:round/>
          </a:ln>
          <a:effectLst/>
        </c:spPr>
        <c:marker>
          <c:symbol val="circle"/>
          <c:size val="5"/>
          <c:spPr>
            <a:solidFill>
              <a:srgbClr val="92D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solidFill>
            <a:round/>
          </a:ln>
          <a:effectLst/>
        </c:spPr>
        <c:marker>
          <c:symbol val="circle"/>
          <c:size val="5"/>
          <c:spPr>
            <a:solidFill>
              <a:srgbClr val="92D050"/>
            </a:solidFill>
            <a:ln w="9525">
              <a:solidFill>
                <a:schemeClr val="accent1"/>
              </a:solidFill>
            </a:ln>
            <a:effectLst/>
          </c:spPr>
        </c:marker>
        <c:dLbl>
          <c:idx val="0"/>
          <c:layout>
            <c:manualLayout>
              <c:x val="-1.0530839895013022E-2"/>
              <c:y val="-6.70949985418489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1"/>
            </a:solidFill>
            <a:round/>
          </a:ln>
          <a:effectLst/>
        </c:spPr>
        <c:marker>
          <c:symbol val="circle"/>
          <c:size val="5"/>
          <c:spPr>
            <a:solidFill>
              <a:srgbClr val="92D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1"/>
            </a:solidFill>
            <a:round/>
          </a:ln>
          <a:effectLst/>
        </c:spPr>
        <c:marker>
          <c:symbol val="circle"/>
          <c:size val="5"/>
          <c:spPr>
            <a:solidFill>
              <a:srgbClr val="92D050"/>
            </a:solidFill>
            <a:ln w="9525">
              <a:solidFill>
                <a:schemeClr val="accent1"/>
              </a:solidFill>
            </a:ln>
            <a:effectLst/>
          </c:spPr>
        </c:marker>
        <c:dLbl>
          <c:idx val="0"/>
          <c:layout>
            <c:manualLayout>
              <c:x val="-1.0530839895013022E-2"/>
              <c:y val="-6.70949985418489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circle"/>
          <c:size val="5"/>
          <c:spPr>
            <a:solidFill>
              <a:srgbClr val="92D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circle"/>
          <c:size val="5"/>
          <c:spPr>
            <a:solidFill>
              <a:srgbClr val="92D050"/>
            </a:solidFill>
            <a:ln w="9525">
              <a:solidFill>
                <a:schemeClr val="accent1"/>
              </a:solidFill>
            </a:ln>
            <a:effectLst/>
          </c:spPr>
        </c:marker>
        <c:dLbl>
          <c:idx val="0"/>
          <c:layout>
            <c:manualLayout>
              <c:x val="-1.0530839895013022E-2"/>
              <c:y val="-6.70949985418489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area2!$B$3</c:f>
              <c:strCache>
                <c:ptCount val="1"/>
                <c:pt idx="0">
                  <c:v>Total</c:v>
                </c:pt>
              </c:strCache>
            </c:strRef>
          </c:tx>
          <c:spPr>
            <a:ln w="28575" cap="rnd">
              <a:solidFill>
                <a:schemeClr val="tx1"/>
              </a:solidFill>
              <a:round/>
            </a:ln>
            <a:effectLst/>
          </c:spPr>
          <c:marker>
            <c:symbol val="circle"/>
            <c:size val="5"/>
            <c:spPr>
              <a:solidFill>
                <a:srgbClr val="92D050"/>
              </a:solidFill>
              <a:ln w="9525">
                <a:solidFill>
                  <a:schemeClr val="accent1"/>
                </a:solidFill>
              </a:ln>
              <a:effectLst/>
            </c:spPr>
          </c:marker>
          <c:dPt>
            <c:idx val="4"/>
            <c:marker>
              <c:symbol val="circle"/>
              <c:size val="5"/>
              <c:spPr>
                <a:solidFill>
                  <a:srgbClr val="92D050"/>
                </a:solidFill>
                <a:ln w="9525">
                  <a:solidFill>
                    <a:schemeClr val="accent1"/>
                  </a:solidFill>
                </a:ln>
                <a:effectLst/>
              </c:spPr>
            </c:marker>
            <c:bubble3D val="0"/>
            <c:spPr>
              <a:ln w="28575" cap="rnd">
                <a:solidFill>
                  <a:schemeClr val="tx1"/>
                </a:solidFill>
                <a:round/>
              </a:ln>
              <a:effectLst/>
            </c:spPr>
            <c:extLst>
              <c:ext xmlns:c16="http://schemas.microsoft.com/office/drawing/2014/chart" uri="{C3380CC4-5D6E-409C-BE32-E72D297353CC}">
                <c16:uniqueId val="{00000000-27E3-4F61-B385-B52192797C83}"/>
              </c:ext>
            </c:extLst>
          </c:dPt>
          <c:dLbls>
            <c:dLbl>
              <c:idx val="4"/>
              <c:layout>
                <c:manualLayout>
                  <c:x val="-1.0530839895013022E-2"/>
                  <c:y val="-6.7094998541848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7E3-4F61-B385-B52192797C8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area2!$A$4:$A$9</c:f>
              <c:strCache>
                <c:ptCount val="5"/>
                <c:pt idx="0">
                  <c:v>403-1402</c:v>
                </c:pt>
                <c:pt idx="1">
                  <c:v>1403-2402</c:v>
                </c:pt>
                <c:pt idx="2">
                  <c:v>2403-3402</c:v>
                </c:pt>
                <c:pt idx="3">
                  <c:v>3403-4402</c:v>
                </c:pt>
                <c:pt idx="4">
                  <c:v>4403-5402</c:v>
                </c:pt>
              </c:strCache>
            </c:strRef>
          </c:cat>
          <c:val>
            <c:numRef>
              <c:f>area2!$B$4:$B$9</c:f>
              <c:numCache>
                <c:formatCode>0</c:formatCode>
                <c:ptCount val="5"/>
                <c:pt idx="0">
                  <c:v>481064.08510638296</c:v>
                </c:pt>
                <c:pt idx="1">
                  <c:v>610508.35944700462</c:v>
                </c:pt>
                <c:pt idx="2">
                  <c:v>729727.47286821704</c:v>
                </c:pt>
                <c:pt idx="3">
                  <c:v>824671.25327510922</c:v>
                </c:pt>
                <c:pt idx="4">
                  <c:v>944738.546875</c:v>
                </c:pt>
              </c:numCache>
            </c:numRef>
          </c:val>
          <c:smooth val="0"/>
          <c:extLst>
            <c:ext xmlns:c16="http://schemas.microsoft.com/office/drawing/2014/chart" uri="{C3380CC4-5D6E-409C-BE32-E72D297353CC}">
              <c16:uniqueId val="{00000001-27E3-4F61-B385-B52192797C83}"/>
            </c:ext>
          </c:extLst>
        </c:ser>
        <c:dLbls>
          <c:showLegendKey val="0"/>
          <c:showVal val="0"/>
          <c:showCatName val="0"/>
          <c:showSerName val="0"/>
          <c:showPercent val="0"/>
          <c:showBubbleSize val="0"/>
        </c:dLbls>
        <c:marker val="1"/>
        <c:smooth val="0"/>
        <c:axId val="9062095"/>
        <c:axId val="9076975"/>
      </c:lineChart>
      <c:catAx>
        <c:axId val="906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76975"/>
        <c:crosses val="autoZero"/>
        <c:auto val="1"/>
        <c:lblAlgn val="ctr"/>
        <c:lblOffset val="100"/>
        <c:noMultiLvlLbl val="0"/>
      </c:catAx>
      <c:valAx>
        <c:axId val="907697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62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(2).xlsm]bedroom2!PivotTable2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rgbClr val="4F8123"/>
                </a:solidFill>
              </a:rPr>
              <a:t>Average Price By Bedrooms</a:t>
            </a:r>
            <a:endParaRPr lang="en-US" b="1">
              <a:solidFill>
                <a:srgbClr val="4F8123"/>
              </a:solidFill>
            </a:endParaRPr>
          </a:p>
        </c:rich>
      </c:tx>
      <c:layout>
        <c:manualLayout>
          <c:xMode val="edge"/>
          <c:yMode val="edge"/>
          <c:x val="0.2464895833333333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dLbl>
          <c:idx val="0"/>
          <c:layout>
            <c:manualLayout>
              <c:x val="-1.0185067526415994E-16"/>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dLbl>
          <c:idx val="0"/>
          <c:layout>
            <c:manualLayout>
              <c:x val="0"/>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a:noFill/>
          </a:ln>
          <a:effectLst/>
        </c:spPr>
        <c:dLbl>
          <c:idx val="0"/>
          <c:layout>
            <c:manualLayout>
              <c:x val="2.7777777777777779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a:noFill/>
          </a:ln>
          <a:effectLst/>
        </c:spPr>
        <c:dLbl>
          <c:idx val="0"/>
          <c:layout>
            <c:manualLayout>
              <c:x val="2.777777777777676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dLbl>
          <c:idx val="0"/>
          <c:layout>
            <c:manualLayout>
              <c:x val="1.0185067526415994E-16"/>
              <c:y val="-2.31481481481481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a:noFill/>
          </a:ln>
          <a:effectLst/>
        </c:spPr>
        <c:dLbl>
          <c:idx val="0"/>
          <c:layout>
            <c:manualLayout>
              <c:x val="2.7777777777777779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a:noFill/>
          </a:ln>
          <a:effectLst/>
        </c:spPr>
        <c:dLbl>
          <c:idx val="0"/>
          <c:layout>
            <c:manualLayout>
              <c:x val="0"/>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a:noFill/>
          </a:ln>
          <a:effectLst/>
        </c:spPr>
        <c:dLbl>
          <c:idx val="0"/>
          <c:layout>
            <c:manualLayout>
              <c:x val="-1.0185067526415994E-16"/>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a:noFill/>
          </a:ln>
          <a:effectLst/>
        </c:spPr>
        <c:dLbl>
          <c:idx val="0"/>
          <c:layout>
            <c:manualLayout>
              <c:x val="2.777777777777676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a:noFill/>
          </a:ln>
          <a:effectLst/>
        </c:spPr>
        <c:dLbl>
          <c:idx val="0"/>
          <c:layout>
            <c:manualLayout>
              <c:x val="1.0185067526415994E-16"/>
              <c:y val="-2.31481481481481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a:noFill/>
          </a:ln>
          <a:effectLst/>
        </c:spPr>
        <c:dLbl>
          <c:idx val="0"/>
          <c:layout>
            <c:manualLayout>
              <c:x val="2.7777777777777779E-3"/>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noFill/>
          <a:ln>
            <a:noFill/>
          </a:ln>
          <a:effectLst/>
        </c:spPr>
        <c:dLbl>
          <c:idx val="0"/>
          <c:layout>
            <c:manualLayout>
              <c:x val="0"/>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noFill/>
          <a:ln>
            <a:noFill/>
          </a:ln>
          <a:effectLst/>
        </c:spPr>
        <c:dLbl>
          <c:idx val="0"/>
          <c:layout>
            <c:manualLayout>
              <c:x val="-1.0185067526415994E-16"/>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noFill/>
          <a:ln>
            <a:noFill/>
          </a:ln>
          <a:effectLst/>
        </c:spPr>
        <c:dLbl>
          <c:idx val="0"/>
          <c:layout>
            <c:manualLayout>
              <c:x val="2.777777777777676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noFill/>
          <a:ln>
            <a:noFill/>
          </a:ln>
          <a:effectLst/>
        </c:spPr>
        <c:dLbl>
          <c:idx val="0"/>
          <c:layout>
            <c:manualLayout>
              <c:x val="1.0185067526415994E-16"/>
              <c:y val="-2.31481481481481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bedroom2!$B$3</c:f>
              <c:strCache>
                <c:ptCount val="1"/>
                <c:pt idx="0">
                  <c:v>Total</c:v>
                </c:pt>
              </c:strCache>
            </c:strRef>
          </c:tx>
          <c:spPr>
            <a:no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0-15EE-41EB-9F19-7500AB0BF950}"/>
              </c:ext>
            </c:extLst>
          </c:dPt>
          <c:dPt>
            <c:idx val="1"/>
            <c:invertIfNegative val="0"/>
            <c:bubble3D val="0"/>
            <c:spPr>
              <a:noFill/>
              <a:ln>
                <a:noFill/>
              </a:ln>
              <a:effectLst/>
            </c:spPr>
            <c:extLst>
              <c:ext xmlns:c16="http://schemas.microsoft.com/office/drawing/2014/chart" uri="{C3380CC4-5D6E-409C-BE32-E72D297353CC}">
                <c16:uniqueId val="{00000001-15EE-41EB-9F19-7500AB0BF950}"/>
              </c:ext>
            </c:extLst>
          </c:dPt>
          <c:dPt>
            <c:idx val="2"/>
            <c:invertIfNegative val="0"/>
            <c:bubble3D val="0"/>
            <c:spPr>
              <a:noFill/>
              <a:ln>
                <a:noFill/>
              </a:ln>
              <a:effectLst/>
            </c:spPr>
            <c:extLst>
              <c:ext xmlns:c16="http://schemas.microsoft.com/office/drawing/2014/chart" uri="{C3380CC4-5D6E-409C-BE32-E72D297353CC}">
                <c16:uniqueId val="{00000002-15EE-41EB-9F19-7500AB0BF950}"/>
              </c:ext>
            </c:extLst>
          </c:dPt>
          <c:dPt>
            <c:idx val="3"/>
            <c:invertIfNegative val="0"/>
            <c:bubble3D val="0"/>
            <c:spPr>
              <a:noFill/>
              <a:ln>
                <a:noFill/>
              </a:ln>
              <a:effectLst/>
            </c:spPr>
            <c:extLst>
              <c:ext xmlns:c16="http://schemas.microsoft.com/office/drawing/2014/chart" uri="{C3380CC4-5D6E-409C-BE32-E72D297353CC}">
                <c16:uniqueId val="{00000003-15EE-41EB-9F19-7500AB0BF950}"/>
              </c:ext>
            </c:extLst>
          </c:dPt>
          <c:dPt>
            <c:idx val="4"/>
            <c:invertIfNegative val="0"/>
            <c:bubble3D val="0"/>
            <c:spPr>
              <a:noFill/>
              <a:ln>
                <a:noFill/>
              </a:ln>
              <a:effectLst/>
            </c:spPr>
            <c:extLst>
              <c:ext xmlns:c16="http://schemas.microsoft.com/office/drawing/2014/chart" uri="{C3380CC4-5D6E-409C-BE32-E72D297353CC}">
                <c16:uniqueId val="{00000004-15EE-41EB-9F19-7500AB0BF950}"/>
              </c:ext>
            </c:extLst>
          </c:dPt>
          <c:dLbls>
            <c:dLbl>
              <c:idx val="0"/>
              <c:layout>
                <c:manualLayout>
                  <c:x val="2.7777777777777779E-3"/>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E-41EB-9F19-7500AB0BF950}"/>
                </c:ext>
              </c:extLst>
            </c:dLbl>
            <c:dLbl>
              <c:idx val="1"/>
              <c:layout>
                <c:manualLayout>
                  <c:x val="0"/>
                  <c:y val="-2.31481481481481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E-41EB-9F19-7500AB0BF950}"/>
                </c:ext>
              </c:extLst>
            </c:dLbl>
            <c:dLbl>
              <c:idx val="2"/>
              <c:layout>
                <c:manualLayout>
                  <c:x val="-1.0185067526415994E-16"/>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E-41EB-9F19-7500AB0BF950}"/>
                </c:ext>
              </c:extLst>
            </c:dLbl>
            <c:dLbl>
              <c:idx val="3"/>
              <c:layout>
                <c:manualLayout>
                  <c:x val="2.777777777777676E-3"/>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E-41EB-9F19-7500AB0BF950}"/>
                </c:ext>
              </c:extLst>
            </c:dLbl>
            <c:dLbl>
              <c:idx val="4"/>
              <c:layout>
                <c:manualLayout>
                  <c:x val="1.0185067526415994E-16"/>
                  <c:y val="-2.31481481481481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E-41EB-9F19-7500AB0BF95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strRef>
              <c:f>bedroom2!$A$4:$A$9</c:f>
              <c:strCache>
                <c:ptCount val="5"/>
                <c:pt idx="0">
                  <c:v>1</c:v>
                </c:pt>
                <c:pt idx="1">
                  <c:v>2</c:v>
                </c:pt>
                <c:pt idx="2">
                  <c:v>3</c:v>
                </c:pt>
                <c:pt idx="3">
                  <c:v>4</c:v>
                </c:pt>
                <c:pt idx="4">
                  <c:v>5</c:v>
                </c:pt>
              </c:strCache>
            </c:strRef>
          </c:cat>
          <c:val>
            <c:numRef>
              <c:f>bedroom2!$B$4:$B$9</c:f>
              <c:numCache>
                <c:formatCode>0</c:formatCode>
                <c:ptCount val="5"/>
                <c:pt idx="0">
                  <c:v>600126.1308900523</c:v>
                </c:pt>
                <c:pt idx="1">
                  <c:v>652931.58499999996</c:v>
                </c:pt>
                <c:pt idx="2">
                  <c:v>709735.12033195025</c:v>
                </c:pt>
                <c:pt idx="3">
                  <c:v>783609.91752577317</c:v>
                </c:pt>
                <c:pt idx="4">
                  <c:v>787058.78865979379</c:v>
                </c:pt>
              </c:numCache>
            </c:numRef>
          </c:val>
          <c:extLst>
            <c:ext xmlns:c16="http://schemas.microsoft.com/office/drawing/2014/chart" uri="{C3380CC4-5D6E-409C-BE32-E72D297353CC}">
              <c16:uniqueId val="{00000005-15EE-41EB-9F19-7500AB0BF950}"/>
            </c:ext>
          </c:extLst>
        </c:ser>
        <c:dLbls>
          <c:showLegendKey val="0"/>
          <c:showVal val="0"/>
          <c:showCatName val="0"/>
          <c:showSerName val="0"/>
          <c:showPercent val="0"/>
          <c:showBubbleSize val="0"/>
        </c:dLbls>
        <c:gapWidth val="219"/>
        <c:overlap val="-27"/>
        <c:axId val="9094735"/>
        <c:axId val="9087535"/>
      </c:barChart>
      <c:catAx>
        <c:axId val="909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87535"/>
        <c:crosses val="autoZero"/>
        <c:auto val="1"/>
        <c:lblAlgn val="ctr"/>
        <c:lblOffset val="100"/>
        <c:noMultiLvlLbl val="0"/>
      </c:catAx>
      <c:valAx>
        <c:axId val="908753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947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(2).xlsm]dist2!PivotTable3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rgbClr val="4F8123"/>
                </a:solidFill>
              </a:rPr>
              <a:t>Average Price By Distance From City</a:t>
            </a:r>
            <a:endParaRPr lang="en-US" b="1">
              <a:solidFill>
                <a:srgbClr val="4F8123"/>
              </a:solidFill>
            </a:endParaRPr>
          </a:p>
        </c:rich>
      </c:tx>
      <c:layout>
        <c:manualLayout>
          <c:xMode val="edge"/>
          <c:yMode val="edge"/>
          <c:x val="0.1537146226415094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dist2!$B$3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dist2!$A$4:$A$11</c:f>
              <c:strCache>
                <c:ptCount val="7"/>
                <c:pt idx="0">
                  <c:v>1-5</c:v>
                </c:pt>
                <c:pt idx="1">
                  <c:v>6-10</c:v>
                </c:pt>
                <c:pt idx="2">
                  <c:v>11-15</c:v>
                </c:pt>
                <c:pt idx="3">
                  <c:v>16-20</c:v>
                </c:pt>
                <c:pt idx="4">
                  <c:v>21-25</c:v>
                </c:pt>
                <c:pt idx="5">
                  <c:v>26-30</c:v>
                </c:pt>
                <c:pt idx="6">
                  <c:v>31-35</c:v>
                </c:pt>
              </c:strCache>
            </c:strRef>
          </c:cat>
          <c:val>
            <c:numRef>
              <c:f>dist2!$B$4:$B$11</c:f>
              <c:numCache>
                <c:formatCode>0</c:formatCode>
                <c:ptCount val="7"/>
                <c:pt idx="0">
                  <c:v>724297.25</c:v>
                </c:pt>
                <c:pt idx="1">
                  <c:v>727114.05185185187</c:v>
                </c:pt>
                <c:pt idx="2">
                  <c:v>692413.5555555555</c:v>
                </c:pt>
                <c:pt idx="3">
                  <c:v>707530.57368421054</c:v>
                </c:pt>
                <c:pt idx="4">
                  <c:v>693622.92361111112</c:v>
                </c:pt>
                <c:pt idx="5">
                  <c:v>706932.66887417214</c:v>
                </c:pt>
                <c:pt idx="6">
                  <c:v>697030.41935483867</c:v>
                </c:pt>
              </c:numCache>
            </c:numRef>
          </c:val>
          <c:extLst>
            <c:ext xmlns:c16="http://schemas.microsoft.com/office/drawing/2014/chart" uri="{C3380CC4-5D6E-409C-BE32-E72D297353CC}">
              <c16:uniqueId val="{00000000-D585-4F7D-97F3-F8DA737A92B4}"/>
            </c:ext>
          </c:extLst>
        </c:ser>
        <c:dLbls>
          <c:showLegendKey val="0"/>
          <c:showVal val="0"/>
          <c:showCatName val="0"/>
          <c:showSerName val="0"/>
          <c:showPercent val="0"/>
          <c:showBubbleSize val="0"/>
        </c:dLbls>
        <c:gapWidth val="219"/>
        <c:overlap val="-27"/>
        <c:axId val="9088495"/>
        <c:axId val="9082255"/>
      </c:barChart>
      <c:catAx>
        <c:axId val="9088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82255"/>
        <c:crosses val="autoZero"/>
        <c:auto val="1"/>
        <c:lblAlgn val="ctr"/>
        <c:lblOffset val="100"/>
        <c:noMultiLvlLbl val="0"/>
      </c:catAx>
      <c:valAx>
        <c:axId val="908225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8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(2).xlsm]location2!PivotTable14</c:name>
    <c:fmtId val="3"/>
  </c:pivotSource>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en-US" sz="1300" b="1">
                <a:solidFill>
                  <a:srgbClr val="4F8123"/>
                </a:solidFill>
              </a:rPr>
              <a:t>Top</a:t>
            </a:r>
            <a:r>
              <a:rPr lang="en-US" sz="1300" b="1" baseline="0">
                <a:solidFill>
                  <a:srgbClr val="4F8123"/>
                </a:solidFill>
              </a:rPr>
              <a:t> 5 </a:t>
            </a:r>
            <a:r>
              <a:rPr lang="en-US" sz="1300" b="1">
                <a:solidFill>
                  <a:srgbClr val="4F8123"/>
                </a:solidFill>
              </a:rPr>
              <a:t>Location_Score</a:t>
            </a:r>
            <a:r>
              <a:rPr lang="en-US" sz="1300" b="1" baseline="0">
                <a:solidFill>
                  <a:srgbClr val="4F8123"/>
                </a:solidFill>
              </a:rPr>
              <a:t> By Average Price</a:t>
            </a:r>
            <a:endParaRPr lang="en-US" sz="1300" b="1">
              <a:solidFill>
                <a:srgbClr val="4F8123"/>
              </a:solidFill>
            </a:endParaRPr>
          </a:p>
        </c:rich>
      </c:tx>
      <c:layout>
        <c:manualLayout>
          <c:xMode val="edge"/>
          <c:yMode val="edge"/>
          <c:x val="0.14215277777777777"/>
          <c:y val="9.2592592592592605E-3"/>
        </c:manualLayout>
      </c:layout>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location2!$B$3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location2!$A$4:$A$9</c:f>
              <c:strCache>
                <c:ptCount val="5"/>
                <c:pt idx="0">
                  <c:v>6</c:v>
                </c:pt>
                <c:pt idx="1">
                  <c:v>7</c:v>
                </c:pt>
                <c:pt idx="2">
                  <c:v>8</c:v>
                </c:pt>
                <c:pt idx="3">
                  <c:v>9</c:v>
                </c:pt>
                <c:pt idx="4">
                  <c:v>10</c:v>
                </c:pt>
              </c:strCache>
            </c:strRef>
          </c:cat>
          <c:val>
            <c:numRef>
              <c:f>location2!$B$4:$B$9</c:f>
              <c:numCache>
                <c:formatCode>0</c:formatCode>
                <c:ptCount val="5"/>
                <c:pt idx="0">
                  <c:v>721636.752293578</c:v>
                </c:pt>
                <c:pt idx="1">
                  <c:v>778735.50537634408</c:v>
                </c:pt>
                <c:pt idx="2">
                  <c:v>799000.65656565654</c:v>
                </c:pt>
                <c:pt idx="3">
                  <c:v>846436.4134615385</c:v>
                </c:pt>
                <c:pt idx="4">
                  <c:v>888812.57894736843</c:v>
                </c:pt>
              </c:numCache>
            </c:numRef>
          </c:val>
          <c:extLst>
            <c:ext xmlns:c16="http://schemas.microsoft.com/office/drawing/2014/chart" uri="{C3380CC4-5D6E-409C-BE32-E72D297353CC}">
              <c16:uniqueId val="{00000000-8F5E-4DAB-A0B7-DB1FEC87AF41}"/>
            </c:ext>
          </c:extLst>
        </c:ser>
        <c:dLbls>
          <c:showLegendKey val="0"/>
          <c:showVal val="0"/>
          <c:showCatName val="0"/>
          <c:showSerName val="0"/>
          <c:showPercent val="0"/>
          <c:showBubbleSize val="0"/>
        </c:dLbls>
        <c:gapWidth val="150"/>
        <c:overlap val="100"/>
        <c:axId val="9084175"/>
        <c:axId val="9092815"/>
      </c:barChart>
      <c:catAx>
        <c:axId val="9084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092815"/>
        <c:crosses val="autoZero"/>
        <c:auto val="1"/>
        <c:lblAlgn val="ctr"/>
        <c:lblOffset val="100"/>
        <c:noMultiLvlLbl val="0"/>
      </c:catAx>
      <c:valAx>
        <c:axId val="9092815"/>
        <c:scaling>
          <c:orientation val="minMax"/>
        </c:scaling>
        <c:delete val="1"/>
        <c:axPos val="b"/>
        <c:numFmt formatCode="0" sourceLinked="1"/>
        <c:majorTickMark val="none"/>
        <c:minorTickMark val="none"/>
        <c:tickLblPos val="nextTo"/>
        <c:crossAx val="9084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(2).xlsm]parking2!PivotTable5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rgbClr val="4F8123"/>
                </a:solidFill>
              </a:rPr>
              <a:t>Average Price By Parking</a:t>
            </a:r>
            <a:endParaRPr lang="en-US" b="1">
              <a:solidFill>
                <a:srgbClr val="4F8123"/>
              </a:solidFill>
            </a:endParaRPr>
          </a:p>
        </c:rich>
      </c:tx>
      <c:layout>
        <c:manualLayout>
          <c:xMode val="edge"/>
          <c:yMode val="edge"/>
          <c:x val="0.26752010582010577"/>
          <c:y val="1.85185185185185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parking2!$B$3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strRef>
              <c:f>parking2!$A$4:$A$7</c:f>
              <c:strCache>
                <c:ptCount val="3"/>
                <c:pt idx="0">
                  <c:v>2</c:v>
                </c:pt>
                <c:pt idx="1">
                  <c:v>1</c:v>
                </c:pt>
                <c:pt idx="2">
                  <c:v>0</c:v>
                </c:pt>
              </c:strCache>
            </c:strRef>
          </c:cat>
          <c:val>
            <c:numRef>
              <c:f>parking2!$B$4:$B$7</c:f>
              <c:numCache>
                <c:formatCode>0</c:formatCode>
                <c:ptCount val="3"/>
                <c:pt idx="0">
                  <c:v>713699.03003003006</c:v>
                </c:pt>
                <c:pt idx="1">
                  <c:v>713288.99195710453</c:v>
                </c:pt>
                <c:pt idx="2">
                  <c:v>691871.75159235671</c:v>
                </c:pt>
              </c:numCache>
            </c:numRef>
          </c:val>
          <c:extLst>
            <c:ext xmlns:c16="http://schemas.microsoft.com/office/drawing/2014/chart" uri="{C3380CC4-5D6E-409C-BE32-E72D297353CC}">
              <c16:uniqueId val="{00000000-9559-494C-B870-9CD9A6047F3E}"/>
            </c:ext>
          </c:extLst>
        </c:ser>
        <c:dLbls>
          <c:dLblPos val="ctr"/>
          <c:showLegendKey val="0"/>
          <c:showVal val="1"/>
          <c:showCatName val="0"/>
          <c:showSerName val="0"/>
          <c:showPercent val="0"/>
          <c:showBubbleSize val="0"/>
        </c:dLbls>
        <c:gapWidth val="150"/>
        <c:overlap val="100"/>
        <c:axId val="9111055"/>
        <c:axId val="9112495"/>
      </c:barChart>
      <c:catAx>
        <c:axId val="91110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495"/>
        <c:crosses val="autoZero"/>
        <c:auto val="1"/>
        <c:lblAlgn val="ctr"/>
        <c:lblOffset val="100"/>
        <c:noMultiLvlLbl val="0"/>
      </c:catAx>
      <c:valAx>
        <c:axId val="9112495"/>
        <c:scaling>
          <c:orientation val="minMax"/>
        </c:scaling>
        <c:delete val="1"/>
        <c:axPos val="b"/>
        <c:numFmt formatCode="0" sourceLinked="1"/>
        <c:majorTickMark val="none"/>
        <c:minorTickMark val="none"/>
        <c:tickLblPos val="nextTo"/>
        <c:crossAx val="9111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(2).xlsm]age2!PivotTable1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F8123"/>
                </a:solidFill>
              </a:rPr>
              <a:t>Average</a:t>
            </a:r>
            <a:r>
              <a:rPr lang="en-US" b="1" baseline="0">
                <a:solidFill>
                  <a:srgbClr val="4F8123"/>
                </a:solidFill>
              </a:rPr>
              <a:t> Price By Age</a:t>
            </a:r>
            <a:endParaRPr lang="en-US" b="1">
              <a:solidFill>
                <a:srgbClr val="4F8123"/>
              </a:solidFill>
            </a:endParaRPr>
          </a:p>
        </c:rich>
      </c:tx>
      <c:layout>
        <c:manualLayout>
          <c:xMode val="edge"/>
          <c:yMode val="edge"/>
          <c:x val="0.32631048387096773"/>
          <c:y val="1.97685185185185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dLbl>
          <c:idx val="0"/>
          <c:layout>
            <c:manualLayout>
              <c:x val="-2.7777777777777779E-3"/>
              <c:y val="-4.16666666666667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F8123"/>
          </a:solidFill>
          <a:ln>
            <a:noFill/>
          </a:ln>
          <a:effectLst/>
        </c:spPr>
        <c:dLbl>
          <c:idx val="0"/>
          <c:layout>
            <c:manualLayout>
              <c:x val="-2.7777777777777779E-3"/>
              <c:y val="-4.16666666666667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F8123"/>
          </a:solidFill>
          <a:ln>
            <a:noFill/>
          </a:ln>
          <a:effectLst/>
        </c:spPr>
        <c:dLbl>
          <c:idx val="0"/>
          <c:layout>
            <c:manualLayout>
              <c:x val="-2.7777777777777779E-3"/>
              <c:y val="-5.0925925925931321E-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F8123"/>
          </a:solidFill>
          <a:ln>
            <a:noFill/>
          </a:ln>
          <a:effectLst/>
        </c:spPr>
        <c:dLbl>
          <c:idx val="0"/>
          <c:layout>
            <c:manualLayout>
              <c:x val="0"/>
              <c:y val="-5.87962962962962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F8123"/>
          </a:solidFill>
          <a:ln>
            <a:noFill/>
          </a:ln>
          <a:effectLst/>
        </c:spPr>
        <c:dLbl>
          <c:idx val="0"/>
          <c:layout>
            <c:manualLayout>
              <c:x val="0"/>
              <c:y val="-3.52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F8123"/>
          </a:solidFill>
          <a:ln>
            <a:noFill/>
          </a:ln>
          <a:effectLst/>
        </c:spPr>
        <c:dLbl>
          <c:idx val="0"/>
          <c:layout>
            <c:manualLayout>
              <c:x val="-1.0516289234592124E-16"/>
              <c:y val="-3.52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F8123"/>
          </a:solidFill>
          <a:ln>
            <a:noFill/>
          </a:ln>
          <a:effectLst/>
        </c:spPr>
        <c:dLbl>
          <c:idx val="0"/>
          <c:layout>
            <c:manualLayout>
              <c:x val="0"/>
              <c:y val="-4.70370370370370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'age2'!$B$3</c:f>
              <c:strCache>
                <c:ptCount val="1"/>
                <c:pt idx="0">
                  <c:v>Total</c:v>
                </c:pt>
              </c:strCache>
            </c:strRef>
          </c:tx>
          <c:spPr>
            <a:solidFill>
              <a:srgbClr val="4F8123"/>
            </a:solidFill>
            <a:ln>
              <a:noFill/>
            </a:ln>
            <a:effectLst/>
          </c:spPr>
          <c:invertIfNegative val="0"/>
          <c:dPt>
            <c:idx val="0"/>
            <c:invertIfNegative val="0"/>
            <c:bubble3D val="0"/>
            <c:spPr>
              <a:solidFill>
                <a:srgbClr val="4F8123"/>
              </a:solidFill>
              <a:ln>
                <a:noFill/>
              </a:ln>
              <a:effectLst/>
            </c:spPr>
            <c:extLst>
              <c:ext xmlns:c16="http://schemas.microsoft.com/office/drawing/2014/chart" uri="{C3380CC4-5D6E-409C-BE32-E72D297353CC}">
                <c16:uniqueId val="{00000005-3B2A-40B7-9592-346E616CCFDC}"/>
              </c:ext>
            </c:extLst>
          </c:dPt>
          <c:dPt>
            <c:idx val="2"/>
            <c:invertIfNegative val="0"/>
            <c:bubble3D val="0"/>
            <c:spPr>
              <a:solidFill>
                <a:srgbClr val="4F8123"/>
              </a:solidFill>
              <a:ln>
                <a:noFill/>
              </a:ln>
              <a:effectLst/>
            </c:spPr>
            <c:extLst>
              <c:ext xmlns:c16="http://schemas.microsoft.com/office/drawing/2014/chart" uri="{C3380CC4-5D6E-409C-BE32-E72D297353CC}">
                <c16:uniqueId val="{00000002-3B2A-40B7-9592-346E616CCFDC}"/>
              </c:ext>
            </c:extLst>
          </c:dPt>
          <c:dPt>
            <c:idx val="3"/>
            <c:invertIfNegative val="0"/>
            <c:bubble3D val="0"/>
            <c:spPr>
              <a:solidFill>
                <a:srgbClr val="4F8123"/>
              </a:solidFill>
              <a:ln>
                <a:noFill/>
              </a:ln>
              <a:effectLst/>
            </c:spPr>
            <c:extLst>
              <c:ext xmlns:c16="http://schemas.microsoft.com/office/drawing/2014/chart" uri="{C3380CC4-5D6E-409C-BE32-E72D297353CC}">
                <c16:uniqueId val="{00000000-3B2A-40B7-9592-346E616CCFDC}"/>
              </c:ext>
            </c:extLst>
          </c:dPt>
          <c:dPt>
            <c:idx val="5"/>
            <c:invertIfNegative val="0"/>
            <c:bubble3D val="0"/>
            <c:spPr>
              <a:solidFill>
                <a:srgbClr val="4F8123"/>
              </a:solidFill>
              <a:ln>
                <a:noFill/>
              </a:ln>
              <a:effectLst/>
            </c:spPr>
            <c:extLst>
              <c:ext xmlns:c16="http://schemas.microsoft.com/office/drawing/2014/chart" uri="{C3380CC4-5D6E-409C-BE32-E72D297353CC}">
                <c16:uniqueId val="{00000003-3B2A-40B7-9592-346E616CCFDC}"/>
              </c:ext>
            </c:extLst>
          </c:dPt>
          <c:dPt>
            <c:idx val="7"/>
            <c:invertIfNegative val="0"/>
            <c:bubble3D val="0"/>
            <c:spPr>
              <a:solidFill>
                <a:srgbClr val="4F8123"/>
              </a:solidFill>
              <a:ln>
                <a:noFill/>
              </a:ln>
              <a:effectLst/>
            </c:spPr>
            <c:extLst>
              <c:ext xmlns:c16="http://schemas.microsoft.com/office/drawing/2014/chart" uri="{C3380CC4-5D6E-409C-BE32-E72D297353CC}">
                <c16:uniqueId val="{00000004-3B2A-40B7-9592-346E616CCFDC}"/>
              </c:ext>
            </c:extLst>
          </c:dPt>
          <c:dLbls>
            <c:dLbl>
              <c:idx val="0"/>
              <c:layout>
                <c:manualLayout>
                  <c:x val="0"/>
                  <c:y val="-4.703703703703703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B2A-40B7-9592-346E616CCFDC}"/>
                </c:ext>
              </c:extLst>
            </c:dLbl>
            <c:dLbl>
              <c:idx val="2"/>
              <c:layout>
                <c:manualLayout>
                  <c:x val="0"/>
                  <c:y val="-5.87962962962962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B2A-40B7-9592-346E616CCFDC}"/>
                </c:ext>
              </c:extLst>
            </c:dLbl>
            <c:dLbl>
              <c:idx val="3"/>
              <c:layout>
                <c:manualLayout>
                  <c:x val="-2.7777777777777779E-3"/>
                  <c:y val="-5.0925925925931321E-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B2A-40B7-9592-346E616CCFDC}"/>
                </c:ext>
              </c:extLst>
            </c:dLbl>
            <c:dLbl>
              <c:idx val="5"/>
              <c:layout>
                <c:manualLayout>
                  <c:x val="0"/>
                  <c:y val="-3.52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B2A-40B7-9592-346E616CCFDC}"/>
                </c:ext>
              </c:extLst>
            </c:dLbl>
            <c:dLbl>
              <c:idx val="7"/>
              <c:layout>
                <c:manualLayout>
                  <c:x val="-1.0516289234592124E-16"/>
                  <c:y val="-3.52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2A-40B7-9592-346E616CCFD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'age2'!$A$4:$A$12</c:f>
              <c:strCache>
                <c:ptCount val="8"/>
                <c:pt idx="0">
                  <c:v>0-4</c:v>
                </c:pt>
                <c:pt idx="1">
                  <c:v>5-9</c:v>
                </c:pt>
                <c:pt idx="2">
                  <c:v>10-14</c:v>
                </c:pt>
                <c:pt idx="3">
                  <c:v>15-19</c:v>
                </c:pt>
                <c:pt idx="4">
                  <c:v>20-24</c:v>
                </c:pt>
                <c:pt idx="5">
                  <c:v>25-29</c:v>
                </c:pt>
                <c:pt idx="6">
                  <c:v>30-34</c:v>
                </c:pt>
                <c:pt idx="7">
                  <c:v>35-39</c:v>
                </c:pt>
              </c:strCache>
            </c:strRef>
          </c:cat>
          <c:val>
            <c:numRef>
              <c:f>'age2'!$B$4:$B$12</c:f>
              <c:numCache>
                <c:formatCode>0</c:formatCode>
                <c:ptCount val="8"/>
                <c:pt idx="0">
                  <c:v>701946.89075630251</c:v>
                </c:pt>
                <c:pt idx="1">
                  <c:v>766881.62857142859</c:v>
                </c:pt>
                <c:pt idx="2">
                  <c:v>731118.21774193551</c:v>
                </c:pt>
                <c:pt idx="3">
                  <c:v>743323.22131147538</c:v>
                </c:pt>
                <c:pt idx="4">
                  <c:v>686320.21383647795</c:v>
                </c:pt>
                <c:pt idx="5">
                  <c:v>705760.62307692308</c:v>
                </c:pt>
                <c:pt idx="6">
                  <c:v>698512.36585365853</c:v>
                </c:pt>
                <c:pt idx="7">
                  <c:v>643312.62318840576</c:v>
                </c:pt>
              </c:numCache>
            </c:numRef>
          </c:val>
          <c:extLst>
            <c:ext xmlns:c16="http://schemas.microsoft.com/office/drawing/2014/chart" uri="{C3380CC4-5D6E-409C-BE32-E72D297353CC}">
              <c16:uniqueId val="{00000001-3B2A-40B7-9592-346E616CCFDC}"/>
            </c:ext>
          </c:extLst>
        </c:ser>
        <c:dLbls>
          <c:showLegendKey val="0"/>
          <c:showVal val="0"/>
          <c:showCatName val="0"/>
          <c:showSerName val="0"/>
          <c:showPercent val="0"/>
          <c:showBubbleSize val="0"/>
        </c:dLbls>
        <c:gapWidth val="219"/>
        <c:overlap val="-27"/>
        <c:axId val="2040473727"/>
        <c:axId val="2040477087"/>
      </c:barChart>
      <c:catAx>
        <c:axId val="204047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40477087"/>
        <c:crosses val="autoZero"/>
        <c:auto val="1"/>
        <c:lblAlgn val="ctr"/>
        <c:lblOffset val="100"/>
        <c:noMultiLvlLbl val="0"/>
      </c:catAx>
      <c:valAx>
        <c:axId val="204047708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40473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area!PivotTable1</c:name>
    <c:fmtId val="3"/>
  </c:pivotSource>
  <c:chart>
    <c:title>
      <c:tx>
        <c:rich>
          <a:bodyPr rot="0" spcFirstLastPara="1" vertOverflow="ellipsis" vert="horz" wrap="square" anchor="ctr" anchorCtr="1"/>
          <a:lstStyle/>
          <a:p>
            <a:pPr>
              <a:defRPr sz="1400" b="0" i="0" u="none" strike="noStrike" kern="1200" spc="0" baseline="0">
                <a:solidFill>
                  <a:srgbClr val="4F8123"/>
                </a:solidFill>
                <a:latin typeface="+mn-lt"/>
                <a:ea typeface="+mn-ea"/>
                <a:cs typeface="+mn-cs"/>
              </a:defRPr>
            </a:pPr>
            <a:r>
              <a:rPr lang="en-US" b="1">
                <a:solidFill>
                  <a:srgbClr val="4F8123"/>
                </a:solidFill>
              </a:rPr>
              <a:t>Property</a:t>
            </a:r>
            <a:r>
              <a:rPr lang="en-US" b="1" baseline="0">
                <a:solidFill>
                  <a:srgbClr val="4F8123"/>
                </a:solidFill>
              </a:rPr>
              <a:t> Sold By Area Range</a:t>
            </a:r>
            <a:endParaRPr lang="en-US" b="1">
              <a:solidFill>
                <a:srgbClr val="4F8123"/>
              </a:solidFill>
            </a:endParaRPr>
          </a:p>
        </c:rich>
      </c:tx>
      <c:layout>
        <c:manualLayout>
          <c:xMode val="edge"/>
          <c:yMode val="edge"/>
          <c:x val="0.26954855643044617"/>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pivotFmt>
      <c:pivotFmt>
        <c:idx val="4"/>
        <c:spPr>
          <a:solidFill>
            <a:srgbClr val="00FF00"/>
          </a:solidFill>
          <a:ln>
            <a:noFill/>
          </a:ln>
          <a:effectLst/>
        </c:spPr>
      </c:pivotFmt>
    </c:pivotFmts>
    <c:plotArea>
      <c:layout/>
      <c:barChart>
        <c:barDir val="col"/>
        <c:grouping val="stacked"/>
        <c:varyColors val="0"/>
        <c:ser>
          <c:idx val="0"/>
          <c:order val="0"/>
          <c:tx>
            <c:strRef>
              <c:f>'ana area'!$B$3</c:f>
              <c:strCache>
                <c:ptCount val="1"/>
                <c:pt idx="0">
                  <c:v>Total</c:v>
                </c:pt>
              </c:strCache>
            </c:strRef>
          </c:tx>
          <c:spPr>
            <a:solidFill>
              <a:srgbClr val="4F8123"/>
            </a:solidFill>
            <a:ln>
              <a:noFill/>
            </a:ln>
            <a:effectLst/>
          </c:spPr>
          <c:invertIfNegative val="0"/>
          <c:dPt>
            <c:idx val="2"/>
            <c:invertIfNegative val="0"/>
            <c:bubble3D val="0"/>
            <c:spPr>
              <a:solidFill>
                <a:srgbClr val="00FF00"/>
              </a:solidFill>
              <a:ln>
                <a:noFill/>
              </a:ln>
              <a:effectLst/>
            </c:spPr>
            <c:extLst>
              <c:ext xmlns:c16="http://schemas.microsoft.com/office/drawing/2014/chart" uri="{C3380CC4-5D6E-409C-BE32-E72D297353CC}">
                <c16:uniqueId val="{00000002-B213-44C1-B940-B98CA076A9BB}"/>
              </c:ext>
            </c:extLst>
          </c:dPt>
          <c:dPt>
            <c:idx val="4"/>
            <c:invertIfNegative val="0"/>
            <c:bubble3D val="0"/>
            <c:spPr>
              <a:solidFill>
                <a:srgbClr val="FF0000"/>
              </a:solidFill>
              <a:ln>
                <a:noFill/>
              </a:ln>
              <a:effectLst/>
            </c:spPr>
            <c:extLst>
              <c:ext xmlns:c16="http://schemas.microsoft.com/office/drawing/2014/chart" uri="{C3380CC4-5D6E-409C-BE32-E72D297353CC}">
                <c16:uniqueId val="{00000001-B213-44C1-B940-B98CA076A9B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 area'!$A$4:$A$9</c:f>
              <c:strCache>
                <c:ptCount val="5"/>
                <c:pt idx="0">
                  <c:v>403-1402</c:v>
                </c:pt>
                <c:pt idx="1">
                  <c:v>1403-2402</c:v>
                </c:pt>
                <c:pt idx="2">
                  <c:v>2403-3402</c:v>
                </c:pt>
                <c:pt idx="3">
                  <c:v>3403-4402</c:v>
                </c:pt>
                <c:pt idx="4">
                  <c:v>4403-5402</c:v>
                </c:pt>
              </c:strCache>
            </c:strRef>
          </c:cat>
          <c:val>
            <c:numRef>
              <c:f>'ana area'!$B$4:$B$9</c:f>
              <c:numCache>
                <c:formatCode>General</c:formatCode>
                <c:ptCount val="5"/>
                <c:pt idx="0">
                  <c:v>188</c:v>
                </c:pt>
                <c:pt idx="1">
                  <c:v>217</c:v>
                </c:pt>
                <c:pt idx="2">
                  <c:v>258</c:v>
                </c:pt>
                <c:pt idx="3">
                  <c:v>229</c:v>
                </c:pt>
                <c:pt idx="4">
                  <c:v>128</c:v>
                </c:pt>
              </c:numCache>
            </c:numRef>
          </c:val>
          <c:extLst>
            <c:ext xmlns:c16="http://schemas.microsoft.com/office/drawing/2014/chart" uri="{C3380CC4-5D6E-409C-BE32-E72D297353CC}">
              <c16:uniqueId val="{00000000-B213-44C1-B940-B98CA076A9BB}"/>
            </c:ext>
          </c:extLst>
        </c:ser>
        <c:dLbls>
          <c:showLegendKey val="0"/>
          <c:showVal val="0"/>
          <c:showCatName val="0"/>
          <c:showSerName val="0"/>
          <c:showPercent val="0"/>
          <c:showBubbleSize val="0"/>
        </c:dLbls>
        <c:gapWidth val="150"/>
        <c:overlap val="100"/>
        <c:axId val="485497599"/>
        <c:axId val="485482719"/>
      </c:barChart>
      <c:catAx>
        <c:axId val="485497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85482719"/>
        <c:crosses val="autoZero"/>
        <c:auto val="1"/>
        <c:lblAlgn val="ctr"/>
        <c:lblOffset val="100"/>
        <c:noMultiLvlLbl val="0"/>
      </c:catAx>
      <c:valAx>
        <c:axId val="4854827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85497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price!PivotTable2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F8123"/>
                </a:solidFill>
              </a:rPr>
              <a:t>Average</a:t>
            </a:r>
            <a:r>
              <a:rPr lang="en-US" b="1" baseline="0">
                <a:solidFill>
                  <a:srgbClr val="4F8123"/>
                </a:solidFill>
              </a:rPr>
              <a:t> Price By Area Range</a:t>
            </a:r>
            <a:endParaRPr lang="en-US" b="1">
              <a:solidFill>
                <a:srgbClr val="4F8123"/>
              </a:solidFill>
            </a:endParaRPr>
          </a:p>
        </c:rich>
      </c:tx>
      <c:layout>
        <c:manualLayout>
          <c:xMode val="edge"/>
          <c:yMode val="edge"/>
          <c:x val="0.26113188976377955"/>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 price'!$B$3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 price'!$A$4:$A$9</c:f>
              <c:strCache>
                <c:ptCount val="5"/>
                <c:pt idx="0">
                  <c:v>403-1402</c:v>
                </c:pt>
                <c:pt idx="1">
                  <c:v>1403-2402</c:v>
                </c:pt>
                <c:pt idx="2">
                  <c:v>2403-3402</c:v>
                </c:pt>
                <c:pt idx="3">
                  <c:v>3403-4402</c:v>
                </c:pt>
                <c:pt idx="4">
                  <c:v>4403-5402</c:v>
                </c:pt>
              </c:strCache>
            </c:strRef>
          </c:cat>
          <c:val>
            <c:numRef>
              <c:f>'ana price'!$B$4:$B$9</c:f>
              <c:numCache>
                <c:formatCode>0</c:formatCode>
                <c:ptCount val="5"/>
                <c:pt idx="0">
                  <c:v>481064.08510638296</c:v>
                </c:pt>
                <c:pt idx="1">
                  <c:v>610508.35944700462</c:v>
                </c:pt>
                <c:pt idx="2">
                  <c:v>729727.47286821704</c:v>
                </c:pt>
                <c:pt idx="3">
                  <c:v>824671.25327510922</c:v>
                </c:pt>
                <c:pt idx="4">
                  <c:v>944738.546875</c:v>
                </c:pt>
              </c:numCache>
            </c:numRef>
          </c:val>
          <c:extLst>
            <c:ext xmlns:c16="http://schemas.microsoft.com/office/drawing/2014/chart" uri="{C3380CC4-5D6E-409C-BE32-E72D297353CC}">
              <c16:uniqueId val="{00000000-CFAA-4236-9B87-561B8E754563}"/>
            </c:ext>
          </c:extLst>
        </c:ser>
        <c:dLbls>
          <c:showLegendKey val="0"/>
          <c:showVal val="0"/>
          <c:showCatName val="0"/>
          <c:showSerName val="0"/>
          <c:showPercent val="0"/>
          <c:showBubbleSize val="0"/>
        </c:dLbls>
        <c:gapWidth val="150"/>
        <c:overlap val="100"/>
        <c:axId val="980586591"/>
        <c:axId val="980600991"/>
      </c:barChart>
      <c:catAx>
        <c:axId val="98058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0991"/>
        <c:crosses val="autoZero"/>
        <c:auto val="1"/>
        <c:lblAlgn val="ctr"/>
        <c:lblOffset val="100"/>
        <c:noMultiLvlLbl val="0"/>
      </c:catAx>
      <c:valAx>
        <c:axId val="98060099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586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bed!PivotTable3</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solidFill>
                  <a:srgbClr val="4F8123"/>
                </a:solidFill>
              </a:rPr>
              <a:t>Bedrooms By Area Range(4403-5402)</a:t>
            </a:r>
          </a:p>
          <a:p>
            <a:pPr>
              <a:defRPr/>
            </a:pPr>
            <a:endParaRPr lang="en-US"/>
          </a:p>
        </c:rich>
      </c:tx>
      <c:layout>
        <c:manualLayout>
          <c:xMode val="edge"/>
          <c:yMode val="edge"/>
          <c:x val="0.17854837962962963"/>
          <c:y val="4.6297892720306511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 bed'!$B$3</c:f>
              <c:strCache>
                <c:ptCount val="1"/>
                <c:pt idx="0">
                  <c:v>Total</c:v>
                </c:pt>
              </c:strCache>
            </c:strRef>
          </c:tx>
          <c:spPr>
            <a:no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multiLvlStrRef>
              <c:f>'ana bed'!$A$4:$A$10</c:f>
              <c:multiLvlStrCache>
                <c:ptCount val="5"/>
                <c:lvl>
                  <c:pt idx="0">
                    <c:v>1</c:v>
                  </c:pt>
                  <c:pt idx="1">
                    <c:v>2</c:v>
                  </c:pt>
                  <c:pt idx="2">
                    <c:v>3</c:v>
                  </c:pt>
                  <c:pt idx="3">
                    <c:v>4</c:v>
                  </c:pt>
                  <c:pt idx="4">
                    <c:v>5</c:v>
                  </c:pt>
                </c:lvl>
                <c:lvl>
                  <c:pt idx="0">
                    <c:v>4403-5402</c:v>
                  </c:pt>
                </c:lvl>
              </c:multiLvlStrCache>
            </c:multiLvlStrRef>
          </c:cat>
          <c:val>
            <c:numRef>
              <c:f>'ana bed'!$B$4:$B$10</c:f>
              <c:numCache>
                <c:formatCode>General</c:formatCode>
                <c:ptCount val="5"/>
                <c:pt idx="0">
                  <c:v>25</c:v>
                </c:pt>
                <c:pt idx="1">
                  <c:v>18</c:v>
                </c:pt>
                <c:pt idx="2">
                  <c:v>37</c:v>
                </c:pt>
                <c:pt idx="3">
                  <c:v>27</c:v>
                </c:pt>
                <c:pt idx="4">
                  <c:v>21</c:v>
                </c:pt>
              </c:numCache>
            </c:numRef>
          </c:val>
          <c:extLst>
            <c:ext xmlns:c16="http://schemas.microsoft.com/office/drawing/2014/chart" uri="{C3380CC4-5D6E-409C-BE32-E72D297353CC}">
              <c16:uniqueId val="{00000000-0151-4363-9AFB-95DA5C194FDB}"/>
            </c:ext>
          </c:extLst>
        </c:ser>
        <c:dLbls>
          <c:showLegendKey val="0"/>
          <c:showVal val="0"/>
          <c:showCatName val="0"/>
          <c:showSerName val="0"/>
          <c:showPercent val="0"/>
          <c:showBubbleSize val="0"/>
        </c:dLbls>
        <c:gapWidth val="219"/>
        <c:overlap val="-27"/>
        <c:axId val="980595711"/>
        <c:axId val="980606751"/>
      </c:barChart>
      <c:catAx>
        <c:axId val="98059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6751"/>
        <c:crosses val="autoZero"/>
        <c:auto val="1"/>
        <c:lblAlgn val="ctr"/>
        <c:lblOffset val="100"/>
        <c:noMultiLvlLbl val="0"/>
      </c:catAx>
      <c:valAx>
        <c:axId val="9806067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595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Loc!PivotTable4</c:name>
    <c:fmtId val="4"/>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a:solidFill>
                  <a:srgbClr val="4F8123"/>
                </a:solidFill>
              </a:rPr>
              <a:t>Location_Score By Area Range(4403-5402)</a:t>
            </a:r>
          </a:p>
        </c:rich>
      </c:tx>
      <c:layout>
        <c:manualLayout>
          <c:xMode val="edge"/>
          <c:yMode val="edge"/>
          <c:x val="0.15421522309711286"/>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 Loc'!$B$3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 Loc'!$A$4:$A$15</c:f>
              <c:multiLvlStrCache>
                <c:ptCount val="10"/>
                <c:lvl>
                  <c:pt idx="0">
                    <c:v>1</c:v>
                  </c:pt>
                  <c:pt idx="1">
                    <c:v>2</c:v>
                  </c:pt>
                  <c:pt idx="2">
                    <c:v>3</c:v>
                  </c:pt>
                  <c:pt idx="3">
                    <c:v>4</c:v>
                  </c:pt>
                  <c:pt idx="4">
                    <c:v>5</c:v>
                  </c:pt>
                  <c:pt idx="5">
                    <c:v>6</c:v>
                  </c:pt>
                  <c:pt idx="6">
                    <c:v>7</c:v>
                  </c:pt>
                  <c:pt idx="7">
                    <c:v>8</c:v>
                  </c:pt>
                  <c:pt idx="8">
                    <c:v>9</c:v>
                  </c:pt>
                  <c:pt idx="9">
                    <c:v>10</c:v>
                  </c:pt>
                </c:lvl>
                <c:lvl>
                  <c:pt idx="0">
                    <c:v>4403-5402</c:v>
                  </c:pt>
                </c:lvl>
              </c:multiLvlStrCache>
            </c:multiLvlStrRef>
          </c:cat>
          <c:val>
            <c:numRef>
              <c:f>'ana Loc'!$B$4:$B$15</c:f>
              <c:numCache>
                <c:formatCode>General</c:formatCode>
                <c:ptCount val="10"/>
                <c:pt idx="0">
                  <c:v>8</c:v>
                </c:pt>
                <c:pt idx="1">
                  <c:v>14</c:v>
                </c:pt>
                <c:pt idx="2">
                  <c:v>14</c:v>
                </c:pt>
                <c:pt idx="3">
                  <c:v>19</c:v>
                </c:pt>
                <c:pt idx="4">
                  <c:v>16</c:v>
                </c:pt>
                <c:pt idx="5">
                  <c:v>10</c:v>
                </c:pt>
                <c:pt idx="6">
                  <c:v>14</c:v>
                </c:pt>
                <c:pt idx="7">
                  <c:v>11</c:v>
                </c:pt>
                <c:pt idx="8">
                  <c:v>13</c:v>
                </c:pt>
                <c:pt idx="9">
                  <c:v>9</c:v>
                </c:pt>
              </c:numCache>
            </c:numRef>
          </c:val>
          <c:extLst>
            <c:ext xmlns:c16="http://schemas.microsoft.com/office/drawing/2014/chart" uri="{C3380CC4-5D6E-409C-BE32-E72D297353CC}">
              <c16:uniqueId val="{00000000-7FE5-40B5-8AB1-2C42FB03E8EF}"/>
            </c:ext>
          </c:extLst>
        </c:ser>
        <c:dLbls>
          <c:showLegendKey val="0"/>
          <c:showVal val="0"/>
          <c:showCatName val="0"/>
          <c:showSerName val="0"/>
          <c:showPercent val="0"/>
          <c:showBubbleSize val="0"/>
        </c:dLbls>
        <c:gapWidth val="150"/>
        <c:overlap val="100"/>
        <c:axId val="980608191"/>
        <c:axId val="980608671"/>
      </c:barChart>
      <c:catAx>
        <c:axId val="98060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8671"/>
        <c:crosses val="autoZero"/>
        <c:auto val="1"/>
        <c:lblAlgn val="ctr"/>
        <c:lblOffset val="100"/>
        <c:noMultiLvlLbl val="0"/>
      </c:catAx>
      <c:valAx>
        <c:axId val="980608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8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ch1!PivotTable1</c:name>
    <c:fmtId val="3"/>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Area Range</a:t>
            </a:r>
            <a:r>
              <a:rPr lang="en-US" b="1" baseline="0">
                <a:solidFill>
                  <a:srgbClr val="4F8123"/>
                </a:solidFill>
              </a:rPr>
              <a:t> By Average Price</a:t>
            </a:r>
            <a:endParaRPr lang="en-US" b="1">
              <a:solidFill>
                <a:srgbClr val="4F8123"/>
              </a:solidFill>
            </a:endParaRPr>
          </a:p>
        </c:rich>
      </c:tx>
      <c:layout>
        <c:manualLayout>
          <c:xMode val="edge"/>
          <c:yMode val="edge"/>
          <c:x val="0.27502077865266844"/>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 ch1'!$B$3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 ch1'!$A$4:$A$9</c:f>
              <c:strCache>
                <c:ptCount val="5"/>
                <c:pt idx="0">
                  <c:v>403-1402</c:v>
                </c:pt>
                <c:pt idx="1">
                  <c:v>1403-2402</c:v>
                </c:pt>
                <c:pt idx="2">
                  <c:v>2403-3402</c:v>
                </c:pt>
                <c:pt idx="3">
                  <c:v>3403-4402</c:v>
                </c:pt>
                <c:pt idx="4">
                  <c:v>4403-5402</c:v>
                </c:pt>
              </c:strCache>
            </c:strRef>
          </c:cat>
          <c:val>
            <c:numRef>
              <c:f>'trend ch1'!$B$4:$B$9</c:f>
              <c:numCache>
                <c:formatCode>0</c:formatCode>
                <c:ptCount val="5"/>
                <c:pt idx="0">
                  <c:v>481064.08510638296</c:v>
                </c:pt>
                <c:pt idx="1">
                  <c:v>610508.35944700462</c:v>
                </c:pt>
                <c:pt idx="2">
                  <c:v>729727.47286821704</c:v>
                </c:pt>
                <c:pt idx="3">
                  <c:v>824671.25327510922</c:v>
                </c:pt>
                <c:pt idx="4">
                  <c:v>944738.546875</c:v>
                </c:pt>
              </c:numCache>
            </c:numRef>
          </c:val>
          <c:smooth val="0"/>
          <c:extLst>
            <c:ext xmlns:c16="http://schemas.microsoft.com/office/drawing/2014/chart" uri="{C3380CC4-5D6E-409C-BE32-E72D297353CC}">
              <c16:uniqueId val="{00000000-E13C-4B78-9A3A-F30E43DC0067}"/>
            </c:ext>
          </c:extLst>
        </c:ser>
        <c:dLbls>
          <c:showLegendKey val="0"/>
          <c:showVal val="0"/>
          <c:showCatName val="0"/>
          <c:showSerName val="0"/>
          <c:showPercent val="0"/>
          <c:showBubbleSize val="0"/>
        </c:dLbls>
        <c:marker val="1"/>
        <c:smooth val="0"/>
        <c:axId val="638887039"/>
        <c:axId val="638907679"/>
      </c:lineChart>
      <c:catAx>
        <c:axId val="638887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07679"/>
        <c:crosses val="autoZero"/>
        <c:auto val="1"/>
        <c:lblAlgn val="ctr"/>
        <c:lblOffset val="100"/>
        <c:noMultiLvlLbl val="0"/>
      </c:catAx>
      <c:valAx>
        <c:axId val="63890767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887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ch2!PivotTable2</c:name>
    <c:fmtId val="3"/>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Bedrooms</a:t>
            </a:r>
            <a:r>
              <a:rPr lang="en-US" b="1" baseline="0">
                <a:solidFill>
                  <a:srgbClr val="4F8123"/>
                </a:solidFill>
              </a:rPr>
              <a:t> By Average Price</a:t>
            </a:r>
            <a:endParaRPr lang="en-US" b="1">
              <a:solidFill>
                <a:srgbClr val="4F8123"/>
              </a:solidFill>
            </a:endParaRPr>
          </a:p>
        </c:rich>
      </c:tx>
      <c:layout>
        <c:manualLayout>
          <c:xMode val="edge"/>
          <c:yMode val="edge"/>
          <c:x val="0.27600678040244969"/>
          <c:y val="9.2592592592592587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ch2'!$B$3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 ch2'!$A$4:$A$9</c:f>
              <c:strCache>
                <c:ptCount val="5"/>
                <c:pt idx="0">
                  <c:v>1</c:v>
                </c:pt>
                <c:pt idx="1">
                  <c:v>2</c:v>
                </c:pt>
                <c:pt idx="2">
                  <c:v>3</c:v>
                </c:pt>
                <c:pt idx="3">
                  <c:v>4</c:v>
                </c:pt>
                <c:pt idx="4">
                  <c:v>5</c:v>
                </c:pt>
              </c:strCache>
            </c:strRef>
          </c:cat>
          <c:val>
            <c:numRef>
              <c:f>'trend ch2'!$B$4:$B$9</c:f>
              <c:numCache>
                <c:formatCode>0</c:formatCode>
                <c:ptCount val="5"/>
                <c:pt idx="0">
                  <c:v>600126.1308900523</c:v>
                </c:pt>
                <c:pt idx="1">
                  <c:v>652931.58499999996</c:v>
                </c:pt>
                <c:pt idx="2">
                  <c:v>709735.12033195025</c:v>
                </c:pt>
                <c:pt idx="3">
                  <c:v>783609.91752577317</c:v>
                </c:pt>
                <c:pt idx="4">
                  <c:v>787058.78865979379</c:v>
                </c:pt>
              </c:numCache>
            </c:numRef>
          </c:val>
          <c:extLst>
            <c:ext xmlns:c16="http://schemas.microsoft.com/office/drawing/2014/chart" uri="{C3380CC4-5D6E-409C-BE32-E72D297353CC}">
              <c16:uniqueId val="{00000000-5C28-4FB2-9CB4-F74E55C1CF32}"/>
            </c:ext>
          </c:extLst>
        </c:ser>
        <c:dLbls>
          <c:showLegendKey val="0"/>
          <c:showVal val="0"/>
          <c:showCatName val="0"/>
          <c:showSerName val="0"/>
          <c:showPercent val="0"/>
          <c:showBubbleSize val="0"/>
        </c:dLbls>
        <c:gapWidth val="150"/>
        <c:overlap val="100"/>
        <c:axId val="638930239"/>
        <c:axId val="638939359"/>
      </c:barChart>
      <c:catAx>
        <c:axId val="63893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39359"/>
        <c:crosses val="autoZero"/>
        <c:auto val="1"/>
        <c:lblAlgn val="ctr"/>
        <c:lblOffset val="100"/>
        <c:noMultiLvlLbl val="0"/>
      </c:catAx>
      <c:valAx>
        <c:axId val="63893935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30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ch3!PivotTable3</c:name>
    <c:fmtId val="3"/>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Bathrooms</a:t>
            </a:r>
            <a:r>
              <a:rPr lang="en-US" b="1" baseline="0">
                <a:solidFill>
                  <a:srgbClr val="4F8123"/>
                </a:solidFill>
              </a:rPr>
              <a:t> By Average Price</a:t>
            </a:r>
            <a:endParaRPr lang="en-US" b="1">
              <a:solidFill>
                <a:srgbClr val="4F8123"/>
              </a:solidFill>
            </a:endParaRPr>
          </a:p>
        </c:rich>
      </c:tx>
      <c:layout>
        <c:manualLayout>
          <c:xMode val="edge"/>
          <c:yMode val="edge"/>
          <c:x val="0.27003455818022748"/>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'trend ch3'!$B$3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 ch3'!$A$4:$A$8</c:f>
              <c:strCache>
                <c:ptCount val="4"/>
                <c:pt idx="0">
                  <c:v>1</c:v>
                </c:pt>
                <c:pt idx="1">
                  <c:v>2</c:v>
                </c:pt>
                <c:pt idx="2">
                  <c:v>3</c:v>
                </c:pt>
                <c:pt idx="3">
                  <c:v>4</c:v>
                </c:pt>
              </c:strCache>
            </c:strRef>
          </c:cat>
          <c:val>
            <c:numRef>
              <c:f>'trend ch3'!$B$4:$B$8</c:f>
              <c:numCache>
                <c:formatCode>0</c:formatCode>
                <c:ptCount val="4"/>
                <c:pt idx="0">
                  <c:v>639422.19246861921</c:v>
                </c:pt>
                <c:pt idx="1">
                  <c:v>693043.99585062242</c:v>
                </c:pt>
                <c:pt idx="2">
                  <c:v>732428.51310861425</c:v>
                </c:pt>
                <c:pt idx="3">
                  <c:v>752975.75457875454</c:v>
                </c:pt>
              </c:numCache>
            </c:numRef>
          </c:val>
          <c:extLst>
            <c:ext xmlns:c16="http://schemas.microsoft.com/office/drawing/2014/chart" uri="{C3380CC4-5D6E-409C-BE32-E72D297353CC}">
              <c16:uniqueId val="{00000000-F7FE-493C-BCCA-8218283CA8DD}"/>
            </c:ext>
          </c:extLst>
        </c:ser>
        <c:dLbls>
          <c:showLegendKey val="0"/>
          <c:showVal val="0"/>
          <c:showCatName val="0"/>
          <c:showSerName val="0"/>
          <c:showPercent val="0"/>
          <c:showBubbleSize val="0"/>
        </c:dLbls>
        <c:gapWidth val="150"/>
        <c:overlap val="100"/>
        <c:axId val="638942239"/>
        <c:axId val="638926879"/>
      </c:barChart>
      <c:catAx>
        <c:axId val="638942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8926879"/>
        <c:crosses val="autoZero"/>
        <c:auto val="1"/>
        <c:lblAlgn val="ctr"/>
        <c:lblOffset val="100"/>
        <c:noMultiLvlLbl val="0"/>
      </c:catAx>
      <c:valAx>
        <c:axId val="638926879"/>
        <c:scaling>
          <c:orientation val="minMax"/>
        </c:scaling>
        <c:delete val="1"/>
        <c:axPos val="b"/>
        <c:numFmt formatCode="0" sourceLinked="1"/>
        <c:majorTickMark val="none"/>
        <c:minorTickMark val="none"/>
        <c:tickLblPos val="nextTo"/>
        <c:crossAx val="638942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(2).xlsm]trend ch4!PivotTable4</c:name>
    <c:fmtId val="3"/>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b="1">
                <a:solidFill>
                  <a:srgbClr val="4F8123"/>
                </a:solidFill>
              </a:rPr>
              <a:t>Parking</a:t>
            </a:r>
            <a:r>
              <a:rPr lang="en-US" b="1" baseline="0">
                <a:solidFill>
                  <a:srgbClr val="4F8123"/>
                </a:solidFill>
              </a:rPr>
              <a:t> By Average Price</a:t>
            </a:r>
            <a:endParaRPr lang="en-US" b="1">
              <a:solidFill>
                <a:srgbClr val="4F8123"/>
              </a:solidFill>
            </a:endParaRPr>
          </a:p>
        </c:rich>
      </c:tx>
      <c:layout>
        <c:manualLayout>
          <c:xMode val="edge"/>
          <c:yMode val="edge"/>
          <c:x val="0.30097900262467192"/>
          <c:y val="4.6296296296296294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ch4'!$B$3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strRef>
              <c:f>'trend ch4'!$A$4:$A$7</c:f>
              <c:strCache>
                <c:ptCount val="3"/>
                <c:pt idx="0">
                  <c:v>0</c:v>
                </c:pt>
                <c:pt idx="1">
                  <c:v>1</c:v>
                </c:pt>
                <c:pt idx="2">
                  <c:v>2</c:v>
                </c:pt>
              </c:strCache>
            </c:strRef>
          </c:cat>
          <c:val>
            <c:numRef>
              <c:f>'trend ch4'!$B$4:$B$7</c:f>
              <c:numCache>
                <c:formatCode>0</c:formatCode>
                <c:ptCount val="3"/>
                <c:pt idx="0">
                  <c:v>691871.75159235671</c:v>
                </c:pt>
                <c:pt idx="1">
                  <c:v>713288.99195710453</c:v>
                </c:pt>
                <c:pt idx="2">
                  <c:v>713699.03003003006</c:v>
                </c:pt>
              </c:numCache>
            </c:numRef>
          </c:val>
          <c:extLst>
            <c:ext xmlns:c16="http://schemas.microsoft.com/office/drawing/2014/chart" uri="{C3380CC4-5D6E-409C-BE32-E72D297353CC}">
              <c16:uniqueId val="{00000000-8A7B-4099-9926-7E91196402FD}"/>
            </c:ext>
          </c:extLst>
        </c:ser>
        <c:dLbls>
          <c:dLblPos val="ctr"/>
          <c:showLegendKey val="0"/>
          <c:showVal val="1"/>
          <c:showCatName val="0"/>
          <c:showSerName val="0"/>
          <c:showPercent val="0"/>
          <c:showBubbleSize val="0"/>
        </c:dLbls>
        <c:gapWidth val="150"/>
        <c:overlap val="100"/>
        <c:axId val="1472452991"/>
        <c:axId val="1472446271"/>
      </c:barChart>
      <c:catAx>
        <c:axId val="1472452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72446271"/>
        <c:crosses val="autoZero"/>
        <c:auto val="1"/>
        <c:lblAlgn val="ctr"/>
        <c:lblOffset val="100"/>
        <c:noMultiLvlLbl val="0"/>
      </c:catAx>
      <c:valAx>
        <c:axId val="147244627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72452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Loc!PivotTable4</c:name>
    <c:fmtId val="0"/>
  </c:pivotSource>
  <c:chart>
    <c:title>
      <c:tx>
        <c:rich>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r>
              <a:rPr lang="en-US">
                <a:solidFill>
                  <a:srgbClr val="4F8123"/>
                </a:solidFill>
              </a:rPr>
              <a:t>Location_Score By Area Range(4403-5402)</a:t>
            </a:r>
          </a:p>
        </c:rich>
      </c:tx>
      <c:layout>
        <c:manualLayout>
          <c:xMode val="edge"/>
          <c:yMode val="edge"/>
          <c:x val="0.15421522309711286"/>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 Loc'!$B$3</c:f>
              <c:strCache>
                <c:ptCount val="1"/>
                <c:pt idx="0">
                  <c:v>Total</c:v>
                </c:pt>
              </c:strCache>
            </c:strRef>
          </c:tx>
          <c:spPr>
            <a:solidFill>
              <a:srgbClr val="4F8123"/>
            </a:solidFill>
            <a:ln>
              <a:noFill/>
            </a:ln>
            <a:effectLst/>
          </c:spPr>
          <c:invertIfNegative val="0"/>
          <c:cat>
            <c:multiLvlStrRef>
              <c:f>'ana Loc'!$A$4:$A$15</c:f>
              <c:multiLvlStrCache>
                <c:ptCount val="10"/>
                <c:lvl>
                  <c:pt idx="0">
                    <c:v>1</c:v>
                  </c:pt>
                  <c:pt idx="1">
                    <c:v>2</c:v>
                  </c:pt>
                  <c:pt idx="2">
                    <c:v>3</c:v>
                  </c:pt>
                  <c:pt idx="3">
                    <c:v>4</c:v>
                  </c:pt>
                  <c:pt idx="4">
                    <c:v>5</c:v>
                  </c:pt>
                  <c:pt idx="5">
                    <c:v>6</c:v>
                  </c:pt>
                  <c:pt idx="6">
                    <c:v>7</c:v>
                  </c:pt>
                  <c:pt idx="7">
                    <c:v>8</c:v>
                  </c:pt>
                  <c:pt idx="8">
                    <c:v>9</c:v>
                  </c:pt>
                  <c:pt idx="9">
                    <c:v>10</c:v>
                  </c:pt>
                </c:lvl>
                <c:lvl>
                  <c:pt idx="0">
                    <c:v>4403-5402</c:v>
                  </c:pt>
                </c:lvl>
              </c:multiLvlStrCache>
            </c:multiLvlStrRef>
          </c:cat>
          <c:val>
            <c:numRef>
              <c:f>'ana Loc'!$B$4:$B$15</c:f>
              <c:numCache>
                <c:formatCode>General</c:formatCode>
                <c:ptCount val="10"/>
                <c:pt idx="0">
                  <c:v>8</c:v>
                </c:pt>
                <c:pt idx="1">
                  <c:v>14</c:v>
                </c:pt>
                <c:pt idx="2">
                  <c:v>14</c:v>
                </c:pt>
                <c:pt idx="3">
                  <c:v>19</c:v>
                </c:pt>
                <c:pt idx="4">
                  <c:v>16</c:v>
                </c:pt>
                <c:pt idx="5">
                  <c:v>10</c:v>
                </c:pt>
                <c:pt idx="6">
                  <c:v>14</c:v>
                </c:pt>
                <c:pt idx="7">
                  <c:v>11</c:v>
                </c:pt>
                <c:pt idx="8">
                  <c:v>13</c:v>
                </c:pt>
                <c:pt idx="9">
                  <c:v>9</c:v>
                </c:pt>
              </c:numCache>
            </c:numRef>
          </c:val>
          <c:extLst>
            <c:ext xmlns:c16="http://schemas.microsoft.com/office/drawing/2014/chart" uri="{C3380CC4-5D6E-409C-BE32-E72D297353CC}">
              <c16:uniqueId val="{00000000-A826-444A-A8F3-F362CCADC823}"/>
            </c:ext>
          </c:extLst>
        </c:ser>
        <c:dLbls>
          <c:showLegendKey val="0"/>
          <c:showVal val="0"/>
          <c:showCatName val="0"/>
          <c:showSerName val="0"/>
          <c:showPercent val="0"/>
          <c:showBubbleSize val="0"/>
        </c:dLbls>
        <c:gapWidth val="150"/>
        <c:overlap val="100"/>
        <c:axId val="980608191"/>
        <c:axId val="980608671"/>
      </c:barChart>
      <c:catAx>
        <c:axId val="98060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8671"/>
        <c:crosses val="autoZero"/>
        <c:auto val="1"/>
        <c:lblAlgn val="ctr"/>
        <c:lblOffset val="100"/>
        <c:noMultiLvlLbl val="0"/>
      </c:catAx>
      <c:valAx>
        <c:axId val="980608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8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area!PivotTable1</c:name>
    <c:fmtId val="0"/>
  </c:pivotSource>
  <c:chart>
    <c:title>
      <c:tx>
        <c:rich>
          <a:bodyPr rot="0" spcFirstLastPara="1" vertOverflow="ellipsis" vert="horz" wrap="square" anchor="ctr" anchorCtr="1"/>
          <a:lstStyle/>
          <a:p>
            <a:pPr>
              <a:defRPr sz="1400" b="0" i="0" u="none" strike="noStrike" kern="1200" spc="0" baseline="0">
                <a:solidFill>
                  <a:srgbClr val="4F8123"/>
                </a:solidFill>
                <a:latin typeface="+mn-lt"/>
                <a:ea typeface="+mn-ea"/>
                <a:cs typeface="+mn-cs"/>
              </a:defRPr>
            </a:pPr>
            <a:r>
              <a:rPr lang="en-US" b="1">
                <a:solidFill>
                  <a:srgbClr val="4F8123"/>
                </a:solidFill>
              </a:rPr>
              <a:t>Property</a:t>
            </a:r>
            <a:r>
              <a:rPr lang="en-US" b="1" baseline="0">
                <a:solidFill>
                  <a:srgbClr val="4F8123"/>
                </a:solidFill>
              </a:rPr>
              <a:t> Sold By Area Range</a:t>
            </a:r>
            <a:endParaRPr lang="en-US" b="1">
              <a:solidFill>
                <a:srgbClr val="4F8123"/>
              </a:solidFill>
            </a:endParaRPr>
          </a:p>
        </c:rich>
      </c:tx>
      <c:layout>
        <c:manualLayout>
          <c:xMode val="edge"/>
          <c:yMode val="edge"/>
          <c:x val="0.26954855643044617"/>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4F8123"/>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 area'!$B$3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 area'!$A$4:$A$9</c:f>
              <c:strCache>
                <c:ptCount val="5"/>
                <c:pt idx="0">
                  <c:v>403-1402</c:v>
                </c:pt>
                <c:pt idx="1">
                  <c:v>1403-2402</c:v>
                </c:pt>
                <c:pt idx="2">
                  <c:v>2403-3402</c:v>
                </c:pt>
                <c:pt idx="3">
                  <c:v>3403-4402</c:v>
                </c:pt>
                <c:pt idx="4">
                  <c:v>4403-5402</c:v>
                </c:pt>
              </c:strCache>
            </c:strRef>
          </c:cat>
          <c:val>
            <c:numRef>
              <c:f>'ana area'!$B$4:$B$9</c:f>
              <c:numCache>
                <c:formatCode>General</c:formatCode>
                <c:ptCount val="5"/>
                <c:pt idx="0">
                  <c:v>188</c:v>
                </c:pt>
                <c:pt idx="1">
                  <c:v>217</c:v>
                </c:pt>
                <c:pt idx="2">
                  <c:v>258</c:v>
                </c:pt>
                <c:pt idx="3">
                  <c:v>229</c:v>
                </c:pt>
                <c:pt idx="4">
                  <c:v>128</c:v>
                </c:pt>
              </c:numCache>
            </c:numRef>
          </c:val>
          <c:extLst>
            <c:ext xmlns:c16="http://schemas.microsoft.com/office/drawing/2014/chart" uri="{C3380CC4-5D6E-409C-BE32-E72D297353CC}">
              <c16:uniqueId val="{00000000-67C9-4E7C-B46D-D929635A832B}"/>
            </c:ext>
          </c:extLst>
        </c:ser>
        <c:dLbls>
          <c:showLegendKey val="0"/>
          <c:showVal val="0"/>
          <c:showCatName val="0"/>
          <c:showSerName val="0"/>
          <c:showPercent val="0"/>
          <c:showBubbleSize val="0"/>
        </c:dLbls>
        <c:gapWidth val="150"/>
        <c:overlap val="100"/>
        <c:axId val="485497599"/>
        <c:axId val="485482719"/>
      </c:barChart>
      <c:catAx>
        <c:axId val="485497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85482719"/>
        <c:crosses val="autoZero"/>
        <c:auto val="1"/>
        <c:lblAlgn val="ctr"/>
        <c:lblOffset val="100"/>
        <c:noMultiLvlLbl val="0"/>
      </c:catAx>
      <c:valAx>
        <c:axId val="4854827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85497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bed!PivotTable3</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Bedrooms By Area Range</a:t>
            </a:r>
          </a:p>
          <a:p>
            <a:pPr>
              <a:defRPr/>
            </a:pPr>
            <a:endParaRPr lang="en-US"/>
          </a:p>
        </c:rich>
      </c:tx>
      <c:layout>
        <c:manualLayout>
          <c:xMode val="edge"/>
          <c:yMode val="edge"/>
          <c:x val="0.2932012248468942"/>
          <c:y val="4.6296296296296294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 bed'!$B$3</c:f>
              <c:strCache>
                <c:ptCount val="1"/>
                <c:pt idx="0">
                  <c:v>Total</c:v>
                </c:pt>
              </c:strCache>
            </c:strRef>
          </c:tx>
          <c:spPr>
            <a:no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multiLvlStrRef>
              <c:f>'ana bed'!$A$4:$A$10</c:f>
              <c:multiLvlStrCache>
                <c:ptCount val="5"/>
                <c:lvl>
                  <c:pt idx="0">
                    <c:v>1</c:v>
                  </c:pt>
                  <c:pt idx="1">
                    <c:v>2</c:v>
                  </c:pt>
                  <c:pt idx="2">
                    <c:v>3</c:v>
                  </c:pt>
                  <c:pt idx="3">
                    <c:v>4</c:v>
                  </c:pt>
                  <c:pt idx="4">
                    <c:v>5</c:v>
                  </c:pt>
                </c:lvl>
                <c:lvl>
                  <c:pt idx="0">
                    <c:v>4403-5402</c:v>
                  </c:pt>
                </c:lvl>
              </c:multiLvlStrCache>
            </c:multiLvlStrRef>
          </c:cat>
          <c:val>
            <c:numRef>
              <c:f>'ana bed'!$B$4:$B$10</c:f>
              <c:numCache>
                <c:formatCode>General</c:formatCode>
                <c:ptCount val="5"/>
                <c:pt idx="0">
                  <c:v>25</c:v>
                </c:pt>
                <c:pt idx="1">
                  <c:v>18</c:v>
                </c:pt>
                <c:pt idx="2">
                  <c:v>37</c:v>
                </c:pt>
                <c:pt idx="3">
                  <c:v>27</c:v>
                </c:pt>
                <c:pt idx="4">
                  <c:v>21</c:v>
                </c:pt>
              </c:numCache>
            </c:numRef>
          </c:val>
          <c:extLst>
            <c:ext xmlns:c16="http://schemas.microsoft.com/office/drawing/2014/chart" uri="{C3380CC4-5D6E-409C-BE32-E72D297353CC}">
              <c16:uniqueId val="{00000000-5971-48E9-BAA1-A5BE1D22AC24}"/>
            </c:ext>
          </c:extLst>
        </c:ser>
        <c:dLbls>
          <c:showLegendKey val="0"/>
          <c:showVal val="0"/>
          <c:showCatName val="0"/>
          <c:showSerName val="0"/>
          <c:showPercent val="0"/>
          <c:showBubbleSize val="0"/>
        </c:dLbls>
        <c:gapWidth val="219"/>
        <c:overlap val="-27"/>
        <c:axId val="980595711"/>
        <c:axId val="980606751"/>
      </c:barChart>
      <c:catAx>
        <c:axId val="98059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6751"/>
        <c:crosses val="autoZero"/>
        <c:auto val="1"/>
        <c:lblAlgn val="ctr"/>
        <c:lblOffset val="100"/>
        <c:noMultiLvlLbl val="0"/>
      </c:catAx>
      <c:valAx>
        <c:axId val="9806067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595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(2).xlsm]parking2!PivotTable5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rgbClr val="4F8123"/>
                </a:solidFill>
              </a:rPr>
              <a:t>Average Price By Parking</a:t>
            </a:r>
            <a:endParaRPr lang="en-US" b="1">
              <a:solidFill>
                <a:srgbClr val="4F8123"/>
              </a:solidFill>
            </a:endParaRPr>
          </a:p>
        </c:rich>
      </c:tx>
      <c:layout>
        <c:manualLayout>
          <c:xMode val="edge"/>
          <c:yMode val="edge"/>
          <c:x val="0.28834011373578305"/>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parking2!$B$3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F8123"/>
                </a:solidFill>
                <a:round/>
                <a:headEnd type="oval"/>
              </a:ln>
              <a:effectLst/>
            </c:spPr>
          </c:errBars>
          <c:cat>
            <c:strRef>
              <c:f>parking2!$A$4:$A$7</c:f>
              <c:strCache>
                <c:ptCount val="3"/>
                <c:pt idx="0">
                  <c:v>2</c:v>
                </c:pt>
                <c:pt idx="1">
                  <c:v>1</c:v>
                </c:pt>
                <c:pt idx="2">
                  <c:v>0</c:v>
                </c:pt>
              </c:strCache>
            </c:strRef>
          </c:cat>
          <c:val>
            <c:numRef>
              <c:f>parking2!$B$4:$B$7</c:f>
              <c:numCache>
                <c:formatCode>0</c:formatCode>
                <c:ptCount val="3"/>
                <c:pt idx="0">
                  <c:v>713699.03003003006</c:v>
                </c:pt>
                <c:pt idx="1">
                  <c:v>713288.99195710453</c:v>
                </c:pt>
                <c:pt idx="2">
                  <c:v>691871.75159235671</c:v>
                </c:pt>
              </c:numCache>
            </c:numRef>
          </c:val>
          <c:extLst>
            <c:ext xmlns:c16="http://schemas.microsoft.com/office/drawing/2014/chart" uri="{C3380CC4-5D6E-409C-BE32-E72D297353CC}">
              <c16:uniqueId val="{00000000-25D2-473E-B37B-684CFADB596F}"/>
            </c:ext>
          </c:extLst>
        </c:ser>
        <c:dLbls>
          <c:dLblPos val="ctr"/>
          <c:showLegendKey val="0"/>
          <c:showVal val="1"/>
          <c:showCatName val="0"/>
          <c:showSerName val="0"/>
          <c:showPercent val="0"/>
          <c:showBubbleSize val="0"/>
        </c:dLbls>
        <c:gapWidth val="150"/>
        <c:overlap val="100"/>
        <c:axId val="9111055"/>
        <c:axId val="9112495"/>
      </c:barChart>
      <c:catAx>
        <c:axId val="91110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495"/>
        <c:crosses val="autoZero"/>
        <c:auto val="1"/>
        <c:lblAlgn val="ctr"/>
        <c:lblOffset val="100"/>
        <c:noMultiLvlLbl val="0"/>
      </c:catAx>
      <c:valAx>
        <c:axId val="9112495"/>
        <c:scaling>
          <c:orientation val="minMax"/>
        </c:scaling>
        <c:delete val="1"/>
        <c:axPos val="b"/>
        <c:numFmt formatCode="0" sourceLinked="1"/>
        <c:majorTickMark val="none"/>
        <c:minorTickMark val="none"/>
        <c:tickLblPos val="nextTo"/>
        <c:crossAx val="9111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(2).xlsm]age2!PivotTable1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F8123"/>
                </a:solidFill>
              </a:rPr>
              <a:t>Age</a:t>
            </a:r>
            <a:r>
              <a:rPr lang="en-US" b="1" baseline="0">
                <a:solidFill>
                  <a:srgbClr val="4F8123"/>
                </a:solidFill>
              </a:rPr>
              <a:t> By Price</a:t>
            </a:r>
            <a:endParaRPr lang="en-US" b="1">
              <a:solidFill>
                <a:srgbClr val="4F8123"/>
              </a:solidFill>
            </a:endParaRPr>
          </a:p>
        </c:rich>
      </c:tx>
      <c:layout>
        <c:manualLayout>
          <c:xMode val="edge"/>
          <c:yMode val="edge"/>
          <c:x val="0.39459011373578301"/>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F8123"/>
          </a:solidFill>
          <a:ln>
            <a:noFill/>
          </a:ln>
          <a:effectLst/>
        </c:spPr>
        <c:dLbl>
          <c:idx val="0"/>
          <c:layout>
            <c:manualLayout>
              <c:x val="-2.7777777777777779E-3"/>
              <c:y val="-4.16666666666667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'age2'!$B$3</c:f>
              <c:strCache>
                <c:ptCount val="1"/>
                <c:pt idx="0">
                  <c:v>Total</c:v>
                </c:pt>
              </c:strCache>
            </c:strRef>
          </c:tx>
          <c:spPr>
            <a:solidFill>
              <a:srgbClr val="4F8123"/>
            </a:solidFill>
            <a:ln>
              <a:noFill/>
            </a:ln>
            <a:effectLst/>
          </c:spPr>
          <c:invertIfNegative val="0"/>
          <c:dPt>
            <c:idx val="3"/>
            <c:invertIfNegative val="0"/>
            <c:bubble3D val="0"/>
            <c:spPr>
              <a:solidFill>
                <a:srgbClr val="4F8123"/>
              </a:solidFill>
              <a:ln>
                <a:noFill/>
              </a:ln>
              <a:effectLst/>
            </c:spPr>
            <c:extLst>
              <c:ext xmlns:c16="http://schemas.microsoft.com/office/drawing/2014/chart" uri="{C3380CC4-5D6E-409C-BE32-E72D297353CC}">
                <c16:uniqueId val="{00000002-A43B-4891-AF79-615D16E3A34E}"/>
              </c:ext>
            </c:extLst>
          </c:dPt>
          <c:dLbls>
            <c:dLbl>
              <c:idx val="3"/>
              <c:layout>
                <c:manualLayout>
                  <c:x val="-2.7777777777777779E-3"/>
                  <c:y val="-4.166666666666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43B-4891-AF79-615D16E3A34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'age2'!$A$4:$A$12</c:f>
              <c:strCache>
                <c:ptCount val="8"/>
                <c:pt idx="0">
                  <c:v>0-4</c:v>
                </c:pt>
                <c:pt idx="1">
                  <c:v>5-9</c:v>
                </c:pt>
                <c:pt idx="2">
                  <c:v>10-14</c:v>
                </c:pt>
                <c:pt idx="3">
                  <c:v>15-19</c:v>
                </c:pt>
                <c:pt idx="4">
                  <c:v>20-24</c:v>
                </c:pt>
                <c:pt idx="5">
                  <c:v>25-29</c:v>
                </c:pt>
                <c:pt idx="6">
                  <c:v>30-34</c:v>
                </c:pt>
                <c:pt idx="7">
                  <c:v>35-39</c:v>
                </c:pt>
              </c:strCache>
            </c:strRef>
          </c:cat>
          <c:val>
            <c:numRef>
              <c:f>'age2'!$B$4:$B$12</c:f>
              <c:numCache>
                <c:formatCode>0</c:formatCode>
                <c:ptCount val="8"/>
                <c:pt idx="0">
                  <c:v>701946.89075630251</c:v>
                </c:pt>
                <c:pt idx="1">
                  <c:v>766881.62857142859</c:v>
                </c:pt>
                <c:pt idx="2">
                  <c:v>731118.21774193551</c:v>
                </c:pt>
                <c:pt idx="3">
                  <c:v>743323.22131147538</c:v>
                </c:pt>
                <c:pt idx="4">
                  <c:v>686320.21383647795</c:v>
                </c:pt>
                <c:pt idx="5">
                  <c:v>705760.62307692308</c:v>
                </c:pt>
                <c:pt idx="6">
                  <c:v>698512.36585365853</c:v>
                </c:pt>
                <c:pt idx="7">
                  <c:v>643312.62318840576</c:v>
                </c:pt>
              </c:numCache>
            </c:numRef>
          </c:val>
          <c:extLst>
            <c:ext xmlns:c16="http://schemas.microsoft.com/office/drawing/2014/chart" uri="{C3380CC4-5D6E-409C-BE32-E72D297353CC}">
              <c16:uniqueId val="{00000000-A43B-4891-AF79-615D16E3A34E}"/>
            </c:ext>
          </c:extLst>
        </c:ser>
        <c:dLbls>
          <c:showLegendKey val="0"/>
          <c:showVal val="0"/>
          <c:showCatName val="0"/>
          <c:showSerName val="0"/>
          <c:showPercent val="0"/>
          <c:showBubbleSize val="0"/>
        </c:dLbls>
        <c:gapWidth val="219"/>
        <c:overlap val="-27"/>
        <c:axId val="2040473727"/>
        <c:axId val="2040477087"/>
      </c:barChart>
      <c:catAx>
        <c:axId val="204047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40477087"/>
        <c:crosses val="autoZero"/>
        <c:auto val="1"/>
        <c:lblAlgn val="ctr"/>
        <c:lblOffset val="100"/>
        <c:noMultiLvlLbl val="0"/>
      </c:catAx>
      <c:valAx>
        <c:axId val="204047708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40473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[house_price (2).xlsm]ana price!PivotTable2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F8123"/>
                </a:solidFill>
              </a:rPr>
              <a:t>Average</a:t>
            </a:r>
            <a:r>
              <a:rPr lang="en-US" b="1" baseline="0">
                <a:solidFill>
                  <a:srgbClr val="4F8123"/>
                </a:solidFill>
              </a:rPr>
              <a:t> Price By Area Range</a:t>
            </a:r>
            <a:endParaRPr lang="en-US" b="1">
              <a:solidFill>
                <a:srgbClr val="4F8123"/>
              </a:solidFill>
            </a:endParaRPr>
          </a:p>
        </c:rich>
      </c:tx>
      <c:layout>
        <c:manualLayout>
          <c:xMode val="edge"/>
          <c:yMode val="edge"/>
          <c:x val="0.26113188976377955"/>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F812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 price'!$B$3</c:f>
              <c:strCache>
                <c:ptCount val="1"/>
                <c:pt idx="0">
                  <c:v>Total</c:v>
                </c:pt>
              </c:strCache>
            </c:strRef>
          </c:tx>
          <c:spPr>
            <a:solidFill>
              <a:srgbClr val="4F812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 price'!$A$4:$A$9</c:f>
              <c:strCache>
                <c:ptCount val="5"/>
                <c:pt idx="0">
                  <c:v>403-1402</c:v>
                </c:pt>
                <c:pt idx="1">
                  <c:v>1403-2402</c:v>
                </c:pt>
                <c:pt idx="2">
                  <c:v>2403-3402</c:v>
                </c:pt>
                <c:pt idx="3">
                  <c:v>3403-4402</c:v>
                </c:pt>
                <c:pt idx="4">
                  <c:v>4403-5402</c:v>
                </c:pt>
              </c:strCache>
            </c:strRef>
          </c:cat>
          <c:val>
            <c:numRef>
              <c:f>'ana price'!$B$4:$B$9</c:f>
              <c:numCache>
                <c:formatCode>0</c:formatCode>
                <c:ptCount val="5"/>
                <c:pt idx="0">
                  <c:v>481064.08510638296</c:v>
                </c:pt>
                <c:pt idx="1">
                  <c:v>610508.35944700462</c:v>
                </c:pt>
                <c:pt idx="2">
                  <c:v>729727.47286821704</c:v>
                </c:pt>
                <c:pt idx="3">
                  <c:v>824671.25327510922</c:v>
                </c:pt>
                <c:pt idx="4">
                  <c:v>944738.546875</c:v>
                </c:pt>
              </c:numCache>
            </c:numRef>
          </c:val>
          <c:extLst>
            <c:ext xmlns:c16="http://schemas.microsoft.com/office/drawing/2014/chart" uri="{C3380CC4-5D6E-409C-BE32-E72D297353CC}">
              <c16:uniqueId val="{00000000-07A7-4280-BFEA-B69FE603DF91}"/>
            </c:ext>
          </c:extLst>
        </c:ser>
        <c:dLbls>
          <c:showLegendKey val="0"/>
          <c:showVal val="0"/>
          <c:showCatName val="0"/>
          <c:showSerName val="0"/>
          <c:showPercent val="0"/>
          <c:showBubbleSize val="0"/>
        </c:dLbls>
        <c:gapWidth val="150"/>
        <c:overlap val="100"/>
        <c:axId val="980586591"/>
        <c:axId val="980600991"/>
      </c:barChart>
      <c:catAx>
        <c:axId val="98058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600991"/>
        <c:crosses val="autoZero"/>
        <c:auto val="1"/>
        <c:lblAlgn val="ctr"/>
        <c:lblOffset val="100"/>
        <c:noMultiLvlLbl val="0"/>
      </c:catAx>
      <c:valAx>
        <c:axId val="98060099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0586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13.xml"/><Relationship Id="rId3" Type="http://schemas.openxmlformats.org/officeDocument/2006/relationships/hyperlink" Target="#'Trend Analysis'!A1"/><Relationship Id="rId7" Type="http://schemas.openxmlformats.org/officeDocument/2006/relationships/image" Target="../media/image4.png"/><Relationship Id="rId12" Type="http://schemas.openxmlformats.org/officeDocument/2006/relationships/chart" Target="../charts/chart12.xml"/><Relationship Id="rId2" Type="http://schemas.openxmlformats.org/officeDocument/2006/relationships/hyperlink" Target="#Analyze!A1"/><Relationship Id="rId1" Type="http://schemas.openxmlformats.org/officeDocument/2006/relationships/image" Target="../media/image2.png"/><Relationship Id="rId6" Type="http://schemas.openxmlformats.org/officeDocument/2006/relationships/hyperlink" Target="#Dictionary!A1"/><Relationship Id="rId11" Type="http://schemas.openxmlformats.org/officeDocument/2006/relationships/chart" Target="../charts/chart11.xml"/><Relationship Id="rId5" Type="http://schemas.openxmlformats.org/officeDocument/2006/relationships/image" Target="../media/image3.png"/><Relationship Id="rId15" Type="http://schemas.openxmlformats.org/officeDocument/2006/relationships/image" Target="../media/image6.png"/><Relationship Id="rId10" Type="http://schemas.openxmlformats.org/officeDocument/2006/relationships/chart" Target="../charts/chart10.xml"/><Relationship Id="rId4" Type="http://schemas.openxmlformats.org/officeDocument/2006/relationships/hyperlink" Target="#'Key Insights'!A1"/><Relationship Id="rId9" Type="http://schemas.openxmlformats.org/officeDocument/2006/relationships/chart" Target="../charts/chart9.xml"/><Relationship Id="rId14" Type="http://schemas.openxmlformats.org/officeDocument/2006/relationships/chart" Target="../charts/chart14.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hyperlink" Target="#Overview!A1"/><Relationship Id="rId7" Type="http://schemas.openxmlformats.org/officeDocument/2006/relationships/image" Target="../media/image4.png"/><Relationship Id="rId12" Type="http://schemas.openxmlformats.org/officeDocument/2006/relationships/image" Target="../media/image6.png"/><Relationship Id="rId2" Type="http://schemas.openxmlformats.org/officeDocument/2006/relationships/hyperlink" Target="#'Trend Analysis'!A1"/><Relationship Id="rId1" Type="http://schemas.openxmlformats.org/officeDocument/2006/relationships/image" Target="../media/image2.png"/><Relationship Id="rId6" Type="http://schemas.openxmlformats.org/officeDocument/2006/relationships/hyperlink" Target="#Dictionary!A1"/><Relationship Id="rId11" Type="http://schemas.openxmlformats.org/officeDocument/2006/relationships/chart" Target="../charts/chart18.xml"/><Relationship Id="rId5" Type="http://schemas.openxmlformats.org/officeDocument/2006/relationships/image" Target="../media/image3.png"/><Relationship Id="rId10" Type="http://schemas.openxmlformats.org/officeDocument/2006/relationships/chart" Target="../charts/chart17.xml"/><Relationship Id="rId4" Type="http://schemas.openxmlformats.org/officeDocument/2006/relationships/hyperlink" Target="#'Key Insights'!A1"/><Relationship Id="rId9"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hyperlink" Target="#Analyze!A1"/><Relationship Id="rId7" Type="http://schemas.openxmlformats.org/officeDocument/2006/relationships/image" Target="../media/image4.png"/><Relationship Id="rId12" Type="http://schemas.openxmlformats.org/officeDocument/2006/relationships/chart" Target="../charts/chart22.xml"/><Relationship Id="rId2" Type="http://schemas.openxmlformats.org/officeDocument/2006/relationships/hyperlink" Target="#Overview!A1"/><Relationship Id="rId1" Type="http://schemas.openxmlformats.org/officeDocument/2006/relationships/image" Target="../media/image2.png"/><Relationship Id="rId6" Type="http://schemas.openxmlformats.org/officeDocument/2006/relationships/hyperlink" Target="#Dictionary!A1"/><Relationship Id="rId11" Type="http://schemas.openxmlformats.org/officeDocument/2006/relationships/chart" Target="../charts/chart21.xml"/><Relationship Id="rId5" Type="http://schemas.openxmlformats.org/officeDocument/2006/relationships/image" Target="../media/image3.png"/><Relationship Id="rId10" Type="http://schemas.openxmlformats.org/officeDocument/2006/relationships/chart" Target="../charts/chart20.xml"/><Relationship Id="rId4" Type="http://schemas.openxmlformats.org/officeDocument/2006/relationships/hyperlink" Target="#'Key Insights'!A1"/><Relationship Id="rId9"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hyperlink" Target="#'Trend Analysis'!A1"/><Relationship Id="rId7" Type="http://schemas.openxmlformats.org/officeDocument/2006/relationships/hyperlink" Target="#Overview!A1"/><Relationship Id="rId2" Type="http://schemas.openxmlformats.org/officeDocument/2006/relationships/hyperlink" Target="#Analyze!A1"/><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6.png"/><Relationship Id="rId5" Type="http://schemas.openxmlformats.org/officeDocument/2006/relationships/image" Target="../media/image4.png"/><Relationship Id="rId10" Type="http://schemas.openxmlformats.org/officeDocument/2006/relationships/image" Target="../media/image10.png"/><Relationship Id="rId4" Type="http://schemas.openxmlformats.org/officeDocument/2006/relationships/hyperlink" Target="#Dictionary!A1"/><Relationship Id="rId9" Type="http://schemas.openxmlformats.org/officeDocument/2006/relationships/image" Target="../media/image9.png"/></Relationships>
</file>

<file path=xl/drawings/_rels/drawing15.xml.rels><?xml version="1.0" encoding="UTF-8" standalone="yes"?>
<Relationships xmlns="http://schemas.openxmlformats.org/package/2006/relationships"><Relationship Id="rId8" Type="http://schemas.openxmlformats.org/officeDocument/2006/relationships/hyperlink" Target="#Overview!A1"/><Relationship Id="rId3" Type="http://schemas.openxmlformats.org/officeDocument/2006/relationships/hyperlink" Target="#'Trend Analysis'!A1"/><Relationship Id="rId7" Type="http://schemas.openxmlformats.org/officeDocument/2006/relationships/image" Target="../media/image6.png"/><Relationship Id="rId2" Type="http://schemas.openxmlformats.org/officeDocument/2006/relationships/hyperlink" Target="#Analyze!A1"/><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hyperlink" Target="#'Key Insights'!A1"/><Relationship Id="rId4" Type="http://schemas.openxmlformats.org/officeDocument/2006/relationships/image" Target="../media/image4.png"/><Relationship Id="rId9" Type="http://schemas.openxmlformats.org/officeDocument/2006/relationships/image" Target="../media/image11.png"/></Relationships>
</file>

<file path=xl/drawings/_rels/drawing1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xdr:from>
      <xdr:col>2</xdr:col>
      <xdr:colOff>409575</xdr:colOff>
      <xdr:row>3</xdr:row>
      <xdr:rowOff>180975</xdr:rowOff>
    </xdr:from>
    <xdr:to>
      <xdr:col>10</xdr:col>
      <xdr:colOff>104775</xdr:colOff>
      <xdr:row>18</xdr:row>
      <xdr:rowOff>66675</xdr:rowOff>
    </xdr:to>
    <xdr:graphicFrame macro="">
      <xdr:nvGraphicFramePr>
        <xdr:cNvPr id="2" name="Chart 1">
          <a:extLst>
            <a:ext uri="{FF2B5EF4-FFF2-40B4-BE49-F238E27FC236}">
              <a16:creationId xmlns:a16="http://schemas.microsoft.com/office/drawing/2014/main" id="{FC7658D6-79EC-22DB-6780-801371591D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571500</xdr:colOff>
      <xdr:row>2</xdr:row>
      <xdr:rowOff>114300</xdr:rowOff>
    </xdr:from>
    <xdr:to>
      <xdr:col>11</xdr:col>
      <xdr:colOff>266700</xdr:colOff>
      <xdr:row>17</xdr:row>
      <xdr:rowOff>0</xdr:rowOff>
    </xdr:to>
    <xdr:graphicFrame macro="">
      <xdr:nvGraphicFramePr>
        <xdr:cNvPr id="2" name="Chart 1">
          <a:extLst>
            <a:ext uri="{FF2B5EF4-FFF2-40B4-BE49-F238E27FC236}">
              <a16:creationId xmlns:a16="http://schemas.microsoft.com/office/drawing/2014/main" id="{3C0D85BB-2F05-A8E8-A06A-D03DA6201B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409575</xdr:colOff>
      <xdr:row>3</xdr:row>
      <xdr:rowOff>180975</xdr:rowOff>
    </xdr:from>
    <xdr:to>
      <xdr:col>10</xdr:col>
      <xdr:colOff>104775</xdr:colOff>
      <xdr:row>18</xdr:row>
      <xdr:rowOff>66675</xdr:rowOff>
    </xdr:to>
    <xdr:graphicFrame macro="">
      <xdr:nvGraphicFramePr>
        <xdr:cNvPr id="2" name="Chart 1">
          <a:extLst>
            <a:ext uri="{FF2B5EF4-FFF2-40B4-BE49-F238E27FC236}">
              <a16:creationId xmlns:a16="http://schemas.microsoft.com/office/drawing/2014/main" id="{14C5B848-AA42-2381-2AA0-067D7F1AA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409575</xdr:colOff>
      <xdr:row>4</xdr:row>
      <xdr:rowOff>133350</xdr:rowOff>
    </xdr:from>
    <xdr:to>
      <xdr:col>10</xdr:col>
      <xdr:colOff>104775</xdr:colOff>
      <xdr:row>19</xdr:row>
      <xdr:rowOff>19050</xdr:rowOff>
    </xdr:to>
    <xdr:graphicFrame macro="">
      <xdr:nvGraphicFramePr>
        <xdr:cNvPr id="2" name="Chart 1">
          <a:extLst>
            <a:ext uri="{FF2B5EF4-FFF2-40B4-BE49-F238E27FC236}">
              <a16:creationId xmlns:a16="http://schemas.microsoft.com/office/drawing/2014/main" id="{F15A0F37-692E-9952-886F-A53C135D26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381000</xdr:colOff>
      <xdr:row>4</xdr:row>
      <xdr:rowOff>133350</xdr:rowOff>
    </xdr:from>
    <xdr:to>
      <xdr:col>13</xdr:col>
      <xdr:colOff>76200</xdr:colOff>
      <xdr:row>19</xdr:row>
      <xdr:rowOff>19050</xdr:rowOff>
    </xdr:to>
    <xdr:graphicFrame macro="">
      <xdr:nvGraphicFramePr>
        <xdr:cNvPr id="2" name="Chart 1">
          <a:extLst>
            <a:ext uri="{FF2B5EF4-FFF2-40B4-BE49-F238E27FC236}">
              <a16:creationId xmlns:a16="http://schemas.microsoft.com/office/drawing/2014/main" id="{A9D44621-29CA-405D-651E-CF315A5912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323850</xdr:colOff>
      <xdr:row>3</xdr:row>
      <xdr:rowOff>38100</xdr:rowOff>
    </xdr:from>
    <xdr:to>
      <xdr:col>11</xdr:col>
      <xdr:colOff>19050</xdr:colOff>
      <xdr:row>17</xdr:row>
      <xdr:rowOff>114300</xdr:rowOff>
    </xdr:to>
    <xdr:graphicFrame macro="">
      <xdr:nvGraphicFramePr>
        <xdr:cNvPr id="3" name="Chart 2">
          <a:extLst>
            <a:ext uri="{FF2B5EF4-FFF2-40B4-BE49-F238E27FC236}">
              <a16:creationId xmlns:a16="http://schemas.microsoft.com/office/drawing/2014/main" id="{2580A665-5385-00D2-27B6-0D987517A7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571500</xdr:colOff>
      <xdr:row>3</xdr:row>
      <xdr:rowOff>123825</xdr:rowOff>
    </xdr:from>
    <xdr:to>
      <xdr:col>11</xdr:col>
      <xdr:colOff>266700</xdr:colOff>
      <xdr:row>18</xdr:row>
      <xdr:rowOff>9525</xdr:rowOff>
    </xdr:to>
    <xdr:graphicFrame macro="">
      <xdr:nvGraphicFramePr>
        <xdr:cNvPr id="2" name="Chart 1">
          <a:extLst>
            <a:ext uri="{FF2B5EF4-FFF2-40B4-BE49-F238E27FC236}">
              <a16:creationId xmlns:a16="http://schemas.microsoft.com/office/drawing/2014/main" id="{40541B80-799C-5677-02B4-10A6BC2AE0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142875</xdr:colOff>
      <xdr:row>1</xdr:row>
      <xdr:rowOff>152400</xdr:rowOff>
    </xdr:from>
    <xdr:to>
      <xdr:col>11</xdr:col>
      <xdr:colOff>447675</xdr:colOff>
      <xdr:row>16</xdr:row>
      <xdr:rowOff>38100</xdr:rowOff>
    </xdr:to>
    <xdr:graphicFrame macro="">
      <xdr:nvGraphicFramePr>
        <xdr:cNvPr id="2" name="Chart 1">
          <a:extLst>
            <a:ext uri="{FF2B5EF4-FFF2-40B4-BE49-F238E27FC236}">
              <a16:creationId xmlns:a16="http://schemas.microsoft.com/office/drawing/2014/main" id="{DA2E0185-7B77-1C8A-153B-3860B1307A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28575</xdr:colOff>
      <xdr:row>13</xdr:row>
      <xdr:rowOff>171450</xdr:rowOff>
    </xdr:from>
    <xdr:to>
      <xdr:col>15</xdr:col>
      <xdr:colOff>28575</xdr:colOff>
      <xdr:row>27</xdr:row>
      <xdr:rowOff>28575</xdr:rowOff>
    </xdr:to>
    <mc:AlternateContent xmlns:mc="http://schemas.openxmlformats.org/markup-compatibility/2006" xmlns:a14="http://schemas.microsoft.com/office/drawing/2010/main">
      <mc:Choice Requires="a14">
        <xdr:graphicFrame macro="">
          <xdr:nvGraphicFramePr>
            <xdr:cNvPr id="2" name="bedrooms">
              <a:extLst>
                <a:ext uri="{FF2B5EF4-FFF2-40B4-BE49-F238E27FC236}">
                  <a16:creationId xmlns:a16="http://schemas.microsoft.com/office/drawing/2014/main" id="{10BBFB40-FED4-CACD-83C1-5E43EE6A3AEE}"/>
                </a:ext>
              </a:extLst>
            </xdr:cNvPr>
            <xdr:cNvGraphicFramePr/>
          </xdr:nvGraphicFramePr>
          <xdr:xfrm>
            <a:off x="0" y="0"/>
            <a:ext cx="0" cy="0"/>
          </xdr:xfrm>
          <a:graphic>
            <a:graphicData uri="http://schemas.microsoft.com/office/drawing/2010/slicer">
              <sle:slicer xmlns:sle="http://schemas.microsoft.com/office/drawing/2010/slicer" name="bedrooms"/>
            </a:graphicData>
          </a:graphic>
        </xdr:graphicFrame>
      </mc:Choice>
      <mc:Fallback xmlns="">
        <xdr:sp macro="" textlink="">
          <xdr:nvSpPr>
            <xdr:cNvPr id="0" name=""/>
            <xdr:cNvSpPr>
              <a:spLocks noTextEdit="1"/>
            </xdr:cNvSpPr>
          </xdr:nvSpPr>
          <xdr:spPr>
            <a:xfrm>
              <a:off x="8067675" y="2647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171450</xdr:colOff>
      <xdr:row>2</xdr:row>
      <xdr:rowOff>171450</xdr:rowOff>
    </xdr:from>
    <xdr:to>
      <xdr:col>12</xdr:col>
      <xdr:colOff>171450</xdr:colOff>
      <xdr:row>12</xdr:row>
      <xdr:rowOff>28575</xdr:rowOff>
    </xdr:to>
    <mc:AlternateContent xmlns:mc="http://schemas.openxmlformats.org/markup-compatibility/2006" xmlns:a14="http://schemas.microsoft.com/office/drawing/2010/main">
      <mc:Choice Requires="a14">
        <xdr:graphicFrame macro="">
          <xdr:nvGraphicFramePr>
            <xdr:cNvPr id="3" name="bathrooms">
              <a:extLst>
                <a:ext uri="{FF2B5EF4-FFF2-40B4-BE49-F238E27FC236}">
                  <a16:creationId xmlns:a16="http://schemas.microsoft.com/office/drawing/2014/main" id="{DAB36B37-2AAF-C19A-DBF4-A29985352670}"/>
                </a:ext>
              </a:extLst>
            </xdr:cNvPr>
            <xdr:cNvGraphicFramePr/>
          </xdr:nvGraphicFramePr>
          <xdr:xfrm>
            <a:off x="0" y="0"/>
            <a:ext cx="0" cy="0"/>
          </xdr:xfrm>
          <a:graphic>
            <a:graphicData uri="http://schemas.microsoft.com/office/drawing/2010/slicer">
              <sle:slicer xmlns:sle="http://schemas.microsoft.com/office/drawing/2010/slicer" name="bathrooms"/>
            </a:graphicData>
          </a:graphic>
        </xdr:graphicFrame>
      </mc:Choice>
      <mc:Fallback xmlns="">
        <xdr:sp macro="" textlink="">
          <xdr:nvSpPr>
            <xdr:cNvPr id="0" name=""/>
            <xdr:cNvSpPr>
              <a:spLocks noTextEdit="1"/>
            </xdr:cNvSpPr>
          </xdr:nvSpPr>
          <xdr:spPr>
            <a:xfrm>
              <a:off x="6381750" y="552450"/>
              <a:ext cx="1828800" cy="1762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123825</xdr:colOff>
      <xdr:row>2</xdr:row>
      <xdr:rowOff>171450</xdr:rowOff>
    </xdr:from>
    <xdr:to>
      <xdr:col>16</xdr:col>
      <xdr:colOff>123825</xdr:colOff>
      <xdr:row>10</xdr:row>
      <xdr:rowOff>66675</xdr:rowOff>
    </xdr:to>
    <mc:AlternateContent xmlns:mc="http://schemas.openxmlformats.org/markup-compatibility/2006" xmlns:a14="http://schemas.microsoft.com/office/drawing/2010/main">
      <mc:Choice Requires="a14">
        <xdr:graphicFrame macro="">
          <xdr:nvGraphicFramePr>
            <xdr:cNvPr id="4" name="parking">
              <a:extLst>
                <a:ext uri="{FF2B5EF4-FFF2-40B4-BE49-F238E27FC236}">
                  <a16:creationId xmlns:a16="http://schemas.microsoft.com/office/drawing/2014/main" id="{711D05B0-4F9A-B62A-1768-92F0B4A4E410}"/>
                </a:ext>
              </a:extLst>
            </xdr:cNvPr>
            <xdr:cNvGraphicFramePr/>
          </xdr:nvGraphicFramePr>
          <xdr:xfrm>
            <a:off x="0" y="0"/>
            <a:ext cx="0" cy="0"/>
          </xdr:xfrm>
          <a:graphic>
            <a:graphicData uri="http://schemas.microsoft.com/office/drawing/2010/slicer">
              <sle:slicer xmlns:sle="http://schemas.microsoft.com/office/drawing/2010/slicer" name="parking"/>
            </a:graphicData>
          </a:graphic>
        </xdr:graphicFrame>
      </mc:Choice>
      <mc:Fallback xmlns="">
        <xdr:sp macro="" textlink="">
          <xdr:nvSpPr>
            <xdr:cNvPr id="0" name=""/>
            <xdr:cNvSpPr>
              <a:spLocks noTextEdit="1"/>
            </xdr:cNvSpPr>
          </xdr:nvSpPr>
          <xdr:spPr>
            <a:xfrm>
              <a:off x="8772525" y="552450"/>
              <a:ext cx="1828800" cy="1419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276225</xdr:colOff>
      <xdr:row>3</xdr:row>
      <xdr:rowOff>104775</xdr:rowOff>
    </xdr:from>
    <xdr:to>
      <xdr:col>8</xdr:col>
      <xdr:colOff>276225</xdr:colOff>
      <xdr:row>16</xdr:row>
      <xdr:rowOff>152400</xdr:rowOff>
    </xdr:to>
    <mc:AlternateContent xmlns:mc="http://schemas.openxmlformats.org/markup-compatibility/2006" xmlns:a14="http://schemas.microsoft.com/office/drawing/2010/main">
      <mc:Choice Requires="a14">
        <xdr:graphicFrame macro="">
          <xdr:nvGraphicFramePr>
            <xdr:cNvPr id="5" name="location_score">
              <a:extLst>
                <a:ext uri="{FF2B5EF4-FFF2-40B4-BE49-F238E27FC236}">
                  <a16:creationId xmlns:a16="http://schemas.microsoft.com/office/drawing/2014/main" id="{C0060B4D-E025-ED0E-9623-7A95F113B6EC}"/>
                </a:ext>
              </a:extLst>
            </xdr:cNvPr>
            <xdr:cNvGraphicFramePr/>
          </xdr:nvGraphicFramePr>
          <xdr:xfrm>
            <a:off x="0" y="0"/>
            <a:ext cx="0" cy="0"/>
          </xdr:xfrm>
          <a:graphic>
            <a:graphicData uri="http://schemas.microsoft.com/office/drawing/2010/slicer">
              <sle:slicer xmlns:sle="http://schemas.microsoft.com/office/drawing/2010/slicer" name="location_score"/>
            </a:graphicData>
          </a:graphic>
        </xdr:graphicFrame>
      </mc:Choice>
      <mc:Fallback xmlns="">
        <xdr:sp macro="" textlink="">
          <xdr:nvSpPr>
            <xdr:cNvPr id="0" name=""/>
            <xdr:cNvSpPr>
              <a:spLocks noTextEdit="1"/>
            </xdr:cNvSpPr>
          </xdr:nvSpPr>
          <xdr:spPr>
            <a:xfrm>
              <a:off x="4048125" y="6762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152400</xdr:colOff>
      <xdr:row>34</xdr:row>
      <xdr:rowOff>0</xdr:rowOff>
    </xdr:to>
    <xdr:grpSp>
      <xdr:nvGrpSpPr>
        <xdr:cNvPr id="13" name="Group 12">
          <a:extLst>
            <a:ext uri="{FF2B5EF4-FFF2-40B4-BE49-F238E27FC236}">
              <a16:creationId xmlns:a16="http://schemas.microsoft.com/office/drawing/2014/main" id="{C475212E-EB24-A3BB-9F3E-6EC3BCD25A0E}"/>
            </a:ext>
          </a:extLst>
        </xdr:cNvPr>
        <xdr:cNvGrpSpPr/>
      </xdr:nvGrpSpPr>
      <xdr:grpSpPr>
        <a:xfrm>
          <a:off x="0" y="0"/>
          <a:ext cx="2590800" cy="6477000"/>
          <a:chOff x="0" y="0"/>
          <a:chExt cx="2371725" cy="5832000"/>
        </a:xfrm>
      </xdr:grpSpPr>
      <xdr:sp macro="" textlink="">
        <xdr:nvSpPr>
          <xdr:cNvPr id="4" name="Rectangle 3">
            <a:extLst>
              <a:ext uri="{FF2B5EF4-FFF2-40B4-BE49-F238E27FC236}">
                <a16:creationId xmlns:a16="http://schemas.microsoft.com/office/drawing/2014/main" id="{43EC7B9D-1135-E928-7B02-01A51076A87E}"/>
              </a:ext>
            </a:extLst>
          </xdr:cNvPr>
          <xdr:cNvSpPr/>
        </xdr:nvSpPr>
        <xdr:spPr>
          <a:xfrm>
            <a:off x="0" y="0"/>
            <a:ext cx="2371725" cy="5832000"/>
          </a:xfrm>
          <a:prstGeom prst="rect">
            <a:avLst/>
          </a:prstGeom>
          <a:solidFill>
            <a:srgbClr val="70AD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TextBox 4">
            <a:extLst>
              <a:ext uri="{FF2B5EF4-FFF2-40B4-BE49-F238E27FC236}">
                <a16:creationId xmlns:a16="http://schemas.microsoft.com/office/drawing/2014/main" id="{12C94963-E2BD-C288-C4B8-038AF8AC9AB4}"/>
              </a:ext>
            </a:extLst>
          </xdr:cNvPr>
          <xdr:cNvSpPr txBox="1"/>
        </xdr:nvSpPr>
        <xdr:spPr>
          <a:xfrm>
            <a:off x="28576" y="28574"/>
            <a:ext cx="2108789" cy="495301"/>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rgbClr val="4F8123"/>
                </a:solidFill>
                <a:latin typeface="+mj-lt"/>
              </a:rPr>
              <a:t>HOUSE PRICE </a:t>
            </a:r>
            <a:r>
              <a:rPr lang="en-IN" sz="1400" b="1">
                <a:solidFill>
                  <a:srgbClr val="4F8123"/>
                </a:solidFill>
                <a:latin typeface="+mn-lt"/>
              </a:rPr>
              <a:t>DASHBOARD</a:t>
            </a:r>
          </a:p>
        </xdr:txBody>
      </xdr:sp>
      <xdr:pic>
        <xdr:nvPicPr>
          <xdr:cNvPr id="11" name="Picture 10">
            <a:extLst>
              <a:ext uri="{FF2B5EF4-FFF2-40B4-BE49-F238E27FC236}">
                <a16:creationId xmlns:a16="http://schemas.microsoft.com/office/drawing/2014/main" id="{AD513AFE-79B1-88BC-E269-F24C0B761B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94013" y="104775"/>
            <a:ext cx="360000" cy="360000"/>
          </a:xfrm>
          <a:prstGeom prst="rect">
            <a:avLst/>
          </a:prstGeom>
        </xdr:spPr>
      </xdr:pic>
    </xdr:grpSp>
    <xdr:clientData/>
  </xdr:twoCellAnchor>
  <xdr:twoCellAnchor>
    <xdr:from>
      <xdr:col>4</xdr:col>
      <xdr:colOff>514350</xdr:colOff>
      <xdr:row>1</xdr:row>
      <xdr:rowOff>76200</xdr:rowOff>
    </xdr:from>
    <xdr:to>
      <xdr:col>6</xdr:col>
      <xdr:colOff>190500</xdr:colOff>
      <xdr:row>3</xdr:row>
      <xdr:rowOff>127200</xdr:rowOff>
    </xdr:to>
    <mc:AlternateContent xmlns:mc="http://schemas.openxmlformats.org/markup-compatibility/2006" xmlns:a14="http://schemas.microsoft.com/office/drawing/2010/main">
      <mc:Choice Requires="a14">
        <xdr:graphicFrame macro="">
          <xdr:nvGraphicFramePr>
            <xdr:cNvPr id="12" name="bedrooms 1">
              <a:extLst>
                <a:ext uri="{FF2B5EF4-FFF2-40B4-BE49-F238E27FC236}">
                  <a16:creationId xmlns:a16="http://schemas.microsoft.com/office/drawing/2014/main" id="{523CBB80-42F9-4331-ACA9-119F3348444C}"/>
                </a:ext>
              </a:extLst>
            </xdr:cNvPr>
            <xdr:cNvGraphicFramePr/>
          </xdr:nvGraphicFramePr>
          <xdr:xfrm>
            <a:off x="0" y="0"/>
            <a:ext cx="0" cy="0"/>
          </xdr:xfrm>
          <a:graphic>
            <a:graphicData uri="http://schemas.microsoft.com/office/drawing/2010/slicer">
              <sle:slicer xmlns:sle="http://schemas.microsoft.com/office/drawing/2010/slicer" name="bedrooms 1"/>
            </a:graphicData>
          </a:graphic>
        </xdr:graphicFrame>
      </mc:Choice>
      <mc:Fallback xmlns="">
        <xdr:sp macro="" textlink="">
          <xdr:nvSpPr>
            <xdr:cNvPr id="0" name=""/>
            <xdr:cNvSpPr>
              <a:spLocks noTextEdit="1"/>
            </xdr:cNvSpPr>
          </xdr:nvSpPr>
          <xdr:spPr>
            <a:xfrm>
              <a:off x="2952750" y="266700"/>
              <a:ext cx="89535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504825</xdr:colOff>
      <xdr:row>0</xdr:row>
      <xdr:rowOff>47626</xdr:rowOff>
    </xdr:from>
    <xdr:to>
      <xdr:col>6</xdr:col>
      <xdr:colOff>182025</xdr:colOff>
      <xdr:row>1</xdr:row>
      <xdr:rowOff>109126</xdr:rowOff>
    </xdr:to>
    <xdr:sp macro="" textlink="">
      <xdr:nvSpPr>
        <xdr:cNvPr id="15" name="TextBox 14">
          <a:extLst>
            <a:ext uri="{FF2B5EF4-FFF2-40B4-BE49-F238E27FC236}">
              <a16:creationId xmlns:a16="http://schemas.microsoft.com/office/drawing/2014/main" id="{70AE1B38-4C3B-B61B-088A-7A23DE1436E5}"/>
            </a:ext>
          </a:extLst>
        </xdr:cNvPr>
        <xdr:cNvSpPr txBox="1"/>
      </xdr:nvSpPr>
      <xdr:spPr>
        <a:xfrm>
          <a:off x="2943225" y="47626"/>
          <a:ext cx="8964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t>Bedrooms</a:t>
          </a:r>
        </a:p>
      </xdr:txBody>
    </xdr:sp>
    <xdr:clientData/>
  </xdr:twoCellAnchor>
  <xdr:twoCellAnchor>
    <xdr:from>
      <xdr:col>6</xdr:col>
      <xdr:colOff>323850</xdr:colOff>
      <xdr:row>1</xdr:row>
      <xdr:rowOff>85726</xdr:rowOff>
    </xdr:from>
    <xdr:to>
      <xdr:col>8</xdr:col>
      <xdr:colOff>1050</xdr:colOff>
      <xdr:row>3</xdr:row>
      <xdr:rowOff>136726</xdr:rowOff>
    </xdr:to>
    <mc:AlternateContent xmlns:mc="http://schemas.openxmlformats.org/markup-compatibility/2006" xmlns:a14="http://schemas.microsoft.com/office/drawing/2010/main">
      <mc:Choice Requires="a14">
        <xdr:graphicFrame macro="">
          <xdr:nvGraphicFramePr>
            <xdr:cNvPr id="16" name="bathrooms 1">
              <a:extLst>
                <a:ext uri="{FF2B5EF4-FFF2-40B4-BE49-F238E27FC236}">
                  <a16:creationId xmlns:a16="http://schemas.microsoft.com/office/drawing/2014/main" id="{525C3D80-A7CC-4905-9B14-6F0C81670629}"/>
                </a:ext>
              </a:extLst>
            </xdr:cNvPr>
            <xdr:cNvGraphicFramePr/>
          </xdr:nvGraphicFramePr>
          <xdr:xfrm>
            <a:off x="0" y="0"/>
            <a:ext cx="0" cy="0"/>
          </xdr:xfrm>
          <a:graphic>
            <a:graphicData uri="http://schemas.microsoft.com/office/drawing/2010/slicer">
              <sle:slicer xmlns:sle="http://schemas.microsoft.com/office/drawing/2010/slicer" name="bathrooms 1"/>
            </a:graphicData>
          </a:graphic>
        </xdr:graphicFrame>
      </mc:Choice>
      <mc:Fallback xmlns="">
        <xdr:sp macro="" textlink="">
          <xdr:nvSpPr>
            <xdr:cNvPr id="0" name=""/>
            <xdr:cNvSpPr>
              <a:spLocks noTextEdit="1"/>
            </xdr:cNvSpPr>
          </xdr:nvSpPr>
          <xdr:spPr>
            <a:xfrm>
              <a:off x="3981450" y="276226"/>
              <a:ext cx="8964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323850</xdr:colOff>
      <xdr:row>0</xdr:row>
      <xdr:rowOff>47625</xdr:rowOff>
    </xdr:from>
    <xdr:to>
      <xdr:col>8</xdr:col>
      <xdr:colOff>1050</xdr:colOff>
      <xdr:row>1</xdr:row>
      <xdr:rowOff>109125</xdr:rowOff>
    </xdr:to>
    <xdr:sp macro="" textlink="">
      <xdr:nvSpPr>
        <xdr:cNvPr id="19" name="TextBox 18">
          <a:extLst>
            <a:ext uri="{FF2B5EF4-FFF2-40B4-BE49-F238E27FC236}">
              <a16:creationId xmlns:a16="http://schemas.microsoft.com/office/drawing/2014/main" id="{B7FA2FCD-02C6-C83E-E0C4-376F37F57C93}"/>
            </a:ext>
          </a:extLst>
        </xdr:cNvPr>
        <xdr:cNvSpPr txBox="1"/>
      </xdr:nvSpPr>
      <xdr:spPr>
        <a:xfrm>
          <a:off x="3981450" y="47625"/>
          <a:ext cx="8964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Bathrooms</a:t>
          </a:r>
        </a:p>
      </xdr:txBody>
    </xdr:sp>
    <xdr:clientData/>
  </xdr:twoCellAnchor>
  <xdr:twoCellAnchor>
    <xdr:from>
      <xdr:col>8</xdr:col>
      <xdr:colOff>133350</xdr:colOff>
      <xdr:row>0</xdr:row>
      <xdr:rowOff>47625</xdr:rowOff>
    </xdr:from>
    <xdr:to>
      <xdr:col>9</xdr:col>
      <xdr:colOff>420150</xdr:colOff>
      <xdr:row>3</xdr:row>
      <xdr:rowOff>155775</xdr:rowOff>
    </xdr:to>
    <xdr:grpSp>
      <xdr:nvGrpSpPr>
        <xdr:cNvPr id="26" name="Group 25">
          <a:extLst>
            <a:ext uri="{FF2B5EF4-FFF2-40B4-BE49-F238E27FC236}">
              <a16:creationId xmlns:a16="http://schemas.microsoft.com/office/drawing/2014/main" id="{97C1B9A7-9A94-5AE5-2D49-4D5483632D9A}"/>
            </a:ext>
          </a:extLst>
        </xdr:cNvPr>
        <xdr:cNvGrpSpPr/>
      </xdr:nvGrpSpPr>
      <xdr:grpSpPr>
        <a:xfrm>
          <a:off x="5010150" y="47625"/>
          <a:ext cx="896400" cy="679650"/>
          <a:chOff x="5010150" y="47625"/>
          <a:chExt cx="896400" cy="679650"/>
        </a:xfrm>
      </xdr:grpSpPr>
      <mc:AlternateContent xmlns:mc="http://schemas.openxmlformats.org/markup-compatibility/2006" xmlns:a14="http://schemas.microsoft.com/office/drawing/2010/main">
        <mc:Choice Requires="a14">
          <xdr:graphicFrame macro="">
            <xdr:nvGraphicFramePr>
              <xdr:cNvPr id="20" name="parking 1">
                <a:extLst>
                  <a:ext uri="{FF2B5EF4-FFF2-40B4-BE49-F238E27FC236}">
                    <a16:creationId xmlns:a16="http://schemas.microsoft.com/office/drawing/2014/main" id="{8EC1925A-3661-4B0F-9C18-08D0B63F07E3}"/>
                  </a:ext>
                </a:extLst>
              </xdr:cNvPr>
              <xdr:cNvGraphicFramePr/>
            </xdr:nvGraphicFramePr>
            <xdr:xfrm>
              <a:off x="5010150" y="295275"/>
              <a:ext cx="896400" cy="432000"/>
            </xdr:xfrm>
            <a:graphic>
              <a:graphicData uri="http://schemas.microsoft.com/office/drawing/2010/slicer">
                <sle:slicer xmlns:sle="http://schemas.microsoft.com/office/drawing/2010/slicer" name="parking 1"/>
              </a:graphicData>
            </a:graphic>
          </xdr:graphicFrame>
        </mc:Choice>
        <mc:Fallback xmlns="">
          <xdr:sp macro="" textlink="">
            <xdr:nvSpPr>
              <xdr:cNvPr id="0" name=""/>
              <xdr:cNvSpPr>
                <a:spLocks noTextEdit="1"/>
              </xdr:cNvSpPr>
            </xdr:nvSpPr>
            <xdr:spPr>
              <a:xfrm>
                <a:off x="5010150" y="295275"/>
                <a:ext cx="8964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1" name="TextBox 20">
            <a:extLst>
              <a:ext uri="{FF2B5EF4-FFF2-40B4-BE49-F238E27FC236}">
                <a16:creationId xmlns:a16="http://schemas.microsoft.com/office/drawing/2014/main" id="{46A2F04B-298C-D86D-33FB-230B4367DA10}"/>
              </a:ext>
            </a:extLst>
          </xdr:cNvPr>
          <xdr:cNvSpPr txBox="1"/>
        </xdr:nvSpPr>
        <xdr:spPr>
          <a:xfrm>
            <a:off x="5010150" y="47625"/>
            <a:ext cx="8964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Parking</a:t>
            </a:r>
          </a:p>
        </xdr:txBody>
      </xdr:sp>
    </xdr:grpSp>
    <xdr:clientData/>
  </xdr:twoCellAnchor>
  <xdr:twoCellAnchor>
    <xdr:from>
      <xdr:col>9</xdr:col>
      <xdr:colOff>561975</xdr:colOff>
      <xdr:row>0</xdr:row>
      <xdr:rowOff>47625</xdr:rowOff>
    </xdr:from>
    <xdr:to>
      <xdr:col>11</xdr:col>
      <xdr:colOff>386775</xdr:colOff>
      <xdr:row>3</xdr:row>
      <xdr:rowOff>136725</xdr:rowOff>
    </xdr:to>
    <xdr:grpSp>
      <xdr:nvGrpSpPr>
        <xdr:cNvPr id="27" name="Group 26">
          <a:extLst>
            <a:ext uri="{FF2B5EF4-FFF2-40B4-BE49-F238E27FC236}">
              <a16:creationId xmlns:a16="http://schemas.microsoft.com/office/drawing/2014/main" id="{713582F9-4B9A-48AE-091A-D15A3539B6B5}"/>
            </a:ext>
          </a:extLst>
        </xdr:cNvPr>
        <xdr:cNvGrpSpPr/>
      </xdr:nvGrpSpPr>
      <xdr:grpSpPr>
        <a:xfrm>
          <a:off x="6048375" y="47625"/>
          <a:ext cx="1044000" cy="660600"/>
          <a:chOff x="6048375" y="47625"/>
          <a:chExt cx="1044000" cy="660600"/>
        </a:xfrm>
      </xdr:grpSpPr>
      <mc:AlternateContent xmlns:mc="http://schemas.openxmlformats.org/markup-compatibility/2006" xmlns:a14="http://schemas.microsoft.com/office/drawing/2010/main">
        <mc:Choice Requires="a14">
          <xdr:graphicFrame macro="">
            <xdr:nvGraphicFramePr>
              <xdr:cNvPr id="22" name="location_score 1">
                <a:extLst>
                  <a:ext uri="{FF2B5EF4-FFF2-40B4-BE49-F238E27FC236}">
                    <a16:creationId xmlns:a16="http://schemas.microsoft.com/office/drawing/2014/main" id="{3720889C-529F-47E0-A7B7-41A7B40BB3DE}"/>
                  </a:ext>
                </a:extLst>
              </xdr:cNvPr>
              <xdr:cNvGraphicFramePr/>
            </xdr:nvGraphicFramePr>
            <xdr:xfrm>
              <a:off x="6048375" y="276225"/>
              <a:ext cx="1044000" cy="432000"/>
            </xdr:xfrm>
            <a:graphic>
              <a:graphicData uri="http://schemas.microsoft.com/office/drawing/2010/slicer">
                <sle:slicer xmlns:sle="http://schemas.microsoft.com/office/drawing/2010/slicer" name="location_score 1"/>
              </a:graphicData>
            </a:graphic>
          </xdr:graphicFrame>
        </mc:Choice>
        <mc:Fallback xmlns="">
          <xdr:sp macro="" textlink="">
            <xdr:nvSpPr>
              <xdr:cNvPr id="0" name=""/>
              <xdr:cNvSpPr>
                <a:spLocks noTextEdit="1"/>
              </xdr:cNvSpPr>
            </xdr:nvSpPr>
            <xdr:spPr>
              <a:xfrm>
                <a:off x="6048375" y="276225"/>
                <a:ext cx="10440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a:extLst>
              <a:ext uri="{FF2B5EF4-FFF2-40B4-BE49-F238E27FC236}">
                <a16:creationId xmlns:a16="http://schemas.microsoft.com/office/drawing/2014/main" id="{3E0D8C69-2A95-C0D1-98AA-4F127DEDE927}"/>
              </a:ext>
            </a:extLst>
          </xdr:cNvPr>
          <xdr:cNvSpPr txBox="1"/>
        </xdr:nvSpPr>
        <xdr:spPr>
          <a:xfrm>
            <a:off x="6048375" y="47625"/>
            <a:ext cx="10440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Location</a:t>
            </a:r>
            <a:r>
              <a:rPr lang="en-IN" sz="1100" baseline="0"/>
              <a:t> Score</a:t>
            </a:r>
          </a:p>
          <a:p>
            <a:endParaRPr lang="en-IN"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588000</xdr:colOff>
      <xdr:row>3</xdr:row>
      <xdr:rowOff>148500</xdr:rowOff>
    </xdr:to>
    <xdr:grpSp>
      <xdr:nvGrpSpPr>
        <xdr:cNvPr id="18" name="Group 17">
          <a:extLst>
            <a:ext uri="{FF2B5EF4-FFF2-40B4-BE49-F238E27FC236}">
              <a16:creationId xmlns:a16="http://schemas.microsoft.com/office/drawing/2014/main" id="{130F7535-09D9-BC7B-DFA1-603A639B5023}"/>
            </a:ext>
          </a:extLst>
        </xdr:cNvPr>
        <xdr:cNvGrpSpPr/>
      </xdr:nvGrpSpPr>
      <xdr:grpSpPr>
        <a:xfrm>
          <a:off x="0" y="0"/>
          <a:ext cx="12780000" cy="720000"/>
          <a:chOff x="0" y="0"/>
          <a:chExt cx="12564000" cy="720000"/>
        </a:xfrm>
      </xdr:grpSpPr>
      <xdr:sp macro="" textlink="">
        <xdr:nvSpPr>
          <xdr:cNvPr id="2" name="Rectangle: Rounded Corners 1">
            <a:extLst>
              <a:ext uri="{FF2B5EF4-FFF2-40B4-BE49-F238E27FC236}">
                <a16:creationId xmlns:a16="http://schemas.microsoft.com/office/drawing/2014/main" id="{860CB297-4FC7-1E1D-3878-E036CCB89C0B}"/>
              </a:ext>
            </a:extLst>
          </xdr:cNvPr>
          <xdr:cNvSpPr/>
        </xdr:nvSpPr>
        <xdr:spPr>
          <a:xfrm>
            <a:off x="0" y="0"/>
            <a:ext cx="12564000" cy="720000"/>
          </a:xfrm>
          <a:prstGeom prst="roundRect">
            <a:avLst/>
          </a:prstGeom>
          <a:solidFill>
            <a:srgbClr val="70AD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TextBox 2">
            <a:extLst>
              <a:ext uri="{FF2B5EF4-FFF2-40B4-BE49-F238E27FC236}">
                <a16:creationId xmlns:a16="http://schemas.microsoft.com/office/drawing/2014/main" id="{05248A3E-8A2A-6E58-13D1-8BB5FFA4CC26}"/>
              </a:ext>
            </a:extLst>
          </xdr:cNvPr>
          <xdr:cNvSpPr txBox="1"/>
        </xdr:nvSpPr>
        <xdr:spPr>
          <a:xfrm>
            <a:off x="38099" y="28575"/>
            <a:ext cx="2736000" cy="670125"/>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a:solidFill>
                  <a:srgbClr val="4F8123"/>
                </a:solidFill>
              </a:rPr>
              <a:t>HOUSE PRICE DASHBOARD</a:t>
            </a:r>
          </a:p>
        </xdr:txBody>
      </xdr:sp>
      <xdr:pic>
        <xdr:nvPicPr>
          <xdr:cNvPr id="5" name="Picture 4">
            <a:extLst>
              <a:ext uri="{FF2B5EF4-FFF2-40B4-BE49-F238E27FC236}">
                <a16:creationId xmlns:a16="http://schemas.microsoft.com/office/drawing/2014/main" id="{D3F845B8-4788-7FB5-0366-3B3B41CE10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95575" y="209550"/>
            <a:ext cx="360000" cy="360000"/>
          </a:xfrm>
          <a:prstGeom prst="rect">
            <a:avLst/>
          </a:prstGeom>
        </xdr:spPr>
      </xdr:pic>
      <xdr:sp macro="" textlink="">
        <xdr:nvSpPr>
          <xdr:cNvPr id="6" name="TextBox 5">
            <a:extLst>
              <a:ext uri="{FF2B5EF4-FFF2-40B4-BE49-F238E27FC236}">
                <a16:creationId xmlns:a16="http://schemas.microsoft.com/office/drawing/2014/main" id="{392BD07B-D408-C5AE-74E5-52B1ADAB955C}"/>
              </a:ext>
            </a:extLst>
          </xdr:cNvPr>
          <xdr:cNvSpPr txBox="1"/>
        </xdr:nvSpPr>
        <xdr:spPr>
          <a:xfrm>
            <a:off x="4981575" y="28574"/>
            <a:ext cx="2019300" cy="685801"/>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F8123"/>
                </a:solidFill>
              </a:rPr>
              <a:t>OVERVIEW</a:t>
            </a:r>
          </a:p>
        </xdr:txBody>
      </xdr:sp>
      <xdr:sp macro="" textlink="">
        <xdr:nvSpPr>
          <xdr:cNvPr id="7" name="TextBox 6">
            <a:hlinkClick xmlns:r="http://schemas.openxmlformats.org/officeDocument/2006/relationships" r:id="rId2"/>
            <a:extLst>
              <a:ext uri="{FF2B5EF4-FFF2-40B4-BE49-F238E27FC236}">
                <a16:creationId xmlns:a16="http://schemas.microsoft.com/office/drawing/2014/main" id="{B1EA1C9F-7E94-A223-C239-36719C283E33}"/>
              </a:ext>
            </a:extLst>
          </xdr:cNvPr>
          <xdr:cNvSpPr txBox="1"/>
        </xdr:nvSpPr>
        <xdr:spPr>
          <a:xfrm>
            <a:off x="7886701" y="19051"/>
            <a:ext cx="876299" cy="695324"/>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ANALYZE</a:t>
            </a:r>
          </a:p>
        </xdr:txBody>
      </xdr:sp>
      <xdr:sp macro="" textlink="">
        <xdr:nvSpPr>
          <xdr:cNvPr id="8" name="TextBox 7">
            <a:hlinkClick xmlns:r="http://schemas.openxmlformats.org/officeDocument/2006/relationships" r:id="rId3"/>
            <a:extLst>
              <a:ext uri="{FF2B5EF4-FFF2-40B4-BE49-F238E27FC236}">
                <a16:creationId xmlns:a16="http://schemas.microsoft.com/office/drawing/2014/main" id="{515D0F5F-310B-FFEA-8E98-5B4A298849C0}"/>
              </a:ext>
            </a:extLst>
          </xdr:cNvPr>
          <xdr:cNvSpPr txBox="1"/>
        </xdr:nvSpPr>
        <xdr:spPr>
          <a:xfrm>
            <a:off x="9144000" y="28576"/>
            <a:ext cx="1485900" cy="666750"/>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TREND ANALYSIS</a:t>
            </a:r>
          </a:p>
        </xdr:txBody>
      </xdr:sp>
      <xdr:pic>
        <xdr:nvPicPr>
          <xdr:cNvPr id="10" name="Picture 9">
            <a:hlinkClick xmlns:r="http://schemas.openxmlformats.org/officeDocument/2006/relationships" r:id="rId4"/>
            <a:extLst>
              <a:ext uri="{FF2B5EF4-FFF2-40B4-BE49-F238E27FC236}">
                <a16:creationId xmlns:a16="http://schemas.microsoft.com/office/drawing/2014/main" id="{9CEEC9C3-7C07-E62C-6AA0-B56E27E35D7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96625" y="180975"/>
            <a:ext cx="360000" cy="360000"/>
          </a:xfrm>
          <a:prstGeom prst="rect">
            <a:avLst/>
          </a:prstGeom>
        </xdr:spPr>
      </xdr:pic>
      <xdr:pic>
        <xdr:nvPicPr>
          <xdr:cNvPr id="12" name="Picture 11">
            <a:hlinkClick xmlns:r="http://schemas.openxmlformats.org/officeDocument/2006/relationships" r:id="rId6"/>
            <a:extLst>
              <a:ext uri="{FF2B5EF4-FFF2-40B4-BE49-F238E27FC236}">
                <a16:creationId xmlns:a16="http://schemas.microsoft.com/office/drawing/2014/main" id="{4E7C2579-EC73-23C1-F418-9C47D6F529A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868150" y="190500"/>
            <a:ext cx="360000" cy="360000"/>
          </a:xfrm>
          <a:prstGeom prst="rect">
            <a:avLst/>
          </a:prstGeom>
        </xdr:spPr>
      </xdr:pic>
    </xdr:grpSp>
    <xdr:clientData/>
  </xdr:twoCellAnchor>
  <xdr:twoCellAnchor>
    <xdr:from>
      <xdr:col>0</xdr:col>
      <xdr:colOff>0</xdr:colOff>
      <xdr:row>5</xdr:row>
      <xdr:rowOff>0</xdr:rowOff>
    </xdr:from>
    <xdr:to>
      <xdr:col>1</xdr:col>
      <xdr:colOff>286800</xdr:colOff>
      <xdr:row>8</xdr:row>
      <xdr:rowOff>108150</xdr:rowOff>
    </xdr:to>
    <xdr:grpSp>
      <xdr:nvGrpSpPr>
        <xdr:cNvPr id="17" name="Group 16">
          <a:extLst>
            <a:ext uri="{FF2B5EF4-FFF2-40B4-BE49-F238E27FC236}">
              <a16:creationId xmlns:a16="http://schemas.microsoft.com/office/drawing/2014/main" id="{FB3152D5-B48D-5CDE-5EA6-1723F58F31C1}"/>
            </a:ext>
          </a:extLst>
        </xdr:cNvPr>
        <xdr:cNvGrpSpPr/>
      </xdr:nvGrpSpPr>
      <xdr:grpSpPr>
        <a:xfrm>
          <a:off x="0" y="952500"/>
          <a:ext cx="896400" cy="679650"/>
          <a:chOff x="0" y="1066800"/>
          <a:chExt cx="896400" cy="679650"/>
        </a:xfrm>
      </xdr:grpSpPr>
      <mc:AlternateContent xmlns:mc="http://schemas.openxmlformats.org/markup-compatibility/2006" xmlns:a14="http://schemas.microsoft.com/office/drawing/2010/main">
        <mc:Choice Requires="a14">
          <xdr:graphicFrame macro="">
            <xdr:nvGraphicFramePr>
              <xdr:cNvPr id="15" name="bedrooms 2">
                <a:extLst>
                  <a:ext uri="{FF2B5EF4-FFF2-40B4-BE49-F238E27FC236}">
                    <a16:creationId xmlns:a16="http://schemas.microsoft.com/office/drawing/2014/main" id="{79E18902-37D3-4994-BBAA-C0A4190C1C3A}"/>
                  </a:ext>
                </a:extLst>
              </xdr:cNvPr>
              <xdr:cNvGraphicFramePr/>
            </xdr:nvGraphicFramePr>
            <xdr:xfrm>
              <a:off x="0" y="1314450"/>
              <a:ext cx="896400" cy="432000"/>
            </xdr:xfrm>
            <a:graphic>
              <a:graphicData uri="http://schemas.microsoft.com/office/drawing/2010/slicer">
                <sle:slicer xmlns:sle="http://schemas.microsoft.com/office/drawing/2010/slicer" name="bedrooms 2"/>
              </a:graphicData>
            </a:graphic>
          </xdr:graphicFrame>
        </mc:Choice>
        <mc:Fallback xmlns="">
          <xdr:sp macro="" textlink="">
            <xdr:nvSpPr>
              <xdr:cNvPr id="0" name=""/>
              <xdr:cNvSpPr>
                <a:spLocks noTextEdit="1"/>
              </xdr:cNvSpPr>
            </xdr:nvSpPr>
            <xdr:spPr>
              <a:xfrm>
                <a:off x="0" y="1200150"/>
                <a:ext cx="8964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6" name="TextBox 15">
            <a:extLst>
              <a:ext uri="{FF2B5EF4-FFF2-40B4-BE49-F238E27FC236}">
                <a16:creationId xmlns:a16="http://schemas.microsoft.com/office/drawing/2014/main" id="{729D6C29-09C6-98B1-AA88-12915F8779AE}"/>
              </a:ext>
            </a:extLst>
          </xdr:cNvPr>
          <xdr:cNvSpPr txBox="1"/>
        </xdr:nvSpPr>
        <xdr:spPr>
          <a:xfrm>
            <a:off x="0" y="1066800"/>
            <a:ext cx="8964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Bedrooms</a:t>
            </a:r>
          </a:p>
          <a:p>
            <a:endParaRPr lang="en-IN" sz="1100"/>
          </a:p>
        </xdr:txBody>
      </xdr:sp>
    </xdr:grpSp>
    <xdr:clientData/>
  </xdr:twoCellAnchor>
  <xdr:twoCellAnchor>
    <xdr:from>
      <xdr:col>0</xdr:col>
      <xdr:colOff>0</xdr:colOff>
      <xdr:row>11</xdr:row>
      <xdr:rowOff>0</xdr:rowOff>
    </xdr:from>
    <xdr:to>
      <xdr:col>1</xdr:col>
      <xdr:colOff>286800</xdr:colOff>
      <xdr:row>14</xdr:row>
      <xdr:rowOff>89100</xdr:rowOff>
    </xdr:to>
    <xdr:grpSp>
      <xdr:nvGrpSpPr>
        <xdr:cNvPr id="25" name="Group 24">
          <a:extLst>
            <a:ext uri="{FF2B5EF4-FFF2-40B4-BE49-F238E27FC236}">
              <a16:creationId xmlns:a16="http://schemas.microsoft.com/office/drawing/2014/main" id="{718B5786-5420-728F-04E8-A4489531E0D6}"/>
            </a:ext>
          </a:extLst>
        </xdr:cNvPr>
        <xdr:cNvGrpSpPr/>
      </xdr:nvGrpSpPr>
      <xdr:grpSpPr>
        <a:xfrm>
          <a:off x="0" y="2095500"/>
          <a:ext cx="896400" cy="660600"/>
          <a:chOff x="0" y="1733550"/>
          <a:chExt cx="896400" cy="660600"/>
        </a:xfrm>
      </xdr:grpSpPr>
      <mc:AlternateContent xmlns:mc="http://schemas.openxmlformats.org/markup-compatibility/2006" xmlns:a14="http://schemas.microsoft.com/office/drawing/2010/main">
        <mc:Choice Requires="a14">
          <xdr:graphicFrame macro="">
            <xdr:nvGraphicFramePr>
              <xdr:cNvPr id="20" name="bathrooms 2">
                <a:extLst>
                  <a:ext uri="{FF2B5EF4-FFF2-40B4-BE49-F238E27FC236}">
                    <a16:creationId xmlns:a16="http://schemas.microsoft.com/office/drawing/2014/main" id="{5A710B1B-134C-4B73-82E7-C4F4732DABA9}"/>
                  </a:ext>
                </a:extLst>
              </xdr:cNvPr>
              <xdr:cNvGraphicFramePr/>
            </xdr:nvGraphicFramePr>
            <xdr:xfrm>
              <a:off x="0" y="1962150"/>
              <a:ext cx="896400" cy="432000"/>
            </xdr:xfrm>
            <a:graphic>
              <a:graphicData uri="http://schemas.microsoft.com/office/drawing/2010/slicer">
                <sle:slicer xmlns:sle="http://schemas.microsoft.com/office/drawing/2010/slicer" name="bathrooms 2"/>
              </a:graphicData>
            </a:graphic>
          </xdr:graphicFrame>
        </mc:Choice>
        <mc:Fallback xmlns="">
          <xdr:sp macro="" textlink="">
            <xdr:nvSpPr>
              <xdr:cNvPr id="0" name=""/>
              <xdr:cNvSpPr>
                <a:spLocks noTextEdit="1"/>
              </xdr:cNvSpPr>
            </xdr:nvSpPr>
            <xdr:spPr>
              <a:xfrm>
                <a:off x="0" y="2324100"/>
                <a:ext cx="8964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a:extLst>
              <a:ext uri="{FF2B5EF4-FFF2-40B4-BE49-F238E27FC236}">
                <a16:creationId xmlns:a16="http://schemas.microsoft.com/office/drawing/2014/main" id="{C1E8D4E9-9946-2A2C-2F52-41693AC5D46D}"/>
              </a:ext>
            </a:extLst>
          </xdr:cNvPr>
          <xdr:cNvSpPr txBox="1"/>
        </xdr:nvSpPr>
        <xdr:spPr>
          <a:xfrm>
            <a:off x="0" y="1733550"/>
            <a:ext cx="8964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Bathrooms</a:t>
            </a:r>
          </a:p>
          <a:p>
            <a:endParaRPr lang="en-IN" sz="1100"/>
          </a:p>
        </xdr:txBody>
      </xdr:sp>
    </xdr:grpSp>
    <xdr:clientData/>
  </xdr:twoCellAnchor>
  <xdr:twoCellAnchor>
    <xdr:from>
      <xdr:col>0</xdr:col>
      <xdr:colOff>0</xdr:colOff>
      <xdr:row>17</xdr:row>
      <xdr:rowOff>9525</xdr:rowOff>
    </xdr:from>
    <xdr:to>
      <xdr:col>1</xdr:col>
      <xdr:colOff>286800</xdr:colOff>
      <xdr:row>20</xdr:row>
      <xdr:rowOff>117675</xdr:rowOff>
    </xdr:to>
    <xdr:grpSp>
      <xdr:nvGrpSpPr>
        <xdr:cNvPr id="32" name="Group 31">
          <a:extLst>
            <a:ext uri="{FF2B5EF4-FFF2-40B4-BE49-F238E27FC236}">
              <a16:creationId xmlns:a16="http://schemas.microsoft.com/office/drawing/2014/main" id="{F65BC86C-3F5B-ACE2-6746-5E261B01BEF0}"/>
            </a:ext>
          </a:extLst>
        </xdr:cNvPr>
        <xdr:cNvGrpSpPr/>
      </xdr:nvGrpSpPr>
      <xdr:grpSpPr>
        <a:xfrm>
          <a:off x="0" y="3248025"/>
          <a:ext cx="896400" cy="679650"/>
          <a:chOff x="0" y="2609850"/>
          <a:chExt cx="896400" cy="679650"/>
        </a:xfrm>
      </xdr:grpSpPr>
      <xdr:sp macro="" textlink="">
        <xdr:nvSpPr>
          <xdr:cNvPr id="24" name="TextBox 23">
            <a:extLst>
              <a:ext uri="{FF2B5EF4-FFF2-40B4-BE49-F238E27FC236}">
                <a16:creationId xmlns:a16="http://schemas.microsoft.com/office/drawing/2014/main" id="{B945A405-D06E-14D2-01A1-0D7A8A0DA7F7}"/>
              </a:ext>
            </a:extLst>
          </xdr:cNvPr>
          <xdr:cNvSpPr txBox="1"/>
        </xdr:nvSpPr>
        <xdr:spPr>
          <a:xfrm>
            <a:off x="0" y="2609850"/>
            <a:ext cx="8964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Parking</a:t>
            </a:r>
          </a:p>
        </xdr:txBody>
      </xdr:sp>
      <mc:AlternateContent xmlns:mc="http://schemas.openxmlformats.org/markup-compatibility/2006" xmlns:a14="http://schemas.microsoft.com/office/drawing/2010/main">
        <mc:Choice Requires="a14">
          <xdr:graphicFrame macro="">
            <xdr:nvGraphicFramePr>
              <xdr:cNvPr id="26" name="parking 2">
                <a:extLst>
                  <a:ext uri="{FF2B5EF4-FFF2-40B4-BE49-F238E27FC236}">
                    <a16:creationId xmlns:a16="http://schemas.microsoft.com/office/drawing/2014/main" id="{5E5F9092-035A-4B76-A5BE-75102F4D5B97}"/>
                  </a:ext>
                </a:extLst>
              </xdr:cNvPr>
              <xdr:cNvGraphicFramePr/>
            </xdr:nvGraphicFramePr>
            <xdr:xfrm>
              <a:off x="0" y="2857500"/>
              <a:ext cx="896400" cy="432000"/>
            </xdr:xfrm>
            <a:graphic>
              <a:graphicData uri="http://schemas.microsoft.com/office/drawing/2010/slicer">
                <sle:slicer xmlns:sle="http://schemas.microsoft.com/office/drawing/2010/slicer" name="parking 2"/>
              </a:graphicData>
            </a:graphic>
          </xdr:graphicFrame>
        </mc:Choice>
        <mc:Fallback xmlns="">
          <xdr:sp macro="" textlink="">
            <xdr:nvSpPr>
              <xdr:cNvPr id="0" name=""/>
              <xdr:cNvSpPr>
                <a:spLocks noTextEdit="1"/>
              </xdr:cNvSpPr>
            </xdr:nvSpPr>
            <xdr:spPr>
              <a:xfrm>
                <a:off x="0" y="3495675"/>
                <a:ext cx="8964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0</xdr:col>
      <xdr:colOff>200025</xdr:colOff>
      <xdr:row>29</xdr:row>
      <xdr:rowOff>85725</xdr:rowOff>
    </xdr:from>
    <xdr:to>
      <xdr:col>1</xdr:col>
      <xdr:colOff>40425</xdr:colOff>
      <xdr:row>31</xdr:row>
      <xdr:rowOff>154725</xdr:rowOff>
    </xdr:to>
    <xdr:pic macro="[0]!ResetDashboard">
      <xdr:nvPicPr>
        <xdr:cNvPr id="28" name="Picture 27">
          <a:extLst>
            <a:ext uri="{FF2B5EF4-FFF2-40B4-BE49-F238E27FC236}">
              <a16:creationId xmlns:a16="http://schemas.microsoft.com/office/drawing/2014/main" id="{984233C9-8082-E9DA-8BDE-4119A1C119E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0025" y="5610225"/>
          <a:ext cx="450000" cy="450000"/>
        </a:xfrm>
        <a:prstGeom prst="rect">
          <a:avLst/>
        </a:prstGeom>
      </xdr:spPr>
    </xdr:pic>
    <xdr:clientData/>
  </xdr:twoCellAnchor>
  <xdr:twoCellAnchor>
    <xdr:from>
      <xdr:col>0</xdr:col>
      <xdr:colOff>0</xdr:colOff>
      <xdr:row>23</xdr:row>
      <xdr:rowOff>0</xdr:rowOff>
    </xdr:from>
    <xdr:to>
      <xdr:col>1</xdr:col>
      <xdr:colOff>286800</xdr:colOff>
      <xdr:row>26</xdr:row>
      <xdr:rowOff>89100</xdr:rowOff>
    </xdr:to>
    <xdr:grpSp>
      <xdr:nvGrpSpPr>
        <xdr:cNvPr id="31" name="Group 30">
          <a:extLst>
            <a:ext uri="{FF2B5EF4-FFF2-40B4-BE49-F238E27FC236}">
              <a16:creationId xmlns:a16="http://schemas.microsoft.com/office/drawing/2014/main" id="{7E85AA08-5F23-BD7B-4ADB-378B47E91D20}"/>
            </a:ext>
          </a:extLst>
        </xdr:cNvPr>
        <xdr:cNvGrpSpPr/>
      </xdr:nvGrpSpPr>
      <xdr:grpSpPr>
        <a:xfrm>
          <a:off x="0" y="4381500"/>
          <a:ext cx="896400" cy="660600"/>
          <a:chOff x="0" y="3686175"/>
          <a:chExt cx="896400" cy="660600"/>
        </a:xfrm>
      </xdr:grpSpPr>
      <mc:AlternateContent xmlns:mc="http://schemas.openxmlformats.org/markup-compatibility/2006" xmlns:a14="http://schemas.microsoft.com/office/drawing/2010/main">
        <mc:Choice Requires="a14">
          <xdr:graphicFrame macro="">
            <xdr:nvGraphicFramePr>
              <xdr:cNvPr id="29" name="location_score 2">
                <a:extLst>
                  <a:ext uri="{FF2B5EF4-FFF2-40B4-BE49-F238E27FC236}">
                    <a16:creationId xmlns:a16="http://schemas.microsoft.com/office/drawing/2014/main" id="{7D9ED46A-6F94-4CD3-8BD9-016053C647DB}"/>
                  </a:ext>
                </a:extLst>
              </xdr:cNvPr>
              <xdr:cNvGraphicFramePr/>
            </xdr:nvGraphicFramePr>
            <xdr:xfrm>
              <a:off x="0" y="3914775"/>
              <a:ext cx="896400" cy="432000"/>
            </xdr:xfrm>
            <a:graphic>
              <a:graphicData uri="http://schemas.microsoft.com/office/drawing/2010/slicer">
                <sle:slicer xmlns:sle="http://schemas.microsoft.com/office/drawing/2010/slicer" name="location_score 2"/>
              </a:graphicData>
            </a:graphic>
          </xdr:graphicFrame>
        </mc:Choice>
        <mc:Fallback xmlns="">
          <xdr:sp macro="" textlink="">
            <xdr:nvSpPr>
              <xdr:cNvPr id="0" name=""/>
              <xdr:cNvSpPr>
                <a:spLocks noTextEdit="1"/>
              </xdr:cNvSpPr>
            </xdr:nvSpPr>
            <xdr:spPr>
              <a:xfrm>
                <a:off x="0" y="4610100"/>
                <a:ext cx="8964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30" name="TextBox 29">
            <a:extLst>
              <a:ext uri="{FF2B5EF4-FFF2-40B4-BE49-F238E27FC236}">
                <a16:creationId xmlns:a16="http://schemas.microsoft.com/office/drawing/2014/main" id="{9A5217C0-BED9-48B2-CB12-BC91907533BE}"/>
              </a:ext>
            </a:extLst>
          </xdr:cNvPr>
          <xdr:cNvSpPr txBox="1"/>
        </xdr:nvSpPr>
        <xdr:spPr>
          <a:xfrm>
            <a:off x="0" y="3686175"/>
            <a:ext cx="896400" cy="252000"/>
          </a:xfrm>
          <a:prstGeom prst="rect">
            <a:avLst/>
          </a:prstGeom>
          <a:solidFill>
            <a:srgbClr val="C6E89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Location </a:t>
            </a:r>
          </a:p>
        </xdr:txBody>
      </xdr:sp>
    </xdr:grpSp>
    <xdr:clientData/>
  </xdr:twoCellAnchor>
  <xdr:twoCellAnchor>
    <xdr:from>
      <xdr:col>1</xdr:col>
      <xdr:colOff>333375</xdr:colOff>
      <xdr:row>3</xdr:row>
      <xdr:rowOff>171449</xdr:rowOff>
    </xdr:from>
    <xdr:to>
      <xdr:col>6</xdr:col>
      <xdr:colOff>262575</xdr:colOff>
      <xdr:row>9</xdr:row>
      <xdr:rowOff>108449</xdr:rowOff>
    </xdr:to>
    <xdr:sp macro="" textlink="Sheet3!B3">
      <xdr:nvSpPr>
        <xdr:cNvPr id="33" name="Rectangle: Rounded Corners 32">
          <a:extLst>
            <a:ext uri="{FF2B5EF4-FFF2-40B4-BE49-F238E27FC236}">
              <a16:creationId xmlns:a16="http://schemas.microsoft.com/office/drawing/2014/main" id="{BD89910D-2E5C-3864-41B1-CC9268CA08E2}"/>
            </a:ext>
          </a:extLst>
        </xdr:cNvPr>
        <xdr:cNvSpPr/>
      </xdr:nvSpPr>
      <xdr:spPr>
        <a:xfrm>
          <a:off x="942975" y="742949"/>
          <a:ext cx="2977200" cy="10800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1164FAC-C2F0-4EF3-A530-020E1BDCB261}" type="TxLink">
            <a:rPr lang="en-US" sz="1400" b="1" i="0" u="none" strike="noStrike">
              <a:solidFill>
                <a:srgbClr val="4F8123"/>
              </a:solidFill>
              <a:latin typeface="Calibri"/>
              <a:cs typeface="Calibri"/>
            </a:rPr>
            <a:pPr algn="ctr"/>
            <a:t>Largest Area : 
4998 Sq Ft
Price : ₹996011</a:t>
          </a:fld>
          <a:endParaRPr lang="en-IN" sz="1400" b="1">
            <a:solidFill>
              <a:srgbClr val="4F8123"/>
            </a:solidFill>
          </a:endParaRPr>
        </a:p>
      </xdr:txBody>
    </xdr:sp>
    <xdr:clientData/>
  </xdr:twoCellAnchor>
  <xdr:twoCellAnchor>
    <xdr:from>
      <xdr:col>6</xdr:col>
      <xdr:colOff>285750</xdr:colOff>
      <xdr:row>3</xdr:row>
      <xdr:rowOff>171449</xdr:rowOff>
    </xdr:from>
    <xdr:to>
      <xdr:col>11</xdr:col>
      <xdr:colOff>153750</xdr:colOff>
      <xdr:row>9</xdr:row>
      <xdr:rowOff>108449</xdr:rowOff>
    </xdr:to>
    <xdr:sp macro="" textlink="Sheet3!B6">
      <xdr:nvSpPr>
        <xdr:cNvPr id="34" name="Rectangle: Rounded Corners 33">
          <a:extLst>
            <a:ext uri="{FF2B5EF4-FFF2-40B4-BE49-F238E27FC236}">
              <a16:creationId xmlns:a16="http://schemas.microsoft.com/office/drawing/2014/main" id="{58896641-AB04-44B0-A12C-2AFE62B560B7}"/>
            </a:ext>
          </a:extLst>
        </xdr:cNvPr>
        <xdr:cNvSpPr/>
      </xdr:nvSpPr>
      <xdr:spPr>
        <a:xfrm>
          <a:off x="3943350" y="742949"/>
          <a:ext cx="2916000" cy="10800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748492A-A973-45C5-8CB3-888F8B756C5B}" type="TxLink">
            <a:rPr lang="en-US" sz="1400" b="1" i="0" u="none" strike="noStrike">
              <a:solidFill>
                <a:srgbClr val="4F8123"/>
              </a:solidFill>
              <a:latin typeface="Calibri"/>
              <a:cs typeface="Calibri"/>
            </a:rPr>
            <a:pPr algn="ctr"/>
            <a:t>Smallest Area :
403 Sq Ft
Price : ₹423214</a:t>
          </a:fld>
          <a:endParaRPr lang="en-IN" sz="1400" b="1">
            <a:solidFill>
              <a:srgbClr val="4F8123"/>
            </a:solidFill>
          </a:endParaRPr>
        </a:p>
      </xdr:txBody>
    </xdr:sp>
    <xdr:clientData/>
  </xdr:twoCellAnchor>
  <xdr:twoCellAnchor>
    <xdr:from>
      <xdr:col>11</xdr:col>
      <xdr:colOff>171450</xdr:colOff>
      <xdr:row>3</xdr:row>
      <xdr:rowOff>171449</xdr:rowOff>
    </xdr:from>
    <xdr:to>
      <xdr:col>16</xdr:col>
      <xdr:colOff>39450</xdr:colOff>
      <xdr:row>9</xdr:row>
      <xdr:rowOff>108449</xdr:rowOff>
    </xdr:to>
    <xdr:sp macro="" textlink="Sheet3!B9">
      <xdr:nvSpPr>
        <xdr:cNvPr id="35" name="Rectangle: Rounded Corners 34">
          <a:extLst>
            <a:ext uri="{FF2B5EF4-FFF2-40B4-BE49-F238E27FC236}">
              <a16:creationId xmlns:a16="http://schemas.microsoft.com/office/drawing/2014/main" id="{56B6CEDB-9768-4760-889B-303226033019}"/>
            </a:ext>
          </a:extLst>
        </xdr:cNvPr>
        <xdr:cNvSpPr/>
      </xdr:nvSpPr>
      <xdr:spPr>
        <a:xfrm>
          <a:off x="6877050" y="742949"/>
          <a:ext cx="2916000" cy="10800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5E976D7-FBC0-4E99-8D86-1048B76FA393}" type="TxLink">
            <a:rPr lang="en-US" sz="1400" b="1" i="0" u="none" strike="noStrike">
              <a:solidFill>
                <a:srgbClr val="4F8123"/>
              </a:solidFill>
              <a:latin typeface="Calibri"/>
              <a:cs typeface="Calibri"/>
            </a:rPr>
            <a:pPr algn="ctr"/>
            <a:t>Farthest Distance From City :
35KM
Price : ₹967857</a:t>
          </a:fld>
          <a:endParaRPr lang="en-IN" sz="1400" b="1">
            <a:solidFill>
              <a:srgbClr val="4F8123"/>
            </a:solidFill>
          </a:endParaRPr>
        </a:p>
      </xdr:txBody>
    </xdr:sp>
    <xdr:clientData/>
  </xdr:twoCellAnchor>
  <xdr:twoCellAnchor>
    <xdr:from>
      <xdr:col>16</xdr:col>
      <xdr:colOff>57150</xdr:colOff>
      <xdr:row>3</xdr:row>
      <xdr:rowOff>171449</xdr:rowOff>
    </xdr:from>
    <xdr:to>
      <xdr:col>20</xdr:col>
      <xdr:colOff>570750</xdr:colOff>
      <xdr:row>9</xdr:row>
      <xdr:rowOff>108449</xdr:rowOff>
    </xdr:to>
    <xdr:sp macro="" textlink="Sheet3!B12">
      <xdr:nvSpPr>
        <xdr:cNvPr id="36" name="Rectangle: Rounded Corners 35">
          <a:extLst>
            <a:ext uri="{FF2B5EF4-FFF2-40B4-BE49-F238E27FC236}">
              <a16:creationId xmlns:a16="http://schemas.microsoft.com/office/drawing/2014/main" id="{5C285083-6574-4A15-B977-4D17F2EA4CC6}"/>
            </a:ext>
          </a:extLst>
        </xdr:cNvPr>
        <xdr:cNvSpPr/>
      </xdr:nvSpPr>
      <xdr:spPr>
        <a:xfrm>
          <a:off x="9810750" y="742949"/>
          <a:ext cx="2952000" cy="10800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2FD46E8-0DFD-4325-A5BB-FEBFD3D43B06}" type="TxLink">
            <a:rPr lang="en-US" sz="1400" b="1" i="0" u="none" strike="noStrike">
              <a:solidFill>
                <a:srgbClr val="4F8123"/>
              </a:solidFill>
              <a:latin typeface="Calibri"/>
              <a:cs typeface="Calibri"/>
            </a:rPr>
            <a:pPr algn="ctr"/>
            <a:t>Nearest Distance From City :
1KM
Price : ₹532406</a:t>
          </a:fld>
          <a:endParaRPr lang="en-IN" sz="1400" b="1">
            <a:solidFill>
              <a:srgbClr val="4F8123"/>
            </a:solidFill>
          </a:endParaRPr>
        </a:p>
      </xdr:txBody>
    </xdr:sp>
    <xdr:clientData/>
  </xdr:twoCellAnchor>
  <xdr:twoCellAnchor>
    <xdr:from>
      <xdr:col>1</xdr:col>
      <xdr:colOff>323850</xdr:colOff>
      <xdr:row>9</xdr:row>
      <xdr:rowOff>123825</xdr:rowOff>
    </xdr:from>
    <xdr:to>
      <xdr:col>8</xdr:col>
      <xdr:colOff>52650</xdr:colOff>
      <xdr:row>22</xdr:row>
      <xdr:rowOff>59325</xdr:rowOff>
    </xdr:to>
    <xdr:graphicFrame macro="">
      <xdr:nvGraphicFramePr>
        <xdr:cNvPr id="4" name="Chart 3">
          <a:extLst>
            <a:ext uri="{FF2B5EF4-FFF2-40B4-BE49-F238E27FC236}">
              <a16:creationId xmlns:a16="http://schemas.microsoft.com/office/drawing/2014/main" id="{0451E85D-85F9-4922-9D24-F260BCED0A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57150</xdr:colOff>
      <xdr:row>9</xdr:row>
      <xdr:rowOff>123825</xdr:rowOff>
    </xdr:from>
    <xdr:to>
      <xdr:col>14</xdr:col>
      <xdr:colOff>431550</xdr:colOff>
      <xdr:row>22</xdr:row>
      <xdr:rowOff>59325</xdr:rowOff>
    </xdr:to>
    <xdr:graphicFrame macro="">
      <xdr:nvGraphicFramePr>
        <xdr:cNvPr id="9" name="Chart 8">
          <a:extLst>
            <a:ext uri="{FF2B5EF4-FFF2-40B4-BE49-F238E27FC236}">
              <a16:creationId xmlns:a16="http://schemas.microsoft.com/office/drawing/2014/main" id="{C42819DA-1EC4-498D-B293-C241B8C664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428625</xdr:colOff>
      <xdr:row>9</xdr:row>
      <xdr:rowOff>123825</xdr:rowOff>
    </xdr:from>
    <xdr:to>
      <xdr:col>20</xdr:col>
      <xdr:colOff>587025</xdr:colOff>
      <xdr:row>22</xdr:row>
      <xdr:rowOff>59325</xdr:rowOff>
    </xdr:to>
    <xdr:graphicFrame macro="">
      <xdr:nvGraphicFramePr>
        <xdr:cNvPr id="11" name="Chart 10">
          <a:extLst>
            <a:ext uri="{FF2B5EF4-FFF2-40B4-BE49-F238E27FC236}">
              <a16:creationId xmlns:a16="http://schemas.microsoft.com/office/drawing/2014/main" id="{17CE7DCA-DDEC-4632-A8C4-355CC0F78A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314325</xdr:colOff>
      <xdr:row>22</xdr:row>
      <xdr:rowOff>66675</xdr:rowOff>
    </xdr:from>
    <xdr:to>
      <xdr:col>7</xdr:col>
      <xdr:colOff>256725</xdr:colOff>
      <xdr:row>33</xdr:row>
      <xdr:rowOff>131175</xdr:rowOff>
    </xdr:to>
    <xdr:graphicFrame macro="">
      <xdr:nvGraphicFramePr>
        <xdr:cNvPr id="13" name="Chart 12">
          <a:extLst>
            <a:ext uri="{FF2B5EF4-FFF2-40B4-BE49-F238E27FC236}">
              <a16:creationId xmlns:a16="http://schemas.microsoft.com/office/drawing/2014/main" id="{08EB9A13-BD59-4254-84C9-43ABE6B79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266700</xdr:colOff>
      <xdr:row>22</xdr:row>
      <xdr:rowOff>57150</xdr:rowOff>
    </xdr:from>
    <xdr:to>
      <xdr:col>13</xdr:col>
      <xdr:colOff>389100</xdr:colOff>
      <xdr:row>33</xdr:row>
      <xdr:rowOff>121650</xdr:rowOff>
    </xdr:to>
    <xdr:graphicFrame macro="">
      <xdr:nvGraphicFramePr>
        <xdr:cNvPr id="14" name="Chart 13">
          <a:extLst>
            <a:ext uri="{FF2B5EF4-FFF2-40B4-BE49-F238E27FC236}">
              <a16:creationId xmlns:a16="http://schemas.microsoft.com/office/drawing/2014/main" id="{F696510A-9EB4-4AB5-AB08-03ADBAA77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381000</xdr:colOff>
      <xdr:row>22</xdr:row>
      <xdr:rowOff>57150</xdr:rowOff>
    </xdr:from>
    <xdr:to>
      <xdr:col>20</xdr:col>
      <xdr:colOff>577800</xdr:colOff>
      <xdr:row>33</xdr:row>
      <xdr:rowOff>121650</xdr:rowOff>
    </xdr:to>
    <xdr:graphicFrame macro="">
      <xdr:nvGraphicFramePr>
        <xdr:cNvPr id="19" name="Chart 18">
          <a:extLst>
            <a:ext uri="{FF2B5EF4-FFF2-40B4-BE49-F238E27FC236}">
              <a16:creationId xmlns:a16="http://schemas.microsoft.com/office/drawing/2014/main" id="{618912A6-9347-4390-8AD3-8059A609C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8</xdr:col>
      <xdr:colOff>361950</xdr:colOff>
      <xdr:row>0</xdr:row>
      <xdr:rowOff>161925</xdr:rowOff>
    </xdr:from>
    <xdr:to>
      <xdr:col>9</xdr:col>
      <xdr:colOff>112350</xdr:colOff>
      <xdr:row>2</xdr:row>
      <xdr:rowOff>140925</xdr:rowOff>
    </xdr:to>
    <xdr:pic>
      <xdr:nvPicPr>
        <xdr:cNvPr id="22" name="Picture 21">
          <a:extLst>
            <a:ext uri="{FF2B5EF4-FFF2-40B4-BE49-F238E27FC236}">
              <a16:creationId xmlns:a16="http://schemas.microsoft.com/office/drawing/2014/main" id="{A7FA77C7-FD81-56A5-7DB9-BEEECE33E20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238750" y="161925"/>
          <a:ext cx="360000" cy="360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588000</xdr:colOff>
      <xdr:row>3</xdr:row>
      <xdr:rowOff>148500</xdr:rowOff>
    </xdr:to>
    <xdr:grpSp>
      <xdr:nvGrpSpPr>
        <xdr:cNvPr id="2" name="Group 1">
          <a:extLst>
            <a:ext uri="{FF2B5EF4-FFF2-40B4-BE49-F238E27FC236}">
              <a16:creationId xmlns:a16="http://schemas.microsoft.com/office/drawing/2014/main" id="{85E33AD0-1AE8-4868-BE01-C4727601ECAC}"/>
            </a:ext>
          </a:extLst>
        </xdr:cNvPr>
        <xdr:cNvGrpSpPr/>
      </xdr:nvGrpSpPr>
      <xdr:grpSpPr>
        <a:xfrm>
          <a:off x="0" y="0"/>
          <a:ext cx="12780000" cy="720000"/>
          <a:chOff x="0" y="0"/>
          <a:chExt cx="12564000" cy="720000"/>
        </a:xfrm>
      </xdr:grpSpPr>
      <xdr:sp macro="" textlink="">
        <xdr:nvSpPr>
          <xdr:cNvPr id="3" name="Rectangle: Rounded Corners 2">
            <a:extLst>
              <a:ext uri="{FF2B5EF4-FFF2-40B4-BE49-F238E27FC236}">
                <a16:creationId xmlns:a16="http://schemas.microsoft.com/office/drawing/2014/main" id="{A92EB0A9-245C-3A6C-D54C-A5DE0D0A3A87}"/>
              </a:ext>
            </a:extLst>
          </xdr:cNvPr>
          <xdr:cNvSpPr/>
        </xdr:nvSpPr>
        <xdr:spPr>
          <a:xfrm>
            <a:off x="0" y="0"/>
            <a:ext cx="12564000" cy="720000"/>
          </a:xfrm>
          <a:prstGeom prst="roundRect">
            <a:avLst/>
          </a:prstGeom>
          <a:solidFill>
            <a:srgbClr val="70AD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TextBox 3">
            <a:extLst>
              <a:ext uri="{FF2B5EF4-FFF2-40B4-BE49-F238E27FC236}">
                <a16:creationId xmlns:a16="http://schemas.microsoft.com/office/drawing/2014/main" id="{8E7DBD15-A3F4-8589-1C1F-AE19A955F10A}"/>
              </a:ext>
            </a:extLst>
          </xdr:cNvPr>
          <xdr:cNvSpPr txBox="1"/>
        </xdr:nvSpPr>
        <xdr:spPr>
          <a:xfrm>
            <a:off x="38099" y="28575"/>
            <a:ext cx="2736000" cy="670125"/>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a:solidFill>
                  <a:srgbClr val="4F8123"/>
                </a:solidFill>
              </a:rPr>
              <a:t>HOUSE PRICE DASHBOARD</a:t>
            </a:r>
          </a:p>
        </xdr:txBody>
      </xdr:sp>
      <xdr:pic>
        <xdr:nvPicPr>
          <xdr:cNvPr id="5" name="Picture 4">
            <a:extLst>
              <a:ext uri="{FF2B5EF4-FFF2-40B4-BE49-F238E27FC236}">
                <a16:creationId xmlns:a16="http://schemas.microsoft.com/office/drawing/2014/main" id="{4329FA71-22FA-1631-AF2C-2BE0FB22A2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95575" y="209550"/>
            <a:ext cx="360000" cy="360000"/>
          </a:xfrm>
          <a:prstGeom prst="rect">
            <a:avLst/>
          </a:prstGeom>
        </xdr:spPr>
      </xdr:pic>
      <xdr:sp macro="" textlink="">
        <xdr:nvSpPr>
          <xdr:cNvPr id="6" name="TextBox 5">
            <a:extLst>
              <a:ext uri="{FF2B5EF4-FFF2-40B4-BE49-F238E27FC236}">
                <a16:creationId xmlns:a16="http://schemas.microsoft.com/office/drawing/2014/main" id="{E258882E-5A6D-DA69-8E41-353692BF8A6B}"/>
              </a:ext>
            </a:extLst>
          </xdr:cNvPr>
          <xdr:cNvSpPr txBox="1"/>
        </xdr:nvSpPr>
        <xdr:spPr>
          <a:xfrm>
            <a:off x="4981575" y="28574"/>
            <a:ext cx="2019300" cy="685801"/>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F8123"/>
                </a:solidFill>
              </a:rPr>
              <a:t>ANALYZE</a:t>
            </a:r>
          </a:p>
        </xdr:txBody>
      </xdr:sp>
      <xdr:sp macro="" textlink="">
        <xdr:nvSpPr>
          <xdr:cNvPr id="7" name="TextBox 6">
            <a:hlinkClick xmlns:r="http://schemas.openxmlformats.org/officeDocument/2006/relationships" r:id="rId2"/>
            <a:extLst>
              <a:ext uri="{FF2B5EF4-FFF2-40B4-BE49-F238E27FC236}">
                <a16:creationId xmlns:a16="http://schemas.microsoft.com/office/drawing/2014/main" id="{F3A1BEC0-476F-205A-C68E-9E443CD86D33}"/>
              </a:ext>
            </a:extLst>
          </xdr:cNvPr>
          <xdr:cNvSpPr txBox="1"/>
        </xdr:nvSpPr>
        <xdr:spPr>
          <a:xfrm>
            <a:off x="7772132" y="19051"/>
            <a:ext cx="1530231" cy="695324"/>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TREND</a:t>
            </a:r>
            <a:r>
              <a:rPr lang="en-IN" sz="1400" b="1" baseline="0">
                <a:solidFill>
                  <a:srgbClr val="4F8123"/>
                </a:solidFill>
              </a:rPr>
              <a:t> ANALYSIS</a:t>
            </a:r>
            <a:endParaRPr lang="en-IN" sz="1400" b="1">
              <a:solidFill>
                <a:srgbClr val="4F8123"/>
              </a:solidFill>
            </a:endParaRPr>
          </a:p>
        </xdr:txBody>
      </xdr:sp>
      <xdr:sp macro="" textlink="">
        <xdr:nvSpPr>
          <xdr:cNvPr id="8" name="TextBox 7">
            <a:hlinkClick xmlns:r="http://schemas.openxmlformats.org/officeDocument/2006/relationships" r:id="rId3"/>
            <a:extLst>
              <a:ext uri="{FF2B5EF4-FFF2-40B4-BE49-F238E27FC236}">
                <a16:creationId xmlns:a16="http://schemas.microsoft.com/office/drawing/2014/main" id="{65B8401E-1F9B-699D-069F-2FED91D2C4C8}"/>
              </a:ext>
            </a:extLst>
          </xdr:cNvPr>
          <xdr:cNvSpPr txBox="1"/>
        </xdr:nvSpPr>
        <xdr:spPr>
          <a:xfrm>
            <a:off x="9144000" y="28576"/>
            <a:ext cx="1485900" cy="666750"/>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OVERVIEW</a:t>
            </a:r>
          </a:p>
        </xdr:txBody>
      </xdr:sp>
      <xdr:pic>
        <xdr:nvPicPr>
          <xdr:cNvPr id="9" name="Picture 8">
            <a:hlinkClick xmlns:r="http://schemas.openxmlformats.org/officeDocument/2006/relationships" r:id="rId4"/>
            <a:extLst>
              <a:ext uri="{FF2B5EF4-FFF2-40B4-BE49-F238E27FC236}">
                <a16:creationId xmlns:a16="http://schemas.microsoft.com/office/drawing/2014/main" id="{C7E2C4DF-4C52-7256-E09A-BF232D7A81E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96625" y="180975"/>
            <a:ext cx="360000" cy="360000"/>
          </a:xfrm>
          <a:prstGeom prst="rect">
            <a:avLst/>
          </a:prstGeom>
        </xdr:spPr>
      </xdr:pic>
      <xdr:pic>
        <xdr:nvPicPr>
          <xdr:cNvPr id="10" name="Picture 9">
            <a:hlinkClick xmlns:r="http://schemas.openxmlformats.org/officeDocument/2006/relationships" r:id="rId6"/>
            <a:extLst>
              <a:ext uri="{FF2B5EF4-FFF2-40B4-BE49-F238E27FC236}">
                <a16:creationId xmlns:a16="http://schemas.microsoft.com/office/drawing/2014/main" id="{D4F9703E-2886-C758-4B47-8BBBDDE7962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868150" y="190500"/>
            <a:ext cx="360000" cy="360000"/>
          </a:xfrm>
          <a:prstGeom prst="rect">
            <a:avLst/>
          </a:prstGeom>
        </xdr:spPr>
      </xdr:pic>
    </xdr:grpSp>
    <xdr:clientData/>
  </xdr:twoCellAnchor>
  <xdr:twoCellAnchor>
    <xdr:from>
      <xdr:col>2</xdr:col>
      <xdr:colOff>209549</xdr:colOff>
      <xdr:row>3</xdr:row>
      <xdr:rowOff>171449</xdr:rowOff>
    </xdr:from>
    <xdr:to>
      <xdr:col>9</xdr:col>
      <xdr:colOff>262349</xdr:colOff>
      <xdr:row>11</xdr:row>
      <xdr:rowOff>87449</xdr:rowOff>
    </xdr:to>
    <xdr:sp macro="" textlink="Analyze2!D11">
      <xdr:nvSpPr>
        <xdr:cNvPr id="11" name="Rectangle: Rounded Corners 10">
          <a:extLst>
            <a:ext uri="{FF2B5EF4-FFF2-40B4-BE49-F238E27FC236}">
              <a16:creationId xmlns:a16="http://schemas.microsoft.com/office/drawing/2014/main" id="{90666AF6-D969-8A25-59CC-297E319FBBEF}"/>
            </a:ext>
          </a:extLst>
        </xdr:cNvPr>
        <xdr:cNvSpPr/>
      </xdr:nvSpPr>
      <xdr:spPr>
        <a:xfrm>
          <a:off x="1428749" y="742949"/>
          <a:ext cx="4320000" cy="14400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DF57FC7-4CBB-4450-8229-8377CDB545F4}" type="TxLink">
            <a:rPr lang="en-US" sz="1600" b="1" i="0" u="none" strike="noStrike">
              <a:solidFill>
                <a:srgbClr val="4F8123"/>
              </a:solidFill>
              <a:latin typeface="Calibri"/>
              <a:cs typeface="Calibri"/>
            </a:rPr>
            <a:pPr algn="ctr"/>
            <a:t>Best Performing Range
2403-3402 KM
Property Sold: 258</a:t>
          </a:fld>
          <a:endParaRPr lang="en-IN" sz="1600" b="1">
            <a:solidFill>
              <a:srgbClr val="4F8123"/>
            </a:solidFill>
          </a:endParaRPr>
        </a:p>
      </xdr:txBody>
    </xdr:sp>
    <xdr:clientData/>
  </xdr:twoCellAnchor>
  <xdr:twoCellAnchor>
    <xdr:from>
      <xdr:col>9</xdr:col>
      <xdr:colOff>285750</xdr:colOff>
      <xdr:row>3</xdr:row>
      <xdr:rowOff>171449</xdr:rowOff>
    </xdr:from>
    <xdr:to>
      <xdr:col>16</xdr:col>
      <xdr:colOff>338550</xdr:colOff>
      <xdr:row>11</xdr:row>
      <xdr:rowOff>87449</xdr:rowOff>
    </xdr:to>
    <xdr:sp macro="" textlink="Analyze2!G4">
      <xdr:nvSpPr>
        <xdr:cNvPr id="12" name="Rectangle: Rounded Corners 11">
          <a:extLst>
            <a:ext uri="{FF2B5EF4-FFF2-40B4-BE49-F238E27FC236}">
              <a16:creationId xmlns:a16="http://schemas.microsoft.com/office/drawing/2014/main" id="{B93ADB2A-8338-4B24-E5E1-247B6D7B290E}"/>
            </a:ext>
          </a:extLst>
        </xdr:cNvPr>
        <xdr:cNvSpPr/>
      </xdr:nvSpPr>
      <xdr:spPr>
        <a:xfrm>
          <a:off x="5772150" y="742949"/>
          <a:ext cx="4320000" cy="14400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2F195C-0E64-4B4C-B1BC-58C389EF85EA}" type="TxLink">
            <a:rPr lang="en-US" sz="1600" b="1" i="0" u="none" strike="noStrike">
              <a:solidFill>
                <a:srgbClr val="4F8123"/>
              </a:solidFill>
              <a:latin typeface="Calibri"/>
              <a:cs typeface="Calibri"/>
            </a:rPr>
            <a:pPr algn="ctr"/>
            <a:t>Low Performing Range
4403-5402 KM
Property Sold : 128</a:t>
          </a:fld>
          <a:endParaRPr lang="en-IN" sz="1600" b="1">
            <a:solidFill>
              <a:srgbClr val="4F8123"/>
            </a:solidFill>
          </a:endParaRPr>
        </a:p>
      </xdr:txBody>
    </xdr:sp>
    <xdr:clientData/>
  </xdr:twoCellAnchor>
  <xdr:twoCellAnchor>
    <xdr:from>
      <xdr:col>2</xdr:col>
      <xdr:colOff>228600</xdr:colOff>
      <xdr:row>11</xdr:row>
      <xdr:rowOff>104775</xdr:rowOff>
    </xdr:from>
    <xdr:to>
      <xdr:col>9</xdr:col>
      <xdr:colOff>281400</xdr:colOff>
      <xdr:row>22</xdr:row>
      <xdr:rowOff>169275</xdr:rowOff>
    </xdr:to>
    <xdr:graphicFrame macro="">
      <xdr:nvGraphicFramePr>
        <xdr:cNvPr id="13" name="Chart 12">
          <a:extLst>
            <a:ext uri="{FF2B5EF4-FFF2-40B4-BE49-F238E27FC236}">
              <a16:creationId xmlns:a16="http://schemas.microsoft.com/office/drawing/2014/main" id="{23D7BE8A-60E7-48E8-B943-F006BFD97B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295275</xdr:colOff>
      <xdr:row>11</xdr:row>
      <xdr:rowOff>104775</xdr:rowOff>
    </xdr:from>
    <xdr:to>
      <xdr:col>16</xdr:col>
      <xdr:colOff>348075</xdr:colOff>
      <xdr:row>22</xdr:row>
      <xdr:rowOff>169275</xdr:rowOff>
    </xdr:to>
    <xdr:graphicFrame macro="">
      <xdr:nvGraphicFramePr>
        <xdr:cNvPr id="14" name="Chart 13">
          <a:extLst>
            <a:ext uri="{FF2B5EF4-FFF2-40B4-BE49-F238E27FC236}">
              <a16:creationId xmlns:a16="http://schemas.microsoft.com/office/drawing/2014/main" id="{61853C4D-1163-46BE-A240-54DDBDCB7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219075</xdr:colOff>
      <xdr:row>22</xdr:row>
      <xdr:rowOff>180975</xdr:rowOff>
    </xdr:from>
    <xdr:to>
      <xdr:col>9</xdr:col>
      <xdr:colOff>271875</xdr:colOff>
      <xdr:row>33</xdr:row>
      <xdr:rowOff>173475</xdr:rowOff>
    </xdr:to>
    <xdr:graphicFrame macro="">
      <xdr:nvGraphicFramePr>
        <xdr:cNvPr id="15" name="Chart 14">
          <a:extLst>
            <a:ext uri="{FF2B5EF4-FFF2-40B4-BE49-F238E27FC236}">
              <a16:creationId xmlns:a16="http://schemas.microsoft.com/office/drawing/2014/main" id="{923767A2-D18F-4E69-B8E7-13B9A1B419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276225</xdr:colOff>
      <xdr:row>22</xdr:row>
      <xdr:rowOff>171450</xdr:rowOff>
    </xdr:from>
    <xdr:to>
      <xdr:col>16</xdr:col>
      <xdr:colOff>329025</xdr:colOff>
      <xdr:row>33</xdr:row>
      <xdr:rowOff>163950</xdr:rowOff>
    </xdr:to>
    <xdr:graphicFrame macro="">
      <xdr:nvGraphicFramePr>
        <xdr:cNvPr id="16" name="Chart 15">
          <a:extLst>
            <a:ext uri="{FF2B5EF4-FFF2-40B4-BE49-F238E27FC236}">
              <a16:creationId xmlns:a16="http://schemas.microsoft.com/office/drawing/2014/main" id="{86FCB69E-F349-4772-B3E1-B49C95DB8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9525</xdr:colOff>
      <xdr:row>5</xdr:row>
      <xdr:rowOff>9526</xdr:rowOff>
    </xdr:from>
    <xdr:to>
      <xdr:col>2</xdr:col>
      <xdr:colOff>133350</xdr:colOff>
      <xdr:row>14</xdr:row>
      <xdr:rowOff>28576</xdr:rowOff>
    </xdr:to>
    <mc:AlternateContent xmlns:mc="http://schemas.openxmlformats.org/markup-compatibility/2006" xmlns:a14="http://schemas.microsoft.com/office/drawing/2010/main">
      <mc:Choice Requires="a14">
        <xdr:graphicFrame macro="">
          <xdr:nvGraphicFramePr>
            <xdr:cNvPr id="17" name="bedrooms 4">
              <a:extLst>
                <a:ext uri="{FF2B5EF4-FFF2-40B4-BE49-F238E27FC236}">
                  <a16:creationId xmlns:a16="http://schemas.microsoft.com/office/drawing/2014/main" id="{199BF385-E5DA-40CA-8C22-5C8D7A332237}"/>
                </a:ext>
              </a:extLst>
            </xdr:cNvPr>
            <xdr:cNvGraphicFramePr/>
          </xdr:nvGraphicFramePr>
          <xdr:xfrm>
            <a:off x="0" y="0"/>
            <a:ext cx="0" cy="0"/>
          </xdr:xfrm>
          <a:graphic>
            <a:graphicData uri="http://schemas.microsoft.com/office/drawing/2010/slicer">
              <sle:slicer xmlns:sle="http://schemas.microsoft.com/office/drawing/2010/slicer" name="bedrooms 4"/>
            </a:graphicData>
          </a:graphic>
        </xdr:graphicFrame>
      </mc:Choice>
      <mc:Fallback xmlns="">
        <xdr:sp macro="" textlink="">
          <xdr:nvSpPr>
            <xdr:cNvPr id="0" name=""/>
            <xdr:cNvSpPr>
              <a:spLocks noTextEdit="1"/>
            </xdr:cNvSpPr>
          </xdr:nvSpPr>
          <xdr:spPr>
            <a:xfrm>
              <a:off x="9525" y="962026"/>
              <a:ext cx="1343025" cy="1733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152400</xdr:rowOff>
    </xdr:from>
    <xdr:to>
      <xdr:col>2</xdr:col>
      <xdr:colOff>95250</xdr:colOff>
      <xdr:row>30</xdr:row>
      <xdr:rowOff>171450</xdr:rowOff>
    </xdr:to>
    <mc:AlternateContent xmlns:mc="http://schemas.openxmlformats.org/markup-compatibility/2006" xmlns:a14="http://schemas.microsoft.com/office/drawing/2010/main">
      <mc:Choice Requires="a14">
        <xdr:graphicFrame macro="">
          <xdr:nvGraphicFramePr>
            <xdr:cNvPr id="18" name="location_score 4">
              <a:extLst>
                <a:ext uri="{FF2B5EF4-FFF2-40B4-BE49-F238E27FC236}">
                  <a16:creationId xmlns:a16="http://schemas.microsoft.com/office/drawing/2014/main" id="{C9C24408-0EB4-4323-84F7-B286F29AB68D}"/>
                </a:ext>
              </a:extLst>
            </xdr:cNvPr>
            <xdr:cNvGraphicFramePr/>
          </xdr:nvGraphicFramePr>
          <xdr:xfrm>
            <a:off x="0" y="0"/>
            <a:ext cx="0" cy="0"/>
          </xdr:xfrm>
          <a:graphic>
            <a:graphicData uri="http://schemas.microsoft.com/office/drawing/2010/slicer">
              <sle:slicer xmlns:sle="http://schemas.microsoft.com/office/drawing/2010/slicer" name="location_score 4"/>
            </a:graphicData>
          </a:graphic>
        </xdr:graphicFrame>
      </mc:Choice>
      <mc:Fallback xmlns="">
        <xdr:sp macro="" textlink="">
          <xdr:nvSpPr>
            <xdr:cNvPr id="0" name=""/>
            <xdr:cNvSpPr>
              <a:spLocks noTextEdit="1"/>
            </xdr:cNvSpPr>
          </xdr:nvSpPr>
          <xdr:spPr>
            <a:xfrm>
              <a:off x="0" y="2819400"/>
              <a:ext cx="1314450" cy="3067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381000</xdr:colOff>
      <xdr:row>9</xdr:row>
      <xdr:rowOff>38099</xdr:rowOff>
    </xdr:from>
    <xdr:to>
      <xdr:col>21</xdr:col>
      <xdr:colOff>0</xdr:colOff>
      <xdr:row>25</xdr:row>
      <xdr:rowOff>38100</xdr:rowOff>
    </xdr:to>
    <xdr:grpSp>
      <xdr:nvGrpSpPr>
        <xdr:cNvPr id="23" name="Group 22">
          <a:extLst>
            <a:ext uri="{FF2B5EF4-FFF2-40B4-BE49-F238E27FC236}">
              <a16:creationId xmlns:a16="http://schemas.microsoft.com/office/drawing/2014/main" id="{05610961-AAA4-2D49-AF62-F0B9AA908844}"/>
            </a:ext>
          </a:extLst>
        </xdr:cNvPr>
        <xdr:cNvGrpSpPr/>
      </xdr:nvGrpSpPr>
      <xdr:grpSpPr>
        <a:xfrm>
          <a:off x="10134600" y="1752599"/>
          <a:ext cx="2667000" cy="3048001"/>
          <a:chOff x="10144125" y="790574"/>
          <a:chExt cx="2667000" cy="3048001"/>
        </a:xfrm>
      </xdr:grpSpPr>
      <xdr:sp macro="" textlink="">
        <xdr:nvSpPr>
          <xdr:cNvPr id="19" name="Rectangle: Rounded Corners 18">
            <a:extLst>
              <a:ext uri="{FF2B5EF4-FFF2-40B4-BE49-F238E27FC236}">
                <a16:creationId xmlns:a16="http://schemas.microsoft.com/office/drawing/2014/main" id="{C94495BE-DCA2-882E-3B65-42CBA4D1691D}"/>
              </a:ext>
            </a:extLst>
          </xdr:cNvPr>
          <xdr:cNvSpPr/>
        </xdr:nvSpPr>
        <xdr:spPr>
          <a:xfrm>
            <a:off x="10144125" y="790574"/>
            <a:ext cx="2667000" cy="3048001"/>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TextBox 19">
            <a:extLst>
              <a:ext uri="{FF2B5EF4-FFF2-40B4-BE49-F238E27FC236}">
                <a16:creationId xmlns:a16="http://schemas.microsoft.com/office/drawing/2014/main" id="{470AE233-2348-B4BF-8FA4-FDFA0F8EB8DA}"/>
              </a:ext>
            </a:extLst>
          </xdr:cNvPr>
          <xdr:cNvSpPr txBox="1"/>
        </xdr:nvSpPr>
        <xdr:spPr>
          <a:xfrm>
            <a:off x="10353675" y="885825"/>
            <a:ext cx="2232000" cy="219075"/>
          </a:xfrm>
          <a:prstGeom prst="rect">
            <a:avLst/>
          </a:prstGeom>
          <a:solidFill>
            <a:srgbClr val="70AD4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F8123"/>
                </a:solidFill>
              </a:rPr>
              <a:t>INSIGHTS</a:t>
            </a:r>
          </a:p>
        </xdr:txBody>
      </xdr:sp>
      <xdr:sp macro="" textlink="">
        <xdr:nvSpPr>
          <xdr:cNvPr id="21" name="TextBox 20">
            <a:extLst>
              <a:ext uri="{FF2B5EF4-FFF2-40B4-BE49-F238E27FC236}">
                <a16:creationId xmlns:a16="http://schemas.microsoft.com/office/drawing/2014/main" id="{FAE54C89-EC4B-D434-1823-46EC13E16375}"/>
              </a:ext>
            </a:extLst>
          </xdr:cNvPr>
          <xdr:cNvSpPr txBox="1"/>
        </xdr:nvSpPr>
        <xdr:spPr>
          <a:xfrm>
            <a:off x="10182225" y="1343024"/>
            <a:ext cx="2592000"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1</a:t>
            </a:r>
            <a:r>
              <a:rPr lang="en-IN" sz="1100"/>
              <a:t>- </a:t>
            </a:r>
            <a:r>
              <a:rPr lang="en-IN" sz="1100">
                <a:solidFill>
                  <a:srgbClr val="4F8123"/>
                </a:solidFill>
              </a:rPr>
              <a:t>Area Range (</a:t>
            </a:r>
            <a:r>
              <a:rPr lang="en-IN" sz="1100" b="1">
                <a:solidFill>
                  <a:srgbClr val="4F8123"/>
                </a:solidFill>
              </a:rPr>
              <a:t>4403-402</a:t>
            </a:r>
            <a:r>
              <a:rPr lang="en-IN" sz="1100">
                <a:solidFill>
                  <a:srgbClr val="4F8123"/>
                </a:solidFill>
              </a:rPr>
              <a:t>) sq ft has least Property</a:t>
            </a:r>
            <a:r>
              <a:rPr lang="en-IN" sz="1100" baseline="0">
                <a:solidFill>
                  <a:srgbClr val="4F8123"/>
                </a:solidFill>
              </a:rPr>
              <a:t> sold due to higher price amongst all</a:t>
            </a:r>
            <a:endParaRPr lang="en-IN" sz="1100">
              <a:solidFill>
                <a:srgbClr val="4F8123"/>
              </a:solidFill>
            </a:endParaRPr>
          </a:p>
        </xdr:txBody>
      </xdr:sp>
      <xdr:sp macro="" textlink="">
        <xdr:nvSpPr>
          <xdr:cNvPr id="22" name="TextBox 21">
            <a:extLst>
              <a:ext uri="{FF2B5EF4-FFF2-40B4-BE49-F238E27FC236}">
                <a16:creationId xmlns:a16="http://schemas.microsoft.com/office/drawing/2014/main" id="{B75C72FE-B791-32A7-0D7D-47B59F615C7D}"/>
              </a:ext>
            </a:extLst>
          </xdr:cNvPr>
          <xdr:cNvSpPr txBox="1"/>
        </xdr:nvSpPr>
        <xdr:spPr>
          <a:xfrm>
            <a:off x="10201275" y="2419349"/>
            <a:ext cx="2556000" cy="6953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2</a:t>
            </a:r>
            <a:r>
              <a:rPr lang="en-IN" sz="1100"/>
              <a:t>- </a:t>
            </a:r>
            <a:r>
              <a:rPr lang="en-IN" sz="1100">
                <a:solidFill>
                  <a:srgbClr val="4F8123"/>
                </a:solidFill>
              </a:rPr>
              <a:t>The Average Price of Area Range (</a:t>
            </a:r>
            <a:r>
              <a:rPr lang="en-IN" sz="1100" b="1">
                <a:solidFill>
                  <a:srgbClr val="4F8123"/>
                </a:solidFill>
              </a:rPr>
              <a:t>4403-5402</a:t>
            </a:r>
            <a:r>
              <a:rPr lang="en-IN" sz="1100">
                <a:solidFill>
                  <a:srgbClr val="4F8123"/>
                </a:solidFill>
              </a:rPr>
              <a:t>) is </a:t>
            </a:r>
            <a:r>
              <a:rPr lang="en-IN" sz="1100" b="1">
                <a:solidFill>
                  <a:srgbClr val="4F8123"/>
                </a:solidFill>
              </a:rPr>
              <a:t>9,44,739</a:t>
            </a:r>
            <a:r>
              <a:rPr lang="en-IN" sz="1100" baseline="0">
                <a:solidFill>
                  <a:srgbClr val="4F8123"/>
                </a:solidFill>
              </a:rPr>
              <a:t> while lowest Price of other Area Range is 4,81,064 </a:t>
            </a:r>
            <a:endParaRPr lang="en-IN" sz="1100">
              <a:solidFill>
                <a:srgbClr val="4F8123"/>
              </a:solidFill>
            </a:endParaRPr>
          </a:p>
        </xdr:txBody>
      </xdr:sp>
    </xdr:grpSp>
    <xdr:clientData/>
  </xdr:twoCellAnchor>
  <xdr:twoCellAnchor editAs="oneCell">
    <xdr:from>
      <xdr:col>8</xdr:col>
      <xdr:colOff>428625</xdr:colOff>
      <xdr:row>0</xdr:row>
      <xdr:rowOff>152400</xdr:rowOff>
    </xdr:from>
    <xdr:to>
      <xdr:col>9</xdr:col>
      <xdr:colOff>179025</xdr:colOff>
      <xdr:row>2</xdr:row>
      <xdr:rowOff>131400</xdr:rowOff>
    </xdr:to>
    <xdr:pic>
      <xdr:nvPicPr>
        <xdr:cNvPr id="24" name="Picture 23">
          <a:extLst>
            <a:ext uri="{FF2B5EF4-FFF2-40B4-BE49-F238E27FC236}">
              <a16:creationId xmlns:a16="http://schemas.microsoft.com/office/drawing/2014/main" id="{FC9CEA6C-F60B-4348-8F14-ABAA5ED67B6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305425" y="152400"/>
          <a:ext cx="360000" cy="3600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588000</xdr:colOff>
      <xdr:row>3</xdr:row>
      <xdr:rowOff>148500</xdr:rowOff>
    </xdr:to>
    <xdr:grpSp>
      <xdr:nvGrpSpPr>
        <xdr:cNvPr id="2" name="Group 1">
          <a:extLst>
            <a:ext uri="{FF2B5EF4-FFF2-40B4-BE49-F238E27FC236}">
              <a16:creationId xmlns:a16="http://schemas.microsoft.com/office/drawing/2014/main" id="{07CA04CD-9D8E-4AAA-8A82-DFE5BAD0DC2F}"/>
            </a:ext>
          </a:extLst>
        </xdr:cNvPr>
        <xdr:cNvGrpSpPr/>
      </xdr:nvGrpSpPr>
      <xdr:grpSpPr>
        <a:xfrm>
          <a:off x="0" y="0"/>
          <a:ext cx="12780000" cy="720000"/>
          <a:chOff x="0" y="0"/>
          <a:chExt cx="12564000" cy="720000"/>
        </a:xfrm>
      </xdr:grpSpPr>
      <xdr:sp macro="" textlink="">
        <xdr:nvSpPr>
          <xdr:cNvPr id="3" name="Rectangle: Rounded Corners 2">
            <a:extLst>
              <a:ext uri="{FF2B5EF4-FFF2-40B4-BE49-F238E27FC236}">
                <a16:creationId xmlns:a16="http://schemas.microsoft.com/office/drawing/2014/main" id="{AB1BBE71-0565-23FD-44B1-A60E2A5431B4}"/>
              </a:ext>
            </a:extLst>
          </xdr:cNvPr>
          <xdr:cNvSpPr/>
        </xdr:nvSpPr>
        <xdr:spPr>
          <a:xfrm>
            <a:off x="0" y="0"/>
            <a:ext cx="12564000" cy="720000"/>
          </a:xfrm>
          <a:prstGeom prst="roundRect">
            <a:avLst/>
          </a:prstGeom>
          <a:solidFill>
            <a:srgbClr val="70AD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TextBox 3">
            <a:extLst>
              <a:ext uri="{FF2B5EF4-FFF2-40B4-BE49-F238E27FC236}">
                <a16:creationId xmlns:a16="http://schemas.microsoft.com/office/drawing/2014/main" id="{880D3CDA-2563-AAB5-E40A-DB27C7577098}"/>
              </a:ext>
            </a:extLst>
          </xdr:cNvPr>
          <xdr:cNvSpPr txBox="1"/>
        </xdr:nvSpPr>
        <xdr:spPr>
          <a:xfrm>
            <a:off x="38099" y="28575"/>
            <a:ext cx="2736000" cy="670125"/>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a:solidFill>
                  <a:srgbClr val="4F8123"/>
                </a:solidFill>
              </a:rPr>
              <a:t>HOUSE PRICE DASHBOARD</a:t>
            </a:r>
          </a:p>
        </xdr:txBody>
      </xdr:sp>
      <xdr:pic>
        <xdr:nvPicPr>
          <xdr:cNvPr id="5" name="Picture 4">
            <a:extLst>
              <a:ext uri="{FF2B5EF4-FFF2-40B4-BE49-F238E27FC236}">
                <a16:creationId xmlns:a16="http://schemas.microsoft.com/office/drawing/2014/main" id="{4A89C1D8-3589-ED53-FF88-7FA8B99ABA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0027" y="190500"/>
            <a:ext cx="360000" cy="360000"/>
          </a:xfrm>
          <a:prstGeom prst="rect">
            <a:avLst/>
          </a:prstGeom>
        </xdr:spPr>
      </xdr:pic>
      <xdr:sp macro="" textlink="">
        <xdr:nvSpPr>
          <xdr:cNvPr id="6" name="TextBox 5">
            <a:extLst>
              <a:ext uri="{FF2B5EF4-FFF2-40B4-BE49-F238E27FC236}">
                <a16:creationId xmlns:a16="http://schemas.microsoft.com/office/drawing/2014/main" id="{F8160F2B-8704-DBE8-14B1-3B1405E8DD0C}"/>
              </a:ext>
            </a:extLst>
          </xdr:cNvPr>
          <xdr:cNvSpPr txBox="1"/>
        </xdr:nvSpPr>
        <xdr:spPr>
          <a:xfrm>
            <a:off x="4981575" y="28574"/>
            <a:ext cx="2019300" cy="685801"/>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F8123"/>
                </a:solidFill>
              </a:rPr>
              <a:t>TREND</a:t>
            </a:r>
            <a:r>
              <a:rPr lang="en-IN" sz="1600" b="1" baseline="0">
                <a:solidFill>
                  <a:srgbClr val="4F8123"/>
                </a:solidFill>
              </a:rPr>
              <a:t> ANALYSIS</a:t>
            </a:r>
            <a:endParaRPr lang="en-IN" sz="1600" b="1">
              <a:solidFill>
                <a:srgbClr val="4F8123"/>
              </a:solidFill>
            </a:endParaRPr>
          </a:p>
        </xdr:txBody>
      </xdr:sp>
      <xdr:sp macro="" textlink="">
        <xdr:nvSpPr>
          <xdr:cNvPr id="7" name="TextBox 6">
            <a:hlinkClick xmlns:r="http://schemas.openxmlformats.org/officeDocument/2006/relationships" r:id="rId2"/>
            <a:extLst>
              <a:ext uri="{FF2B5EF4-FFF2-40B4-BE49-F238E27FC236}">
                <a16:creationId xmlns:a16="http://schemas.microsoft.com/office/drawing/2014/main" id="{85DE792F-E5E1-C769-0DDC-AD98B6264B53}"/>
              </a:ext>
            </a:extLst>
          </xdr:cNvPr>
          <xdr:cNvSpPr txBox="1"/>
        </xdr:nvSpPr>
        <xdr:spPr>
          <a:xfrm>
            <a:off x="7772132" y="19051"/>
            <a:ext cx="1530231" cy="695324"/>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OVERVIEW</a:t>
            </a:r>
          </a:p>
        </xdr:txBody>
      </xdr:sp>
      <xdr:sp macro="" textlink="">
        <xdr:nvSpPr>
          <xdr:cNvPr id="8" name="TextBox 7">
            <a:hlinkClick xmlns:r="http://schemas.openxmlformats.org/officeDocument/2006/relationships" r:id="rId3"/>
            <a:extLst>
              <a:ext uri="{FF2B5EF4-FFF2-40B4-BE49-F238E27FC236}">
                <a16:creationId xmlns:a16="http://schemas.microsoft.com/office/drawing/2014/main" id="{C3B01AF4-86EB-C558-AAF6-6958D725D42B}"/>
              </a:ext>
            </a:extLst>
          </xdr:cNvPr>
          <xdr:cNvSpPr txBox="1"/>
        </xdr:nvSpPr>
        <xdr:spPr>
          <a:xfrm>
            <a:off x="9144000" y="28576"/>
            <a:ext cx="1485900" cy="666750"/>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ANALYZE</a:t>
            </a:r>
          </a:p>
        </xdr:txBody>
      </xdr:sp>
      <xdr:pic>
        <xdr:nvPicPr>
          <xdr:cNvPr id="9" name="Picture 8">
            <a:hlinkClick xmlns:r="http://schemas.openxmlformats.org/officeDocument/2006/relationships" r:id="rId4"/>
            <a:extLst>
              <a:ext uri="{FF2B5EF4-FFF2-40B4-BE49-F238E27FC236}">
                <a16:creationId xmlns:a16="http://schemas.microsoft.com/office/drawing/2014/main" id="{224FF753-1B1A-3B9A-2970-E34EC57725A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96625" y="180975"/>
            <a:ext cx="360000" cy="360000"/>
          </a:xfrm>
          <a:prstGeom prst="rect">
            <a:avLst/>
          </a:prstGeom>
        </xdr:spPr>
      </xdr:pic>
      <xdr:pic>
        <xdr:nvPicPr>
          <xdr:cNvPr id="10" name="Picture 9">
            <a:hlinkClick xmlns:r="http://schemas.openxmlformats.org/officeDocument/2006/relationships" r:id="rId6"/>
            <a:extLst>
              <a:ext uri="{FF2B5EF4-FFF2-40B4-BE49-F238E27FC236}">
                <a16:creationId xmlns:a16="http://schemas.microsoft.com/office/drawing/2014/main" id="{AC67B54A-D539-4935-8D36-2C24E52031B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868150" y="190500"/>
            <a:ext cx="360000" cy="360000"/>
          </a:xfrm>
          <a:prstGeom prst="rect">
            <a:avLst/>
          </a:prstGeom>
        </xdr:spPr>
      </xdr:pic>
    </xdr:grpSp>
    <xdr:clientData/>
  </xdr:twoCellAnchor>
  <xdr:twoCellAnchor editAs="oneCell">
    <xdr:from>
      <xdr:col>8</xdr:col>
      <xdr:colOff>76200</xdr:colOff>
      <xdr:row>0</xdr:row>
      <xdr:rowOff>142875</xdr:rowOff>
    </xdr:from>
    <xdr:to>
      <xdr:col>8</xdr:col>
      <xdr:colOff>436200</xdr:colOff>
      <xdr:row>2</xdr:row>
      <xdr:rowOff>121875</xdr:rowOff>
    </xdr:to>
    <xdr:pic>
      <xdr:nvPicPr>
        <xdr:cNvPr id="11" name="Picture 10">
          <a:extLst>
            <a:ext uri="{FF2B5EF4-FFF2-40B4-BE49-F238E27FC236}">
              <a16:creationId xmlns:a16="http://schemas.microsoft.com/office/drawing/2014/main" id="{3A304A31-3FD3-48A5-B4B8-E1028951FBC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953000" y="142875"/>
          <a:ext cx="360000" cy="360000"/>
        </a:xfrm>
        <a:prstGeom prst="rect">
          <a:avLst/>
        </a:prstGeom>
      </xdr:spPr>
    </xdr:pic>
    <xdr:clientData/>
  </xdr:twoCellAnchor>
  <xdr:twoCellAnchor>
    <xdr:from>
      <xdr:col>0</xdr:col>
      <xdr:colOff>238125</xdr:colOff>
      <xdr:row>4</xdr:row>
      <xdr:rowOff>9525</xdr:rowOff>
    </xdr:from>
    <xdr:to>
      <xdr:col>9</xdr:col>
      <xdr:colOff>151725</xdr:colOff>
      <xdr:row>18</xdr:row>
      <xdr:rowOff>186525</xdr:rowOff>
    </xdr:to>
    <xdr:graphicFrame macro="">
      <xdr:nvGraphicFramePr>
        <xdr:cNvPr id="12" name="Chart 11">
          <a:extLst>
            <a:ext uri="{FF2B5EF4-FFF2-40B4-BE49-F238E27FC236}">
              <a16:creationId xmlns:a16="http://schemas.microsoft.com/office/drawing/2014/main" id="{199673A9-111E-4984-BA80-6354735B2C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542925</xdr:colOff>
      <xdr:row>4</xdr:row>
      <xdr:rowOff>0</xdr:rowOff>
    </xdr:from>
    <xdr:to>
      <xdr:col>20</xdr:col>
      <xdr:colOff>456525</xdr:colOff>
      <xdr:row>19</xdr:row>
      <xdr:rowOff>22500</xdr:rowOff>
    </xdr:to>
    <xdr:graphicFrame macro="">
      <xdr:nvGraphicFramePr>
        <xdr:cNvPr id="13" name="Chart 12">
          <a:extLst>
            <a:ext uri="{FF2B5EF4-FFF2-40B4-BE49-F238E27FC236}">
              <a16:creationId xmlns:a16="http://schemas.microsoft.com/office/drawing/2014/main" id="{853FD5B1-66CB-480E-870F-C84CFE3AE3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228600</xdr:colOff>
      <xdr:row>18</xdr:row>
      <xdr:rowOff>180975</xdr:rowOff>
    </xdr:from>
    <xdr:to>
      <xdr:col>9</xdr:col>
      <xdr:colOff>142200</xdr:colOff>
      <xdr:row>33</xdr:row>
      <xdr:rowOff>167475</xdr:rowOff>
    </xdr:to>
    <xdr:graphicFrame macro="">
      <xdr:nvGraphicFramePr>
        <xdr:cNvPr id="14" name="Chart 13">
          <a:extLst>
            <a:ext uri="{FF2B5EF4-FFF2-40B4-BE49-F238E27FC236}">
              <a16:creationId xmlns:a16="http://schemas.microsoft.com/office/drawing/2014/main" id="{5C3C7494-4CC2-428E-8461-1E52C6442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533400</xdr:colOff>
      <xdr:row>19</xdr:row>
      <xdr:rowOff>9525</xdr:rowOff>
    </xdr:from>
    <xdr:to>
      <xdr:col>20</xdr:col>
      <xdr:colOff>447000</xdr:colOff>
      <xdr:row>33</xdr:row>
      <xdr:rowOff>186525</xdr:rowOff>
    </xdr:to>
    <xdr:graphicFrame macro="">
      <xdr:nvGraphicFramePr>
        <xdr:cNvPr id="15" name="Chart 14">
          <a:extLst>
            <a:ext uri="{FF2B5EF4-FFF2-40B4-BE49-F238E27FC236}">
              <a16:creationId xmlns:a16="http://schemas.microsoft.com/office/drawing/2014/main" id="{82C1671A-2AF0-44DE-BF8F-AF28DC8AEF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588000</xdr:colOff>
      <xdr:row>3</xdr:row>
      <xdr:rowOff>148500</xdr:rowOff>
    </xdr:to>
    <xdr:grpSp>
      <xdr:nvGrpSpPr>
        <xdr:cNvPr id="9" name="Group 8">
          <a:extLst>
            <a:ext uri="{FF2B5EF4-FFF2-40B4-BE49-F238E27FC236}">
              <a16:creationId xmlns:a16="http://schemas.microsoft.com/office/drawing/2014/main" id="{C508A5B3-9D61-6574-911F-65A68DDCB64E}"/>
            </a:ext>
          </a:extLst>
        </xdr:cNvPr>
        <xdr:cNvGrpSpPr/>
      </xdr:nvGrpSpPr>
      <xdr:grpSpPr>
        <a:xfrm>
          <a:off x="0" y="0"/>
          <a:ext cx="12780000" cy="720000"/>
          <a:chOff x="0" y="0"/>
          <a:chExt cx="12780000" cy="720000"/>
        </a:xfrm>
      </xdr:grpSpPr>
      <xdr:grpSp>
        <xdr:nvGrpSpPr>
          <xdr:cNvPr id="2" name="Group 1">
            <a:extLst>
              <a:ext uri="{FF2B5EF4-FFF2-40B4-BE49-F238E27FC236}">
                <a16:creationId xmlns:a16="http://schemas.microsoft.com/office/drawing/2014/main" id="{59780568-2945-491D-80FD-D5C01532D22B}"/>
              </a:ext>
            </a:extLst>
          </xdr:cNvPr>
          <xdr:cNvGrpSpPr/>
        </xdr:nvGrpSpPr>
        <xdr:grpSpPr>
          <a:xfrm>
            <a:off x="0" y="0"/>
            <a:ext cx="12780000" cy="720000"/>
            <a:chOff x="0" y="0"/>
            <a:chExt cx="12564000" cy="720000"/>
          </a:xfrm>
        </xdr:grpSpPr>
        <xdr:sp macro="" textlink="">
          <xdr:nvSpPr>
            <xdr:cNvPr id="3" name="Rectangle: Rounded Corners 2">
              <a:extLst>
                <a:ext uri="{FF2B5EF4-FFF2-40B4-BE49-F238E27FC236}">
                  <a16:creationId xmlns:a16="http://schemas.microsoft.com/office/drawing/2014/main" id="{DE5997CF-3AB2-9526-A307-93FD26E8D423}"/>
                </a:ext>
              </a:extLst>
            </xdr:cNvPr>
            <xdr:cNvSpPr/>
          </xdr:nvSpPr>
          <xdr:spPr>
            <a:xfrm>
              <a:off x="0" y="0"/>
              <a:ext cx="12564000" cy="720000"/>
            </a:xfrm>
            <a:prstGeom prst="roundRect">
              <a:avLst/>
            </a:prstGeom>
            <a:solidFill>
              <a:srgbClr val="70AD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solidFill>
                  <a:srgbClr val="4F8123"/>
                </a:solidFill>
              </a:endParaRPr>
            </a:p>
          </xdr:txBody>
        </xdr:sp>
        <xdr:sp macro="" textlink="">
          <xdr:nvSpPr>
            <xdr:cNvPr id="4" name="TextBox 3">
              <a:extLst>
                <a:ext uri="{FF2B5EF4-FFF2-40B4-BE49-F238E27FC236}">
                  <a16:creationId xmlns:a16="http://schemas.microsoft.com/office/drawing/2014/main" id="{706F1FC6-44A4-225F-999F-8E596F18EDD4}"/>
                </a:ext>
              </a:extLst>
            </xdr:cNvPr>
            <xdr:cNvSpPr txBox="1"/>
          </xdr:nvSpPr>
          <xdr:spPr>
            <a:xfrm>
              <a:off x="38099" y="28575"/>
              <a:ext cx="2736000" cy="670125"/>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0">
                  <a:solidFill>
                    <a:srgbClr val="4F8123"/>
                  </a:solidFill>
                </a:rPr>
                <a:t>HOUSE PRICE DASHBOARD</a:t>
              </a:r>
            </a:p>
          </xdr:txBody>
        </xdr:sp>
        <xdr:pic>
          <xdr:nvPicPr>
            <xdr:cNvPr id="5" name="Picture 4">
              <a:extLst>
                <a:ext uri="{FF2B5EF4-FFF2-40B4-BE49-F238E27FC236}">
                  <a16:creationId xmlns:a16="http://schemas.microsoft.com/office/drawing/2014/main" id="{072487AC-997D-E581-540E-76C7D7E94B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73843" y="190500"/>
              <a:ext cx="360000" cy="360000"/>
            </a:xfrm>
            <a:prstGeom prst="rect">
              <a:avLst/>
            </a:prstGeom>
          </xdr:spPr>
        </xdr:pic>
        <xdr:sp macro="" textlink="">
          <xdr:nvSpPr>
            <xdr:cNvPr id="6" name="TextBox 5">
              <a:extLst>
                <a:ext uri="{FF2B5EF4-FFF2-40B4-BE49-F238E27FC236}">
                  <a16:creationId xmlns:a16="http://schemas.microsoft.com/office/drawing/2014/main" id="{999E8FDA-8FB1-A80B-D30A-992F235647AE}"/>
                </a:ext>
              </a:extLst>
            </xdr:cNvPr>
            <xdr:cNvSpPr txBox="1"/>
          </xdr:nvSpPr>
          <xdr:spPr>
            <a:xfrm>
              <a:off x="4981575" y="28574"/>
              <a:ext cx="2019300" cy="685801"/>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IN" sz="1600" b="0">
                <a:solidFill>
                  <a:srgbClr val="4F8123"/>
                </a:solidFill>
              </a:endParaRPr>
            </a:p>
          </xdr:txBody>
        </xdr:sp>
        <xdr:sp macro="" textlink="">
          <xdr:nvSpPr>
            <xdr:cNvPr id="7" name="TextBox 6">
              <a:hlinkClick xmlns:r="http://schemas.openxmlformats.org/officeDocument/2006/relationships" r:id="rId2"/>
              <a:extLst>
                <a:ext uri="{FF2B5EF4-FFF2-40B4-BE49-F238E27FC236}">
                  <a16:creationId xmlns:a16="http://schemas.microsoft.com/office/drawing/2014/main" id="{715A0065-AE0B-F537-7477-1F8303CC635D}"/>
                </a:ext>
              </a:extLst>
            </xdr:cNvPr>
            <xdr:cNvSpPr txBox="1"/>
          </xdr:nvSpPr>
          <xdr:spPr>
            <a:xfrm>
              <a:off x="8748190" y="19051"/>
              <a:ext cx="876299" cy="695324"/>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ANALYZE</a:t>
              </a:r>
            </a:p>
          </xdr:txBody>
        </xdr:sp>
        <xdr:sp macro="" textlink="">
          <xdr:nvSpPr>
            <xdr:cNvPr id="8" name="TextBox 7">
              <a:hlinkClick xmlns:r="http://schemas.openxmlformats.org/officeDocument/2006/relationships" r:id="rId3"/>
              <a:extLst>
                <a:ext uri="{FF2B5EF4-FFF2-40B4-BE49-F238E27FC236}">
                  <a16:creationId xmlns:a16="http://schemas.microsoft.com/office/drawing/2014/main" id="{36242A6F-222A-D40B-FF84-8391E38C3CA3}"/>
                </a:ext>
              </a:extLst>
            </xdr:cNvPr>
            <xdr:cNvSpPr txBox="1"/>
          </xdr:nvSpPr>
          <xdr:spPr>
            <a:xfrm>
              <a:off x="9677747" y="19051"/>
              <a:ext cx="1718257" cy="666750"/>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0">
                  <a:solidFill>
                    <a:srgbClr val="4F8123"/>
                  </a:solidFill>
                </a:rPr>
                <a:t>      </a:t>
              </a:r>
              <a:r>
                <a:rPr lang="en-IN" sz="1400" b="1">
                  <a:solidFill>
                    <a:srgbClr val="4F8123"/>
                  </a:solidFill>
                </a:rPr>
                <a:t>TREND ANALYSIS</a:t>
              </a:r>
            </a:p>
          </xdr:txBody>
        </xdr:sp>
        <xdr:pic>
          <xdr:nvPicPr>
            <xdr:cNvPr id="10" name="Picture 9">
              <a:hlinkClick xmlns:r="http://schemas.openxmlformats.org/officeDocument/2006/relationships" r:id="rId4"/>
              <a:extLst>
                <a:ext uri="{FF2B5EF4-FFF2-40B4-BE49-F238E27FC236}">
                  <a16:creationId xmlns:a16="http://schemas.microsoft.com/office/drawing/2014/main" id="{65953ECC-F865-A749-4C32-F7E15F33153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868150" y="190500"/>
              <a:ext cx="360000" cy="360000"/>
            </a:xfrm>
            <a:prstGeom prst="rect">
              <a:avLst/>
            </a:prstGeom>
          </xdr:spPr>
        </xdr:pic>
      </xdr:grpSp>
      <xdr:pic>
        <xdr:nvPicPr>
          <xdr:cNvPr id="12" name="Picture 11">
            <a:extLst>
              <a:ext uri="{FF2B5EF4-FFF2-40B4-BE49-F238E27FC236}">
                <a16:creationId xmlns:a16="http://schemas.microsoft.com/office/drawing/2014/main" id="{A0A7E876-EE9E-C930-A0D5-21D0EC5FC67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610225" y="85725"/>
            <a:ext cx="540000" cy="540000"/>
          </a:xfrm>
          <a:prstGeom prst="rect">
            <a:avLst/>
          </a:prstGeom>
        </xdr:spPr>
      </xdr:pic>
    </xdr:grpSp>
    <xdr:clientData/>
  </xdr:twoCellAnchor>
  <xdr:twoCellAnchor>
    <xdr:from>
      <xdr:col>12</xdr:col>
      <xdr:colOff>200024</xdr:colOff>
      <xdr:row>0</xdr:row>
      <xdr:rowOff>28576</xdr:rowOff>
    </xdr:from>
    <xdr:to>
      <xdr:col>14</xdr:col>
      <xdr:colOff>171449</xdr:colOff>
      <xdr:row>3</xdr:row>
      <xdr:rowOff>142876</xdr:rowOff>
    </xdr:to>
    <xdr:sp macro="" textlink="">
      <xdr:nvSpPr>
        <xdr:cNvPr id="13" name="TextBox 12">
          <a:hlinkClick xmlns:r="http://schemas.openxmlformats.org/officeDocument/2006/relationships" r:id="rId7"/>
          <a:extLst>
            <a:ext uri="{FF2B5EF4-FFF2-40B4-BE49-F238E27FC236}">
              <a16:creationId xmlns:a16="http://schemas.microsoft.com/office/drawing/2014/main" id="{B01311E1-38AC-B425-BA8C-7FDE51B71FBB}"/>
            </a:ext>
          </a:extLst>
        </xdr:cNvPr>
        <xdr:cNvSpPr txBox="1"/>
      </xdr:nvSpPr>
      <xdr:spPr>
        <a:xfrm>
          <a:off x="7515224" y="28576"/>
          <a:ext cx="1190625" cy="685800"/>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OVERVIEW</a:t>
          </a:r>
        </a:p>
      </xdr:txBody>
    </xdr:sp>
    <xdr:clientData/>
  </xdr:twoCellAnchor>
  <xdr:twoCellAnchor>
    <xdr:from>
      <xdr:col>0</xdr:col>
      <xdr:colOff>0</xdr:colOff>
      <xdr:row>5</xdr:row>
      <xdr:rowOff>19050</xdr:rowOff>
    </xdr:from>
    <xdr:to>
      <xdr:col>20</xdr:col>
      <xdr:colOff>588000</xdr:colOff>
      <xdr:row>8</xdr:row>
      <xdr:rowOff>95250</xdr:rowOff>
    </xdr:to>
    <xdr:sp macro="" textlink="">
      <xdr:nvSpPr>
        <xdr:cNvPr id="14" name="Rectangle: Rounded Corners 13">
          <a:extLst>
            <a:ext uri="{FF2B5EF4-FFF2-40B4-BE49-F238E27FC236}">
              <a16:creationId xmlns:a16="http://schemas.microsoft.com/office/drawing/2014/main" id="{90004E59-7DBE-AF90-6647-D65EFF468D65}"/>
            </a:ext>
          </a:extLst>
        </xdr:cNvPr>
        <xdr:cNvSpPr/>
      </xdr:nvSpPr>
      <xdr:spPr>
        <a:xfrm>
          <a:off x="0" y="971550"/>
          <a:ext cx="12780000" cy="6477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r>
            <a:rPr lang="en-IN" sz="1100"/>
            <a:t>                           </a:t>
          </a:r>
          <a:r>
            <a:rPr lang="en-IN" sz="1400" b="1">
              <a:solidFill>
                <a:srgbClr val="4F8123"/>
              </a:solidFill>
            </a:rPr>
            <a:t>Area Sq Ft, Bedrooms, Bathrooms</a:t>
          </a:r>
          <a:r>
            <a:rPr lang="en-IN" sz="1400" b="1" baseline="0">
              <a:solidFill>
                <a:srgbClr val="4F8123"/>
              </a:solidFill>
            </a:rPr>
            <a:t> follows Trend while Age, Distance City Km don't follows Trend</a:t>
          </a:r>
          <a:endParaRPr lang="en-IN" sz="1400" b="1">
            <a:solidFill>
              <a:srgbClr val="4F8123"/>
            </a:solidFill>
          </a:endParaRPr>
        </a:p>
      </xdr:txBody>
    </xdr:sp>
    <xdr:clientData/>
  </xdr:twoCellAnchor>
  <xdr:twoCellAnchor editAs="oneCell">
    <xdr:from>
      <xdr:col>0</xdr:col>
      <xdr:colOff>47625</xdr:colOff>
      <xdr:row>4</xdr:row>
      <xdr:rowOff>180975</xdr:rowOff>
    </xdr:from>
    <xdr:to>
      <xdr:col>1</xdr:col>
      <xdr:colOff>158025</xdr:colOff>
      <xdr:row>8</xdr:row>
      <xdr:rowOff>138975</xdr:rowOff>
    </xdr:to>
    <xdr:pic>
      <xdr:nvPicPr>
        <xdr:cNvPr id="16" name="Picture 15">
          <a:extLst>
            <a:ext uri="{FF2B5EF4-FFF2-40B4-BE49-F238E27FC236}">
              <a16:creationId xmlns:a16="http://schemas.microsoft.com/office/drawing/2014/main" id="{69C04056-EBA9-C671-42CD-C99C505D61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7625" y="942975"/>
          <a:ext cx="720000" cy="720000"/>
        </a:xfrm>
        <a:prstGeom prst="rect">
          <a:avLst/>
        </a:prstGeom>
      </xdr:spPr>
    </xdr:pic>
    <xdr:clientData/>
  </xdr:twoCellAnchor>
  <xdr:twoCellAnchor>
    <xdr:from>
      <xdr:col>0</xdr:col>
      <xdr:colOff>0</xdr:colOff>
      <xdr:row>10</xdr:row>
      <xdr:rowOff>19050</xdr:rowOff>
    </xdr:from>
    <xdr:to>
      <xdr:col>20</xdr:col>
      <xdr:colOff>588000</xdr:colOff>
      <xdr:row>13</xdr:row>
      <xdr:rowOff>95250</xdr:rowOff>
    </xdr:to>
    <xdr:sp macro="" textlink="">
      <xdr:nvSpPr>
        <xdr:cNvPr id="17" name="Rectangle: Rounded Corners 16">
          <a:extLst>
            <a:ext uri="{FF2B5EF4-FFF2-40B4-BE49-F238E27FC236}">
              <a16:creationId xmlns:a16="http://schemas.microsoft.com/office/drawing/2014/main" id="{90861CC4-1648-409A-91A7-C58A03247F17}"/>
            </a:ext>
          </a:extLst>
        </xdr:cNvPr>
        <xdr:cNvSpPr/>
      </xdr:nvSpPr>
      <xdr:spPr>
        <a:xfrm>
          <a:off x="0" y="1924050"/>
          <a:ext cx="12780000" cy="6477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r>
            <a:rPr lang="en-IN" sz="1100"/>
            <a:t>                       </a:t>
          </a:r>
          <a:r>
            <a:rPr lang="en-IN" sz="1100" baseline="0"/>
            <a:t> </a:t>
          </a:r>
          <a:r>
            <a:rPr lang="en-IN" sz="1100"/>
            <a:t>  </a:t>
          </a:r>
          <a:r>
            <a:rPr lang="en-IN" sz="1400" b="1">
              <a:solidFill>
                <a:srgbClr val="4F8123"/>
              </a:solidFill>
            </a:rPr>
            <a:t>The difference</a:t>
          </a:r>
          <a:r>
            <a:rPr lang="en-IN" sz="1400" b="1" baseline="0">
              <a:solidFill>
                <a:srgbClr val="4F8123"/>
              </a:solidFill>
            </a:rPr>
            <a:t> of Average Price between 4 Bedroms and 5 Bedrooms is 3449 as 4 Bedrooms is  783610 and 5 Bedrooms is 787059</a:t>
          </a:r>
          <a:endParaRPr lang="en-IN" sz="1400" b="1">
            <a:solidFill>
              <a:srgbClr val="4F8123"/>
            </a:solidFill>
          </a:endParaRPr>
        </a:p>
      </xdr:txBody>
    </xdr:sp>
    <xdr:clientData/>
  </xdr:twoCellAnchor>
  <xdr:twoCellAnchor editAs="oneCell">
    <xdr:from>
      <xdr:col>0</xdr:col>
      <xdr:colOff>85725</xdr:colOff>
      <xdr:row>10</xdr:row>
      <xdr:rowOff>76200</xdr:rowOff>
    </xdr:from>
    <xdr:to>
      <xdr:col>1</xdr:col>
      <xdr:colOff>16125</xdr:colOff>
      <xdr:row>13</xdr:row>
      <xdr:rowOff>44700</xdr:rowOff>
    </xdr:to>
    <xdr:pic>
      <xdr:nvPicPr>
        <xdr:cNvPr id="27" name="Picture 26">
          <a:extLst>
            <a:ext uri="{FF2B5EF4-FFF2-40B4-BE49-F238E27FC236}">
              <a16:creationId xmlns:a16="http://schemas.microsoft.com/office/drawing/2014/main" id="{293C1688-B504-77F4-0F9C-3CDF94AFCC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5725" y="1981200"/>
          <a:ext cx="540000" cy="540000"/>
        </a:xfrm>
        <a:prstGeom prst="rect">
          <a:avLst/>
        </a:prstGeom>
      </xdr:spPr>
    </xdr:pic>
    <xdr:clientData/>
  </xdr:twoCellAnchor>
  <xdr:twoCellAnchor>
    <xdr:from>
      <xdr:col>0</xdr:col>
      <xdr:colOff>0</xdr:colOff>
      <xdr:row>15</xdr:row>
      <xdr:rowOff>66675</xdr:rowOff>
    </xdr:from>
    <xdr:to>
      <xdr:col>20</xdr:col>
      <xdr:colOff>588000</xdr:colOff>
      <xdr:row>18</xdr:row>
      <xdr:rowOff>142875</xdr:rowOff>
    </xdr:to>
    <xdr:sp macro="" textlink="">
      <xdr:nvSpPr>
        <xdr:cNvPr id="28" name="Rectangle: Rounded Corners 27">
          <a:extLst>
            <a:ext uri="{FF2B5EF4-FFF2-40B4-BE49-F238E27FC236}">
              <a16:creationId xmlns:a16="http://schemas.microsoft.com/office/drawing/2014/main" id="{6D400174-18C1-409E-8E85-955328D4E46D}"/>
            </a:ext>
          </a:extLst>
        </xdr:cNvPr>
        <xdr:cNvSpPr/>
      </xdr:nvSpPr>
      <xdr:spPr>
        <a:xfrm>
          <a:off x="0" y="2924175"/>
          <a:ext cx="12780000" cy="647700"/>
        </a:xfrm>
        <a:prstGeom prst="roundRect">
          <a:avLst/>
        </a:prstGeom>
        <a:solidFill>
          <a:srgbClr val="A9D86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r>
            <a:rPr lang="en-IN" sz="1100"/>
            <a:t>                           </a:t>
          </a:r>
          <a:r>
            <a:rPr lang="en-IN" sz="1400" b="1">
              <a:solidFill>
                <a:srgbClr val="4F8123"/>
              </a:solidFill>
            </a:rPr>
            <a:t>The difference of Average Price between 1 Parking and 2 Parking is 410 as 1 Parking is 713289 and 2 Parking is 713699</a:t>
          </a:r>
        </a:p>
      </xdr:txBody>
    </xdr:sp>
    <xdr:clientData/>
  </xdr:twoCellAnchor>
  <xdr:twoCellAnchor editAs="oneCell">
    <xdr:from>
      <xdr:col>0</xdr:col>
      <xdr:colOff>76200</xdr:colOff>
      <xdr:row>15</xdr:row>
      <xdr:rowOff>114300</xdr:rowOff>
    </xdr:from>
    <xdr:to>
      <xdr:col>1</xdr:col>
      <xdr:colOff>6600</xdr:colOff>
      <xdr:row>18</xdr:row>
      <xdr:rowOff>82800</xdr:rowOff>
    </xdr:to>
    <xdr:pic>
      <xdr:nvPicPr>
        <xdr:cNvPr id="30" name="Picture 29">
          <a:extLst>
            <a:ext uri="{FF2B5EF4-FFF2-40B4-BE49-F238E27FC236}">
              <a16:creationId xmlns:a16="http://schemas.microsoft.com/office/drawing/2014/main" id="{9C77DDAB-BF23-A9C8-9BED-8116290152E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6200" y="2971800"/>
          <a:ext cx="540000" cy="540000"/>
        </a:xfrm>
        <a:prstGeom prst="rect">
          <a:avLst/>
        </a:prstGeom>
      </xdr:spPr>
    </xdr:pic>
    <xdr:clientData/>
  </xdr:twoCellAnchor>
  <xdr:twoCellAnchor editAs="oneCell">
    <xdr:from>
      <xdr:col>8</xdr:col>
      <xdr:colOff>323850</xdr:colOff>
      <xdr:row>0</xdr:row>
      <xdr:rowOff>171450</xdr:rowOff>
    </xdr:from>
    <xdr:to>
      <xdr:col>9</xdr:col>
      <xdr:colOff>74250</xdr:colOff>
      <xdr:row>2</xdr:row>
      <xdr:rowOff>150450</xdr:rowOff>
    </xdr:to>
    <xdr:pic>
      <xdr:nvPicPr>
        <xdr:cNvPr id="15" name="Picture 14">
          <a:extLst>
            <a:ext uri="{FF2B5EF4-FFF2-40B4-BE49-F238E27FC236}">
              <a16:creationId xmlns:a16="http://schemas.microsoft.com/office/drawing/2014/main" id="{91D68C8D-0178-14B3-056A-C0EEEB44E0B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200650" y="171450"/>
          <a:ext cx="360000" cy="3600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13</xdr:col>
      <xdr:colOff>214426</xdr:colOff>
      <xdr:row>3</xdr:row>
      <xdr:rowOff>148500</xdr:rowOff>
    </xdr:to>
    <xdr:grpSp>
      <xdr:nvGrpSpPr>
        <xdr:cNvPr id="11" name="Group 10">
          <a:extLst>
            <a:ext uri="{FF2B5EF4-FFF2-40B4-BE49-F238E27FC236}">
              <a16:creationId xmlns:a16="http://schemas.microsoft.com/office/drawing/2014/main" id="{8AB82591-9CF3-545E-3D56-C82D306A3E6D}"/>
            </a:ext>
          </a:extLst>
        </xdr:cNvPr>
        <xdr:cNvGrpSpPr/>
      </xdr:nvGrpSpPr>
      <xdr:grpSpPr>
        <a:xfrm>
          <a:off x="1" y="0"/>
          <a:ext cx="12816000" cy="720000"/>
          <a:chOff x="0" y="0"/>
          <a:chExt cx="12384951" cy="720000"/>
        </a:xfrm>
      </xdr:grpSpPr>
      <xdr:sp macro="" textlink="">
        <xdr:nvSpPr>
          <xdr:cNvPr id="13" name="Rectangle: Rounded Corners 12">
            <a:extLst>
              <a:ext uri="{FF2B5EF4-FFF2-40B4-BE49-F238E27FC236}">
                <a16:creationId xmlns:a16="http://schemas.microsoft.com/office/drawing/2014/main" id="{0612AD01-F31F-040C-5588-34A1D1A74F78}"/>
              </a:ext>
            </a:extLst>
          </xdr:cNvPr>
          <xdr:cNvSpPr/>
        </xdr:nvSpPr>
        <xdr:spPr>
          <a:xfrm>
            <a:off x="0" y="0"/>
            <a:ext cx="12384951" cy="720000"/>
          </a:xfrm>
          <a:prstGeom prst="roundRect">
            <a:avLst/>
          </a:prstGeom>
          <a:solidFill>
            <a:srgbClr val="70AD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solidFill>
                <a:srgbClr val="4F8123"/>
              </a:solidFill>
            </a:endParaRPr>
          </a:p>
        </xdr:txBody>
      </xdr:sp>
      <xdr:sp macro="" textlink="">
        <xdr:nvSpPr>
          <xdr:cNvPr id="14" name="TextBox 13">
            <a:extLst>
              <a:ext uri="{FF2B5EF4-FFF2-40B4-BE49-F238E27FC236}">
                <a16:creationId xmlns:a16="http://schemas.microsoft.com/office/drawing/2014/main" id="{877C41AB-F831-A9A7-E9C7-06BD187E593B}"/>
              </a:ext>
            </a:extLst>
          </xdr:cNvPr>
          <xdr:cNvSpPr txBox="1"/>
        </xdr:nvSpPr>
        <xdr:spPr>
          <a:xfrm>
            <a:off x="38099" y="28575"/>
            <a:ext cx="2736000" cy="670125"/>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0">
                <a:solidFill>
                  <a:srgbClr val="4F8123"/>
                </a:solidFill>
              </a:rPr>
              <a:t>HOUSE PRICE DASHBOARD</a:t>
            </a:r>
          </a:p>
        </xdr:txBody>
      </xdr:sp>
      <xdr:pic>
        <xdr:nvPicPr>
          <xdr:cNvPr id="15" name="Picture 14">
            <a:extLst>
              <a:ext uri="{FF2B5EF4-FFF2-40B4-BE49-F238E27FC236}">
                <a16:creationId xmlns:a16="http://schemas.microsoft.com/office/drawing/2014/main" id="{45CB8B28-2E6C-AD4C-F259-E8AF35A519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60247" y="200025"/>
            <a:ext cx="360000" cy="360000"/>
          </a:xfrm>
          <a:prstGeom prst="rect">
            <a:avLst/>
          </a:prstGeom>
        </xdr:spPr>
      </xdr:pic>
      <xdr:sp macro="" textlink="">
        <xdr:nvSpPr>
          <xdr:cNvPr id="16" name="TextBox 15">
            <a:extLst>
              <a:ext uri="{FF2B5EF4-FFF2-40B4-BE49-F238E27FC236}">
                <a16:creationId xmlns:a16="http://schemas.microsoft.com/office/drawing/2014/main" id="{7546A6EC-ED45-B974-8590-B4A5F7A44104}"/>
              </a:ext>
            </a:extLst>
          </xdr:cNvPr>
          <xdr:cNvSpPr txBox="1"/>
        </xdr:nvSpPr>
        <xdr:spPr>
          <a:xfrm>
            <a:off x="4981575" y="28574"/>
            <a:ext cx="2019300" cy="685801"/>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IN" sz="1600" b="0">
              <a:solidFill>
                <a:srgbClr val="4F8123"/>
              </a:solidFill>
            </a:endParaRPr>
          </a:p>
        </xdr:txBody>
      </xdr:sp>
      <xdr:sp macro="" textlink="">
        <xdr:nvSpPr>
          <xdr:cNvPr id="17" name="TextBox 16">
            <a:hlinkClick xmlns:r="http://schemas.openxmlformats.org/officeDocument/2006/relationships" r:id="rId2"/>
            <a:extLst>
              <a:ext uri="{FF2B5EF4-FFF2-40B4-BE49-F238E27FC236}">
                <a16:creationId xmlns:a16="http://schemas.microsoft.com/office/drawing/2014/main" id="{A21CD17B-98F9-576C-9904-1D0A68527931}"/>
              </a:ext>
            </a:extLst>
          </xdr:cNvPr>
          <xdr:cNvSpPr txBox="1"/>
        </xdr:nvSpPr>
        <xdr:spPr>
          <a:xfrm>
            <a:off x="8141686" y="9525"/>
            <a:ext cx="876299" cy="695324"/>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F8123"/>
                </a:solidFill>
              </a:rPr>
              <a:t>ANALYZE</a:t>
            </a:r>
          </a:p>
        </xdr:txBody>
      </xdr:sp>
      <xdr:sp macro="" textlink="">
        <xdr:nvSpPr>
          <xdr:cNvPr id="18" name="TextBox 17">
            <a:hlinkClick xmlns:r="http://schemas.openxmlformats.org/officeDocument/2006/relationships" r:id="rId3"/>
            <a:extLst>
              <a:ext uri="{FF2B5EF4-FFF2-40B4-BE49-F238E27FC236}">
                <a16:creationId xmlns:a16="http://schemas.microsoft.com/office/drawing/2014/main" id="{0D0B0110-4964-50F2-2F78-F642DBB4A8FE}"/>
              </a:ext>
            </a:extLst>
          </xdr:cNvPr>
          <xdr:cNvSpPr txBox="1"/>
        </xdr:nvSpPr>
        <xdr:spPr>
          <a:xfrm>
            <a:off x="9170914" y="47626"/>
            <a:ext cx="1718257" cy="666750"/>
          </a:xfrm>
          <a:prstGeom prst="rect">
            <a:avLst/>
          </a:prstGeom>
          <a:solidFill>
            <a:srgbClr val="70AD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0">
                <a:solidFill>
                  <a:srgbClr val="4F8123"/>
                </a:solidFill>
              </a:rPr>
              <a:t>      </a:t>
            </a:r>
            <a:r>
              <a:rPr lang="en-IN" sz="1400" b="1">
                <a:solidFill>
                  <a:srgbClr val="4F8123"/>
                </a:solidFill>
              </a:rPr>
              <a:t>TREND ANALYSIS</a:t>
            </a:r>
          </a:p>
        </xdr:txBody>
      </xdr:sp>
    </xdr:grpSp>
    <xdr:clientData/>
  </xdr:twoCellAnchor>
  <xdr:twoCellAnchor>
    <xdr:from>
      <xdr:col>2</xdr:col>
      <xdr:colOff>1085850</xdr:colOff>
      <xdr:row>0</xdr:row>
      <xdr:rowOff>161925</xdr:rowOff>
    </xdr:from>
    <xdr:to>
      <xdr:col>2</xdr:col>
      <xdr:colOff>1452039</xdr:colOff>
      <xdr:row>2</xdr:row>
      <xdr:rowOff>140925</xdr:rowOff>
    </xdr:to>
    <xdr:pic>
      <xdr:nvPicPr>
        <xdr:cNvPr id="20" name="Picture 19">
          <a:extLst>
            <a:ext uri="{FF2B5EF4-FFF2-40B4-BE49-F238E27FC236}">
              <a16:creationId xmlns:a16="http://schemas.microsoft.com/office/drawing/2014/main" id="{CCAAC208-7C7D-4FD2-B4B8-EBC0BA541E0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43575" y="161925"/>
          <a:ext cx="366189" cy="360000"/>
        </a:xfrm>
        <a:prstGeom prst="rect">
          <a:avLst/>
        </a:prstGeom>
      </xdr:spPr>
    </xdr:pic>
    <xdr:clientData/>
  </xdr:twoCellAnchor>
  <xdr:twoCellAnchor>
    <xdr:from>
      <xdr:col>12</xdr:col>
      <xdr:colOff>19050</xdr:colOff>
      <xdr:row>0</xdr:row>
      <xdr:rowOff>95250</xdr:rowOff>
    </xdr:from>
    <xdr:to>
      <xdr:col>12</xdr:col>
      <xdr:colOff>559050</xdr:colOff>
      <xdr:row>3</xdr:row>
      <xdr:rowOff>63750</xdr:rowOff>
    </xdr:to>
    <xdr:pic>
      <xdr:nvPicPr>
        <xdr:cNvPr id="22" name="Picture 21">
          <a:hlinkClick xmlns:r="http://schemas.openxmlformats.org/officeDocument/2006/relationships" r:id="rId5"/>
          <a:extLst>
            <a:ext uri="{FF2B5EF4-FFF2-40B4-BE49-F238E27FC236}">
              <a16:creationId xmlns:a16="http://schemas.microsoft.com/office/drawing/2014/main" id="{11EAC0AD-9C63-4D65-8D04-395BD503CED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011025" y="95250"/>
          <a:ext cx="540000" cy="540000"/>
        </a:xfrm>
        <a:prstGeom prst="rect">
          <a:avLst/>
        </a:prstGeom>
      </xdr:spPr>
    </xdr:pic>
    <xdr:clientData/>
  </xdr:twoCellAnchor>
  <xdr:twoCellAnchor editAs="oneCell">
    <xdr:from>
      <xdr:col>2</xdr:col>
      <xdr:colOff>723900</xdr:colOff>
      <xdr:row>0</xdr:row>
      <xdr:rowOff>161925</xdr:rowOff>
    </xdr:from>
    <xdr:to>
      <xdr:col>2</xdr:col>
      <xdr:colOff>1083900</xdr:colOff>
      <xdr:row>2</xdr:row>
      <xdr:rowOff>140925</xdr:rowOff>
    </xdr:to>
    <xdr:pic>
      <xdr:nvPicPr>
        <xdr:cNvPr id="26" name="Picture 25">
          <a:extLst>
            <a:ext uri="{FF2B5EF4-FFF2-40B4-BE49-F238E27FC236}">
              <a16:creationId xmlns:a16="http://schemas.microsoft.com/office/drawing/2014/main" id="{121BE95D-9DBD-22C7-CAF1-A7C6065A1EF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81625" y="161925"/>
          <a:ext cx="360000" cy="360000"/>
        </a:xfrm>
        <a:prstGeom prst="rect">
          <a:avLst/>
        </a:prstGeom>
      </xdr:spPr>
    </xdr:pic>
    <xdr:clientData/>
  </xdr:twoCellAnchor>
  <xdr:twoCellAnchor editAs="oneCell">
    <xdr:from>
      <xdr:col>2</xdr:col>
      <xdr:colOff>1714500</xdr:colOff>
      <xdr:row>0</xdr:row>
      <xdr:rowOff>161925</xdr:rowOff>
    </xdr:from>
    <xdr:to>
      <xdr:col>3</xdr:col>
      <xdr:colOff>226650</xdr:colOff>
      <xdr:row>2</xdr:row>
      <xdr:rowOff>140925</xdr:rowOff>
    </xdr:to>
    <xdr:pic>
      <xdr:nvPicPr>
        <xdr:cNvPr id="3" name="Picture 2">
          <a:hlinkClick xmlns:r="http://schemas.openxmlformats.org/officeDocument/2006/relationships" r:id="rId8"/>
          <a:extLst>
            <a:ext uri="{FF2B5EF4-FFF2-40B4-BE49-F238E27FC236}">
              <a16:creationId xmlns:a16="http://schemas.microsoft.com/office/drawing/2014/main" id="{FC1D1722-864F-1993-7502-2C44847AFE5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372225" y="161925"/>
          <a:ext cx="360000" cy="360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3</xdr:col>
      <xdr:colOff>9525</xdr:colOff>
      <xdr:row>2</xdr:row>
      <xdr:rowOff>133350</xdr:rowOff>
    </xdr:from>
    <xdr:to>
      <xdr:col>10</xdr:col>
      <xdr:colOff>314325</xdr:colOff>
      <xdr:row>17</xdr:row>
      <xdr:rowOff>19050</xdr:rowOff>
    </xdr:to>
    <xdr:graphicFrame macro="">
      <xdr:nvGraphicFramePr>
        <xdr:cNvPr id="2" name="Chart 1">
          <a:extLst>
            <a:ext uri="{FF2B5EF4-FFF2-40B4-BE49-F238E27FC236}">
              <a16:creationId xmlns:a16="http://schemas.microsoft.com/office/drawing/2014/main" id="{6C2C520A-31D8-2BB7-72EE-36EBAAE573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438150</xdr:colOff>
      <xdr:row>4</xdr:row>
      <xdr:rowOff>152400</xdr:rowOff>
    </xdr:from>
    <xdr:to>
      <xdr:col>14</xdr:col>
      <xdr:colOff>438150</xdr:colOff>
      <xdr:row>18</xdr:row>
      <xdr:rowOff>9525</xdr:rowOff>
    </xdr:to>
    <mc:AlternateContent xmlns:mc="http://schemas.openxmlformats.org/markup-compatibility/2006" xmlns:a14="http://schemas.microsoft.com/office/drawing/2010/main">
      <mc:Choice Requires="a14">
        <xdr:graphicFrame macro="">
          <xdr:nvGraphicFramePr>
            <xdr:cNvPr id="3" name="location_score 3">
              <a:extLst>
                <a:ext uri="{FF2B5EF4-FFF2-40B4-BE49-F238E27FC236}">
                  <a16:creationId xmlns:a16="http://schemas.microsoft.com/office/drawing/2014/main" id="{9A518EEF-7EE9-3E62-1A87-7BBC2065925D}"/>
                </a:ext>
              </a:extLst>
            </xdr:cNvPr>
            <xdr:cNvGraphicFramePr/>
          </xdr:nvGraphicFramePr>
          <xdr:xfrm>
            <a:off x="0" y="0"/>
            <a:ext cx="0" cy="0"/>
          </xdr:xfrm>
          <a:graphic>
            <a:graphicData uri="http://schemas.microsoft.com/office/drawing/2010/slicer">
              <sle:slicer xmlns:sle="http://schemas.microsoft.com/office/drawing/2010/slicer" name="location_score 3"/>
            </a:graphicData>
          </a:graphic>
        </xdr:graphicFrame>
      </mc:Choice>
      <mc:Fallback xmlns="">
        <xdr:sp macro="" textlink="">
          <xdr:nvSpPr>
            <xdr:cNvPr id="0" name=""/>
            <xdr:cNvSpPr>
              <a:spLocks noTextEdit="1"/>
            </xdr:cNvSpPr>
          </xdr:nvSpPr>
          <xdr:spPr>
            <a:xfrm>
              <a:off x="8286750" y="914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xdr:from>
      <xdr:col>3</xdr:col>
      <xdr:colOff>257175</xdr:colOff>
      <xdr:row>3</xdr:row>
      <xdr:rowOff>71437</xdr:rowOff>
    </xdr:from>
    <xdr:to>
      <xdr:col>10</xdr:col>
      <xdr:colOff>561975</xdr:colOff>
      <xdr:row>17</xdr:row>
      <xdr:rowOff>147637</xdr:rowOff>
    </xdr:to>
    <xdr:graphicFrame macro="">
      <xdr:nvGraphicFramePr>
        <xdr:cNvPr id="2" name="Chart 1">
          <a:extLst>
            <a:ext uri="{FF2B5EF4-FFF2-40B4-BE49-F238E27FC236}">
              <a16:creationId xmlns:a16="http://schemas.microsoft.com/office/drawing/2014/main" id="{3AC06319-38A1-786D-9BEF-1A496FC7A2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238125</xdr:colOff>
      <xdr:row>1</xdr:row>
      <xdr:rowOff>128587</xdr:rowOff>
    </xdr:from>
    <xdr:to>
      <xdr:col>10</xdr:col>
      <xdr:colOff>285750</xdr:colOff>
      <xdr:row>16</xdr:row>
      <xdr:rowOff>14287</xdr:rowOff>
    </xdr:to>
    <xdr:graphicFrame macro="">
      <xdr:nvGraphicFramePr>
        <xdr:cNvPr id="2" name="Chart 1">
          <a:extLst>
            <a:ext uri="{FF2B5EF4-FFF2-40B4-BE49-F238E27FC236}">
              <a16:creationId xmlns:a16="http://schemas.microsoft.com/office/drawing/2014/main" id="{C4827A97-B06B-B103-A23A-5E2753D841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76200</xdr:colOff>
      <xdr:row>4</xdr:row>
      <xdr:rowOff>57150</xdr:rowOff>
    </xdr:from>
    <xdr:to>
      <xdr:col>16</xdr:col>
      <xdr:colOff>76200</xdr:colOff>
      <xdr:row>14</xdr:row>
      <xdr:rowOff>47625</xdr:rowOff>
    </xdr:to>
    <mc:AlternateContent xmlns:mc="http://schemas.openxmlformats.org/markup-compatibility/2006" xmlns:a14="http://schemas.microsoft.com/office/drawing/2010/main">
      <mc:Choice Requires="a14">
        <xdr:graphicFrame macro="">
          <xdr:nvGraphicFramePr>
            <xdr:cNvPr id="3" name="bedrooms 3">
              <a:extLst>
                <a:ext uri="{FF2B5EF4-FFF2-40B4-BE49-F238E27FC236}">
                  <a16:creationId xmlns:a16="http://schemas.microsoft.com/office/drawing/2014/main" id="{27E0D446-00AA-C68F-DE98-BC9C577670E3}"/>
                </a:ext>
              </a:extLst>
            </xdr:cNvPr>
            <xdr:cNvGraphicFramePr/>
          </xdr:nvGraphicFramePr>
          <xdr:xfrm>
            <a:off x="0" y="0"/>
            <a:ext cx="0" cy="0"/>
          </xdr:xfrm>
          <a:graphic>
            <a:graphicData uri="http://schemas.microsoft.com/office/drawing/2010/slicer">
              <sle:slicer xmlns:sle="http://schemas.microsoft.com/office/drawing/2010/slicer" name="bedrooms 3"/>
            </a:graphicData>
          </a:graphic>
        </xdr:graphicFrame>
      </mc:Choice>
      <mc:Fallback xmlns="">
        <xdr:sp macro="" textlink="">
          <xdr:nvSpPr>
            <xdr:cNvPr id="0" name=""/>
            <xdr:cNvSpPr>
              <a:spLocks noTextEdit="1"/>
            </xdr:cNvSpPr>
          </xdr:nvSpPr>
          <xdr:spPr>
            <a:xfrm>
              <a:off x="9277350" y="819150"/>
              <a:ext cx="1828800" cy="1895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514350</xdr:colOff>
      <xdr:row>4</xdr:row>
      <xdr:rowOff>133350</xdr:rowOff>
    </xdr:from>
    <xdr:to>
      <xdr:col>10</xdr:col>
      <xdr:colOff>209550</xdr:colOff>
      <xdr:row>19</xdr:row>
      <xdr:rowOff>19050</xdr:rowOff>
    </xdr:to>
    <xdr:graphicFrame macro="">
      <xdr:nvGraphicFramePr>
        <xdr:cNvPr id="2" name="Chart 1">
          <a:extLst>
            <a:ext uri="{FF2B5EF4-FFF2-40B4-BE49-F238E27FC236}">
              <a16:creationId xmlns:a16="http://schemas.microsoft.com/office/drawing/2014/main" id="{CFDFF201-ECCE-F384-8904-84F235A715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4</xdr:col>
      <xdr:colOff>142875</xdr:colOff>
      <xdr:row>3</xdr:row>
      <xdr:rowOff>19050</xdr:rowOff>
    </xdr:from>
    <xdr:to>
      <xdr:col>11</xdr:col>
      <xdr:colOff>447675</xdr:colOff>
      <xdr:row>17</xdr:row>
      <xdr:rowOff>95250</xdr:rowOff>
    </xdr:to>
    <xdr:graphicFrame macro="">
      <xdr:nvGraphicFramePr>
        <xdr:cNvPr id="2" name="Chart 1">
          <a:extLst>
            <a:ext uri="{FF2B5EF4-FFF2-40B4-BE49-F238E27FC236}">
              <a16:creationId xmlns:a16="http://schemas.microsoft.com/office/drawing/2014/main" id="{6E306D58-9BC2-5B0C-5B85-2F5BBC158F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2</xdr:col>
      <xdr:colOff>409575</xdr:colOff>
      <xdr:row>3</xdr:row>
      <xdr:rowOff>128587</xdr:rowOff>
    </xdr:from>
    <xdr:to>
      <xdr:col>10</xdr:col>
      <xdr:colOff>104775</xdr:colOff>
      <xdr:row>18</xdr:row>
      <xdr:rowOff>14287</xdr:rowOff>
    </xdr:to>
    <xdr:graphicFrame macro="">
      <xdr:nvGraphicFramePr>
        <xdr:cNvPr id="2" name="Chart 1">
          <a:extLst>
            <a:ext uri="{FF2B5EF4-FFF2-40B4-BE49-F238E27FC236}">
              <a16:creationId xmlns:a16="http://schemas.microsoft.com/office/drawing/2014/main" id="{FABD4BFB-8A79-CEB9-13C0-B8A97E6ECC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44.927519791665" createdVersion="8" refreshedVersion="8" minRefreshableVersion="3" recordCount="1020" xr:uid="{723A713A-A6F5-4B73-9782-B9E5207BFB50}">
  <cacheSource type="worksheet">
    <worksheetSource name="Table2"/>
  </cacheSource>
  <cacheFields count="8">
    <cacheField name="area_sqft" numFmtId="0">
      <sharedItems containsSemiMixedTypes="0" containsString="0" containsNumber="1" containsInteger="1" minValue="403" maxValue="4998" count="863">
        <n v="4172"/>
        <n v="1169"/>
        <n v="2299"/>
        <n v="2763"/>
        <n v="1878"/>
        <n v="2355"/>
        <n v="4343"/>
        <n v="4914"/>
        <n v="3499"/>
        <n v="600"/>
        <n v="3190"/>
        <n v="3129"/>
        <n v="3093"/>
        <n v="4027"/>
        <n v="2438"/>
        <n v="1706"/>
        <n v="3399"/>
        <n v="3177"/>
        <n v="3797"/>
        <n v="2194"/>
        <n v="3211"/>
        <n v="1769"/>
        <n v="4948"/>
        <n v="2773"/>
        <n v="2727"/>
        <n v="3375"/>
        <n v="969"/>
        <n v="2937"/>
        <n v="3101"/>
        <n v="1548"/>
        <n v="4254"/>
        <n v="3451"/>
        <n v="4542"/>
        <n v="2064"/>
        <n v="3249"/>
        <n v="4649"/>
        <n v="3518"/>
        <n v="1295"/>
        <n v="3946"/>
        <n v="2087"/>
        <n v="4146"/>
        <n v="4780"/>
        <n v="3469"/>
        <n v="4374"/>
        <n v="3667"/>
        <n v="1075"/>
        <n v="1522"/>
        <n v="3840"/>
        <n v="1117"/>
        <n v="4891"/>
        <n v="3338"/>
        <n v="2939"/>
        <n v="3081"/>
        <n v="2256"/>
        <n v="4685"/>
        <n v="1614"/>
        <n v="3684"/>
        <n v="1656"/>
        <n v="3419"/>
        <n v="4536"/>
        <n v="3179"/>
        <n v="1324"/>
        <n v="1073"/>
        <n v="1758"/>
        <n v="4700"/>
        <n v="3845"/>
        <n v="2686"/>
        <n v="1038"/>
        <n v="466"/>
        <n v="4724"/>
        <n v="2228"/>
        <n v="4634"/>
        <n v="2426"/>
        <n v="4427"/>
        <n v="2960"/>
        <n v="3628"/>
        <n v="3074"/>
        <n v="2588"/>
        <n v="3931"/>
        <n v="4851"/>
        <n v="2254"/>
        <n v="2025"/>
        <n v="1354"/>
        <n v="1389"/>
        <n v="1351"/>
        <n v="685"/>
        <n v="3851"/>
        <n v="1232"/>
        <n v="3492"/>
        <n v="4955"/>
        <n v="2447"/>
        <n v="589"/>
        <n v="3552"/>
        <n v="3013"/>
        <n v="791"/>
        <n v="2063"/>
        <n v="1929"/>
        <n v="1895"/>
        <n v="1547"/>
        <n v="4682"/>
        <n v="2386"/>
        <n v="3319"/>
        <n v="2655"/>
        <n v="4899"/>
        <n v="498"/>
        <n v="1445"/>
        <n v="3350"/>
        <n v="404"/>
        <n v="4075"/>
        <n v="4983"/>
        <n v="4852"/>
        <n v="4130"/>
        <n v="4400"/>
        <n v="3865"/>
        <n v="3314"/>
        <n v="995"/>
        <n v="2219"/>
        <n v="3540"/>
        <n v="3016"/>
        <n v="1462"/>
        <n v="1724"/>
        <n v="4575"/>
        <n v="4698"/>
        <n v="3103"/>
        <n v="3145"/>
        <n v="4869"/>
        <n v="2565"/>
        <n v="3437"/>
        <n v="1731"/>
        <n v="3232"/>
        <n v="2993"/>
        <n v="4218"/>
        <n v="3347"/>
        <n v="3666"/>
        <n v="1318"/>
        <n v="3848"/>
        <n v="1560"/>
        <n v="1246"/>
        <n v="3021"/>
        <n v="1465"/>
        <n v="2743"/>
        <n v="4418"/>
        <n v="3026"/>
        <n v="2997"/>
        <n v="2665"/>
        <n v="3768"/>
        <n v="1605"/>
        <n v="3108"/>
        <n v="601"/>
        <n v="874"/>
        <n v="1366"/>
        <n v="4822"/>
        <n v="2479"/>
        <n v="2465"/>
        <n v="2561"/>
        <n v="4808"/>
        <n v="2543"/>
        <n v="4825"/>
        <n v="1260"/>
        <n v="3473"/>
        <n v="4243"/>
        <n v="561"/>
        <n v="1416"/>
        <n v="3961"/>
        <n v="1884"/>
        <n v="2381"/>
        <n v="4429"/>
        <n v="4148"/>
        <n v="4163"/>
        <n v="1059"/>
        <n v="3311"/>
        <n v="4490"/>
        <n v="3570"/>
        <n v="4387"/>
        <n v="1618"/>
        <n v="2885"/>
        <n v="1469"/>
        <n v="3727"/>
        <n v="3409"/>
        <n v="937"/>
        <n v="4515"/>
        <n v="2891"/>
        <n v="3060"/>
        <n v="4865"/>
        <n v="2093"/>
        <n v="3547"/>
        <n v="1643"/>
        <n v="2035"/>
        <n v="2157"/>
        <n v="3138"/>
        <n v="3296"/>
        <n v="1128"/>
        <n v="4251"/>
        <n v="3182"/>
        <n v="4868"/>
        <n v="4944"/>
        <n v="2481"/>
        <n v="635"/>
        <n v="1299"/>
        <n v="2119"/>
        <n v="2696"/>
        <n v="2661"/>
        <n v="4602"/>
        <n v="3166"/>
        <n v="1931"/>
        <n v="2376"/>
        <n v="624"/>
        <n v="2073"/>
        <n v="2019"/>
        <n v="720"/>
        <n v="775"/>
        <n v="4162"/>
        <n v="4087"/>
        <n v="1322"/>
        <n v="3253"/>
        <n v="3261"/>
        <n v="3817"/>
        <n v="3902"/>
        <n v="974"/>
        <n v="1088"/>
        <n v="2662"/>
        <n v="1122"/>
        <n v="4689"/>
        <n v="3735"/>
        <n v="3956"/>
        <n v="2835"/>
        <n v="2427"/>
        <n v="3173"/>
        <n v="963"/>
        <n v="3642"/>
        <n v="4143"/>
        <n v="2036"/>
        <n v="1098"/>
        <n v="3874"/>
        <n v="602"/>
        <n v="546"/>
        <n v="2134"/>
        <n v="2456"/>
        <n v="4391"/>
        <n v="4323"/>
        <n v="4177"/>
        <n v="1460"/>
        <n v="4764"/>
        <n v="1412"/>
        <n v="3906"/>
        <n v="1415"/>
        <n v="4313"/>
        <n v="2482"/>
        <n v="3622"/>
        <n v="1567"/>
        <n v="3701"/>
        <n v="3636"/>
        <n v="4119"/>
        <n v="899"/>
        <n v="1555"/>
        <n v="2210"/>
        <n v="4586"/>
        <n v="4534"/>
        <n v="2396"/>
        <n v="1328"/>
        <n v="2908"/>
        <n v="2344"/>
        <n v="788"/>
        <n v="2522"/>
        <n v="2417"/>
        <n v="3431"/>
        <n v="4538"/>
        <n v="680"/>
        <n v="3996"/>
        <n v="1569"/>
        <n v="4606"/>
        <n v="3139"/>
        <n v="3109"/>
        <n v="867"/>
        <n v="4608"/>
        <n v="3035"/>
        <n v="3112"/>
        <n v="4433"/>
        <n v="2749"/>
        <n v="3849"/>
        <n v="2045"/>
        <n v="3272"/>
        <n v="3972"/>
        <n v="4101"/>
        <n v="2732"/>
        <n v="1881"/>
        <n v="454"/>
        <n v="3862"/>
        <n v="3844"/>
        <n v="2791"/>
        <n v="2206"/>
        <n v="3405"/>
        <n v="1763"/>
        <n v="3742"/>
        <n v="737"/>
        <n v="3857"/>
        <n v="4497"/>
        <n v="4618"/>
        <n v="4789"/>
        <n v="2202"/>
        <n v="1099"/>
        <n v="3575"/>
        <n v="2768"/>
        <n v="4247"/>
        <n v="1481"/>
        <n v="3459"/>
        <n v="1748"/>
        <n v="3239"/>
        <n v="2844"/>
        <n v="4507"/>
        <n v="1353"/>
        <n v="1591"/>
        <n v="3393"/>
        <n v="855"/>
        <n v="1294"/>
        <n v="1784"/>
        <n v="1650"/>
        <n v="3912"/>
        <n v="1860"/>
        <n v="4763"/>
        <n v="1729"/>
        <n v="4556"/>
        <n v="925"/>
        <n v="525"/>
        <n v="2558"/>
        <n v="1319"/>
        <n v="1301"/>
        <n v="2619"/>
        <n v="1652"/>
        <n v="2849"/>
        <n v="1392"/>
        <n v="2397"/>
        <n v="3045"/>
        <n v="2265"/>
        <n v="1193"/>
        <n v="2516"/>
        <n v="2390"/>
        <n v="4383"/>
        <n v="2085"/>
        <n v="2461"/>
        <n v="4951"/>
        <n v="464"/>
        <n v="3504"/>
        <n v="4240"/>
        <n v="4893"/>
        <n v="3508"/>
        <n v="2048"/>
        <n v="4467"/>
        <n v="560"/>
        <n v="3820"/>
        <n v="2216"/>
        <n v="2086"/>
        <n v="1184"/>
        <n v="1566"/>
        <n v="1140"/>
        <n v="4445"/>
        <n v="2879"/>
        <n v="1153"/>
        <n v="1765"/>
        <n v="4036"/>
        <n v="2786"/>
        <n v="3472"/>
        <n v="3730"/>
        <n v="3356"/>
        <n v="623"/>
        <n v="4558"/>
        <n v="4325"/>
        <n v="3774"/>
        <n v="4744"/>
        <n v="1066"/>
        <n v="2793"/>
        <n v="4832"/>
        <n v="1676"/>
        <n v="4980"/>
        <n v="1463"/>
        <n v="1123"/>
        <n v="4113"/>
        <n v="2004"/>
        <n v="3930"/>
        <n v="3365"/>
        <n v="1648"/>
        <n v="3291"/>
        <n v="3876"/>
        <n v="4612"/>
        <n v="936"/>
        <n v="4520"/>
        <n v="2159"/>
        <n v="3612"/>
        <n v="3789"/>
        <n v="4924"/>
        <n v="2890"/>
        <n v="3591"/>
        <n v="1421"/>
        <n v="1675"/>
        <n v="1476"/>
        <n v="4888"/>
        <n v="1459"/>
        <n v="2122"/>
        <n v="3557"/>
        <n v="1063"/>
        <n v="2253"/>
        <n v="1008"/>
        <n v="1554"/>
        <n v="4833"/>
        <n v="1215"/>
        <n v="416"/>
        <n v="4676"/>
        <n v="527"/>
        <n v="1809"/>
        <n v="1253"/>
        <n v="3524"/>
        <n v="1276"/>
        <n v="3144"/>
        <n v="2031"/>
        <n v="3487"/>
        <n v="3367"/>
        <n v="4166"/>
        <n v="2726"/>
        <n v="4892"/>
        <n v="3382"/>
        <n v="3694"/>
        <n v="2614"/>
        <n v="1223"/>
        <n v="3776"/>
        <n v="1753"/>
        <n v="3271"/>
        <n v="2552"/>
        <n v="784"/>
        <n v="4930"/>
        <n v="2368"/>
        <n v="4969"/>
        <n v="3687"/>
        <n v="2161"/>
        <n v="2724"/>
        <n v="2133"/>
        <n v="4135"/>
        <n v="2776"/>
        <n v="597"/>
        <n v="2604"/>
        <n v="2257"/>
        <n v="4625"/>
        <n v="3681"/>
        <n v="1227"/>
        <n v="1003"/>
        <n v="4421"/>
        <n v="2124"/>
        <n v="3693"/>
        <n v="2223"/>
        <n v="2938"/>
        <n v="1174"/>
        <n v="3147"/>
        <n v="3602"/>
        <n v="3224"/>
        <n v="2956"/>
        <n v="3095"/>
        <n v="2854"/>
        <n v="4045"/>
        <n v="1263"/>
        <n v="3655"/>
        <n v="4896"/>
        <n v="4461"/>
        <n v="1023"/>
        <n v="4123"/>
        <n v="653"/>
        <n v="3269"/>
        <n v="3634"/>
        <n v="3135"/>
        <n v="2924"/>
        <n v="3133"/>
        <n v="3301"/>
        <n v="2241"/>
        <n v="4531"/>
        <n v="1371"/>
        <n v="1391"/>
        <n v="3238"/>
        <n v="912"/>
        <n v="2541"/>
        <n v="2331"/>
        <n v="3898"/>
        <n v="1225"/>
        <n v="2505"/>
        <n v="1796"/>
        <n v="3724"/>
        <n v="4885"/>
        <n v="2033"/>
        <n v="2448"/>
        <n v="4546"/>
        <n v="1116"/>
        <n v="4381"/>
        <n v="2528"/>
        <n v="4588"/>
        <n v="455"/>
        <n v="764"/>
        <n v="3914"/>
        <n v="4570"/>
        <n v="4627"/>
        <n v="2536"/>
        <n v="2843"/>
        <n v="526"/>
        <n v="3430"/>
        <n v="4643"/>
        <n v="1168"/>
        <n v="3479"/>
        <n v="4677"/>
        <n v="1343"/>
        <n v="866"/>
        <n v="530"/>
        <n v="3304"/>
        <n v="3012"/>
        <n v="4198"/>
        <n v="1278"/>
        <n v="2678"/>
        <n v="3131"/>
        <n v="2078"/>
        <n v="3025"/>
        <n v="1691"/>
        <n v="3910"/>
        <n v="2243"/>
        <n v="3361"/>
        <n v="4895"/>
        <n v="4136"/>
        <n v="4169"/>
        <n v="519"/>
        <n v="516"/>
        <n v="1968"/>
        <n v="3208"/>
        <n v="795"/>
        <n v="4730"/>
        <n v="1617"/>
        <n v="4002"/>
        <n v="870"/>
        <n v="3183"/>
        <n v="4175"/>
        <n v="655"/>
        <n v="2238"/>
        <n v="1197"/>
        <n v="2224"/>
        <n v="4942"/>
        <n v="4661"/>
        <n v="4564"/>
        <n v="4855"/>
        <n v="1071"/>
        <n v="923"/>
        <n v="1696"/>
        <n v="2375"/>
        <n v="2762"/>
        <n v="3917"/>
        <n v="2797"/>
        <n v="405"/>
        <n v="2951"/>
        <n v="3358"/>
        <n v="4043"/>
        <n v="4250"/>
        <n v="1714"/>
        <n v="4998"/>
        <n v="1602"/>
        <n v="2643"/>
        <n v="4506"/>
        <n v="1384"/>
        <n v="3335"/>
        <n v="817"/>
        <n v="3832"/>
        <n v="3895"/>
        <n v="2301"/>
        <n v="3454"/>
        <n v="564"/>
        <n v="2598"/>
        <n v="2833"/>
        <n v="1928"/>
        <n v="1046"/>
        <n v="2441"/>
        <n v="1175"/>
        <n v="2462"/>
        <n v="4284"/>
        <n v="1970"/>
        <n v="4591"/>
        <n v="1997"/>
        <n v="2107"/>
        <n v="3769"/>
        <n v="2096"/>
        <n v="2600"/>
        <n v="1700"/>
        <n v="2605"/>
        <n v="590"/>
        <n v="3661"/>
        <n v="2115"/>
        <n v="1230"/>
        <n v="3359"/>
        <n v="4992"/>
        <n v="3773"/>
        <n v="514"/>
        <n v="4532"/>
        <n v="2227"/>
        <n v="3541"/>
        <n v="4109"/>
        <n v="2358"/>
        <n v="533"/>
        <n v="4037"/>
        <n v="4971"/>
        <n v="3156"/>
        <n v="4933"/>
        <n v="3678"/>
        <n v="3577"/>
        <n v="3522"/>
        <n v="3517"/>
        <n v="2455"/>
        <n v="2306"/>
        <n v="2475"/>
        <n v="3683"/>
        <n v="632"/>
        <n v="2556"/>
        <n v="4212"/>
        <n v="642"/>
        <n v="2995"/>
        <n v="2439"/>
        <n v="1742"/>
        <n v="1350"/>
        <n v="494"/>
        <n v="3907"/>
        <n v="785"/>
        <n v="4000"/>
        <n v="3520"/>
        <n v="3457"/>
        <n v="1346"/>
        <n v="3206"/>
        <n v="1711"/>
        <n v="4642"/>
        <n v="1584"/>
        <n v="1667"/>
        <n v="4697"/>
        <n v="1395"/>
        <n v="2968"/>
        <n v="1428"/>
        <n v="902"/>
        <n v="1270"/>
        <n v="606"/>
        <n v="1682"/>
        <n v="1109"/>
        <n v="3704"/>
        <n v="1166"/>
        <n v="3331"/>
        <n v="2330"/>
        <n v="3672"/>
        <n v="1539"/>
        <n v="4414"/>
        <n v="4741"/>
        <n v="2855"/>
        <n v="3174"/>
        <n v="1035"/>
        <n v="2694"/>
        <n v="2079"/>
        <n v="2889"/>
        <n v="1466"/>
        <n v="2904"/>
        <n v="4479"/>
        <n v="4760"/>
        <n v="1788"/>
        <n v="3333"/>
        <n v="3231"/>
        <n v="1545"/>
        <n v="910"/>
        <n v="804"/>
        <n v="1170"/>
        <n v="3872"/>
        <n v="4300"/>
        <n v="2153"/>
        <n v="4044"/>
        <n v="3197"/>
        <n v="2003"/>
        <n v="4407"/>
        <n v="3270"/>
        <n v="1045"/>
        <n v="4144"/>
        <n v="660"/>
        <n v="2460"/>
        <n v="4077"/>
        <n v="1518"/>
        <n v="2308"/>
        <n v="3791"/>
        <n v="1272"/>
        <n v="2592"/>
        <n v="877"/>
        <n v="2736"/>
        <n v="3312"/>
        <n v="762"/>
        <n v="3767"/>
        <n v="741"/>
        <n v="4464"/>
        <n v="3710"/>
        <n v="3700"/>
        <n v="3556"/>
        <n v="3571"/>
        <n v="1482"/>
        <n v="641"/>
        <n v="434"/>
        <n v="1985"/>
        <n v="3861"/>
        <n v="1900"/>
        <n v="4393"/>
        <n v="4874"/>
        <n v="1204"/>
        <n v="3702"/>
        <n v="2398"/>
        <n v="1254"/>
        <n v="3982"/>
        <n v="2911"/>
        <n v="888"/>
        <n v="2785"/>
        <n v="2449"/>
        <n v="2957"/>
        <n v="1359"/>
        <n v="3467"/>
        <n v="2700"/>
        <n v="2295"/>
        <n v="4457"/>
        <n v="924"/>
        <n v="4072"/>
        <n v="3743"/>
        <n v="3756"/>
        <n v="3651"/>
        <n v="4369"/>
        <n v="4352"/>
        <n v="2902"/>
        <n v="3323"/>
        <n v="3984"/>
        <n v="757"/>
        <n v="939"/>
        <n v="1981"/>
        <n v="3819"/>
        <n v="2046"/>
        <n v="1712"/>
        <n v="3162"/>
        <n v="2394"/>
        <n v="2263"/>
        <n v="1718"/>
        <n v="2551"/>
        <n v="2435"/>
        <n v="3468"/>
        <n v="4156"/>
        <n v="3605"/>
        <n v="4276"/>
        <n v="4197"/>
        <n v="2192"/>
        <n v="4550"/>
        <n v="727"/>
        <n v="4947"/>
        <n v="1222"/>
        <n v="4826"/>
        <n v="3785"/>
        <n v="4517"/>
        <n v="2958"/>
        <n v="3134"/>
        <n v="1000"/>
        <n v="779"/>
        <n v="892"/>
        <n v="3714"/>
        <n v="3460"/>
        <n v="2637"/>
        <n v="3075"/>
        <n v="3981"/>
        <n v="4096"/>
        <n v="2560"/>
        <n v="3619"/>
        <n v="2359"/>
        <n v="2082"/>
        <n v="1845"/>
        <n v="4599"/>
        <n v="4191"/>
        <n v="1356"/>
        <n v="4965"/>
        <n v="3846"/>
        <n v="3836"/>
        <n v="625"/>
        <n v="2965"/>
        <n v="1006"/>
        <n v="1380"/>
        <n v="3794"/>
        <n v="4263"/>
        <n v="2382"/>
        <n v="1550"/>
        <n v="959"/>
        <n v="4470"/>
        <n v="1870"/>
        <n v="980"/>
        <n v="2470"/>
        <n v="3216"/>
        <n v="2827"/>
        <n v="4585"/>
        <n v="1016"/>
        <n v="1916"/>
        <n v="3546"/>
        <n v="812"/>
        <n v="3748"/>
        <n v="1971"/>
        <n v="543"/>
        <n v="1556"/>
        <n v="1132"/>
        <n v="1942"/>
        <n v="1940"/>
        <n v="2080"/>
        <n v="4712"/>
        <n v="3886"/>
        <n v="1113"/>
        <n v="3922"/>
        <n v="904"/>
        <n v="2252"/>
        <n v="1067"/>
        <n v="409"/>
        <n v="3536"/>
        <n v="2593"/>
        <n v="2400"/>
        <n v="2068"/>
        <n v="3124"/>
        <n v="1974"/>
        <n v="649"/>
        <n v="4362"/>
        <n v="2384"/>
        <n v="1477"/>
        <n v="2248"/>
        <n v="2550"/>
        <n v="2882"/>
        <n v="537"/>
        <n v="3979"/>
        <n v="4223"/>
        <n v="4442"/>
        <n v="1160"/>
        <n v="2287"/>
        <n v="2369"/>
        <n v="3278"/>
        <n v="4543"/>
        <n v="2525"/>
        <n v="1893"/>
        <n v="2872"/>
        <n v="2005"/>
        <n v="2963"/>
        <n v="3821"/>
        <n v="403"/>
        <n v="517"/>
        <n v="3328"/>
        <n v="1541"/>
        <n v="4815"/>
        <n v="1973"/>
        <n v="2317"/>
        <n v="3890"/>
        <n v="4829"/>
        <n v="3298"/>
        <n v="477"/>
        <n v="3997"/>
        <n v="3510"/>
        <n v="2370"/>
        <n v="1654"/>
        <n v="1520"/>
        <n v="2771"/>
        <n v="2234"/>
        <n v="3725"/>
        <n v="1214"/>
        <n v="745"/>
        <n v="2039"/>
        <n v="3130"/>
        <n v="3456"/>
        <n v="3933"/>
        <n v="2603"/>
        <n v="3117"/>
      </sharedItems>
      <fieldGroup base="0">
        <rangePr startNum="403" endNum="4998" groupInterval="1000"/>
        <groupItems count="7">
          <s v="&lt;403"/>
          <s v="403-1402"/>
          <s v="1403-2402"/>
          <s v="2403-3402"/>
          <s v="3403-4402"/>
          <s v="4403-5402"/>
          <s v="&gt;5403"/>
        </groupItems>
      </fieldGroup>
    </cacheField>
    <cacheField name="bedrooms" numFmtId="0">
      <sharedItems containsSemiMixedTypes="0" containsString="0" containsNumber="1" containsInteger="1" minValue="1" maxValue="5" count="5">
        <n v="3"/>
        <n v="4"/>
        <n v="5"/>
        <n v="1"/>
        <n v="2"/>
      </sharedItems>
    </cacheField>
    <cacheField name="bathrooms" numFmtId="0">
      <sharedItems containsSemiMixedTypes="0" containsString="0" containsNumber="1" containsInteger="1" minValue="1" maxValue="4" count="4">
        <n v="2"/>
        <n v="3"/>
        <n v="4"/>
        <n v="1"/>
      </sharedItems>
    </cacheField>
    <cacheField name="age" numFmtId="0">
      <sharedItems containsSemiMixedTypes="0" containsString="0" containsNumber="1" containsInteger="1" minValue="0" maxValue="39" count="40">
        <n v="37"/>
        <n v="8"/>
        <n v="13"/>
        <n v="18"/>
        <n v="39"/>
        <n v="29"/>
        <n v="3"/>
        <n v="23"/>
        <n v="31"/>
        <n v="20"/>
        <n v="0"/>
        <n v="11"/>
        <n v="26"/>
        <n v="36"/>
        <n v="22"/>
        <n v="17"/>
        <n v="12"/>
        <n v="19"/>
        <n v="4"/>
        <n v="21"/>
        <n v="10"/>
        <n v="27"/>
        <n v="33"/>
        <n v="16"/>
        <n v="32"/>
        <n v="2"/>
        <n v="7"/>
        <n v="6"/>
        <n v="30"/>
        <n v="5"/>
        <n v="1"/>
        <n v="25"/>
        <n v="28"/>
        <n v="35"/>
        <n v="14"/>
        <n v="34"/>
        <n v="24"/>
        <n v="9"/>
        <n v="15"/>
        <n v="38"/>
      </sharedItems>
      <fieldGroup base="3">
        <rangePr startNum="0" endNum="39" groupInterval="5"/>
        <groupItems count="10">
          <s v="&lt;0"/>
          <s v="0-4"/>
          <s v="5-9"/>
          <s v="10-14"/>
          <s v="15-19"/>
          <s v="20-24"/>
          <s v="25-29"/>
          <s v="30-34"/>
          <s v="35-39"/>
          <s v="&gt;40"/>
        </groupItems>
      </fieldGroup>
    </cacheField>
    <cacheField name="distance_city_km" numFmtId="0">
      <sharedItems containsSemiMixedTypes="0" containsString="0" containsNumber="1" containsInteger="1" minValue="1" maxValue="35" count="35">
        <n v="25"/>
        <n v="18"/>
        <n v="9"/>
        <n v="26"/>
        <n v="33"/>
        <n v="19"/>
        <n v="20"/>
        <n v="16"/>
        <n v="8"/>
        <n v="2"/>
        <n v="3"/>
        <n v="15"/>
        <n v="28"/>
        <n v="32"/>
        <n v="24"/>
        <n v="29"/>
        <n v="13"/>
        <n v="30"/>
        <n v="4"/>
        <n v="6"/>
        <n v="7"/>
        <n v="21"/>
        <n v="27"/>
        <n v="10"/>
        <n v="11"/>
        <n v="14"/>
        <n v="22"/>
        <n v="1"/>
        <n v="12"/>
        <n v="17"/>
        <n v="5"/>
        <n v="23"/>
        <n v="31"/>
        <n v="34"/>
        <n v="35"/>
      </sharedItems>
      <fieldGroup base="4">
        <rangePr startNum="1" endNum="35" groupInterval="5"/>
        <groupItems count="9">
          <s v="&lt;1"/>
          <s v="1-5"/>
          <s v="6-10"/>
          <s v="11-15"/>
          <s v="16-20"/>
          <s v="21-25"/>
          <s v="26-30"/>
          <s v="31-35"/>
          <s v="&gt;36"/>
        </groupItems>
      </fieldGroup>
    </cacheField>
    <cacheField name="parking" numFmtId="0">
      <sharedItems containsSemiMixedTypes="0" containsString="0" containsNumber="1" containsInteger="1" minValue="0" maxValue="2" count="3">
        <n v="1"/>
        <n v="2"/>
        <n v="0"/>
      </sharedItems>
    </cacheField>
    <cacheField name="location_score" numFmtId="0">
      <sharedItems containsSemiMixedTypes="0" containsString="0" containsNumber="1" containsInteger="1" minValue="1" maxValue="10" count="10">
        <n v="6"/>
        <n v="2"/>
        <n v="8"/>
        <n v="5"/>
        <n v="3"/>
        <n v="7"/>
        <n v="10"/>
        <n v="4"/>
        <n v="9"/>
        <n v="1"/>
      </sharedItems>
    </cacheField>
    <cacheField name="price" numFmtId="0">
      <sharedItems containsSemiMixedTypes="0" containsString="0" containsNumber="1" containsInteger="1" minValue="92105" maxValue="1289170" count="999">
        <n v="857411"/>
        <n v="362463"/>
        <n v="808358"/>
        <n v="684788"/>
        <n v="639201"/>
        <n v="413161"/>
        <n v="832321"/>
        <n v="1062143"/>
        <n v="909541"/>
        <n v="307378"/>
        <n v="622551"/>
        <n v="754896"/>
        <n v="726901"/>
        <n v="775768"/>
        <n v="514595"/>
        <n v="729426"/>
        <n v="618337"/>
        <n v="918555"/>
        <n v="971131"/>
        <n v="690437"/>
        <n v="615630"/>
        <n v="536850"/>
        <n v="1065861"/>
        <n v="656583"/>
        <n v="799061"/>
        <n v="789367"/>
        <n v="684416"/>
        <n v="808257"/>
        <n v="720524"/>
        <n v="581430"/>
        <n v="793240"/>
        <n v="663033"/>
        <n v="684856"/>
        <n v="591452"/>
        <n v="939155"/>
        <n v="833140"/>
        <n v="736579"/>
        <n v="564108"/>
        <n v="1116141"/>
        <n v="710205"/>
        <n v="938984"/>
        <n v="898260"/>
        <n v="858763"/>
        <n v="1128281"/>
        <n v="794331"/>
        <n v="370228"/>
        <n v="611098"/>
        <n v="847893"/>
        <n v="724131"/>
        <n v="937065"/>
        <n v="742318"/>
        <n v="851248"/>
        <n v="741552"/>
        <n v="679782"/>
        <n v="1036146"/>
        <n v="399280"/>
        <n v="897434"/>
        <n v="560899"/>
        <n v="770449"/>
        <n v="747529"/>
        <n v="825766"/>
        <n v="521419"/>
        <n v="535061"/>
        <n v="497433"/>
        <n v="1019944"/>
        <n v="806199"/>
        <n v="618783"/>
        <n v="662572"/>
        <n v="463453"/>
        <n v="874451"/>
        <n v="690430"/>
        <n v="880284"/>
        <n v="739878"/>
        <n v="702210"/>
        <n v="926686"/>
        <n v="906633"/>
        <n v="930904"/>
        <n v="718117"/>
        <n v="695987"/>
        <n v="1016593"/>
        <n v="532406"/>
        <n v="680491"/>
        <n v="334356"/>
        <n v="858045"/>
        <n v="385940"/>
        <n v="418965"/>
        <n v="235604"/>
        <n v="871713"/>
        <n v="372904"/>
        <n v="744483"/>
        <n v="856775"/>
        <n v="815886"/>
        <n v="570308"/>
        <n v="351336"/>
        <n v="971905"/>
        <n v="952430"/>
        <n v="476427"/>
        <n v="824261"/>
        <n v="557398"/>
        <n v="648846"/>
        <n v="733512"/>
        <n v="796270"/>
        <n v="800010"/>
        <n v="1140265"/>
        <n v="481277"/>
        <n v="958854"/>
        <n v="731163"/>
        <n v="999019"/>
        <n v="568821"/>
        <n v="486561"/>
        <n v="806428"/>
        <n v="515475"/>
        <n v="961049"/>
        <n v="1080575"/>
        <n v="919449"/>
        <n v="837238"/>
        <n v="837054"/>
        <n v="727120"/>
        <n v="755209"/>
        <n v="788206"/>
        <n v="547242"/>
        <n v="889098"/>
        <n v="805012"/>
        <n v="780620"/>
        <n v="675311"/>
        <n v="646762"/>
        <n v="876081"/>
        <n v="1182742"/>
        <n v="917860"/>
        <n v="875249"/>
        <n v="982762"/>
        <n v="947950"/>
        <n v="1075892"/>
        <n v="566540"/>
        <n v="1028686"/>
        <n v="917321"/>
        <n v="595412"/>
        <n v="689282"/>
        <n v="839245"/>
        <n v="775003"/>
        <n v="928624"/>
        <n v="706350"/>
        <n v="943915"/>
        <n v="694903"/>
        <n v="698486"/>
        <n v="507634"/>
        <n v="707151"/>
        <n v="702470"/>
        <n v="662165"/>
        <n v="872116"/>
        <n v="899361"/>
        <n v="636152"/>
        <n v="877733"/>
        <n v="599946"/>
        <n v="687433"/>
        <n v="1002333"/>
        <n v="772768"/>
        <n v="601794"/>
        <n v="713003"/>
        <n v="579323"/>
        <n v="473602"/>
        <n v="1135708"/>
        <n v="719152"/>
        <n v="891666"/>
        <n v="533480"/>
        <n v="906816"/>
        <n v="952144"/>
        <n v="1127662"/>
        <n v="776315"/>
        <n v="711034"/>
        <n v="896631"/>
        <n v="1108220"/>
        <n v="509011"/>
        <n v="557466"/>
        <n v="683161"/>
        <n v="835346"/>
        <n v="958544"/>
        <n v="568487"/>
        <n v="1210048"/>
        <n v="841664"/>
        <n v="986716"/>
        <n v="520031"/>
        <n v="978432"/>
        <n v="1160492"/>
        <n v="858522"/>
        <n v="1010570"/>
        <n v="877941"/>
        <n v="472670"/>
        <n v="725969"/>
        <n v="967857"/>
        <n v="599172"/>
        <n v="925545"/>
        <n v="1034327"/>
        <n v="491559"/>
        <n v="988379"/>
        <n v="437904"/>
        <n v="666448"/>
        <n v="951604"/>
        <n v="818117"/>
        <n v="934446"/>
        <n v="781070"/>
        <n v="820787"/>
        <n v="558123"/>
        <n v="686266"/>
        <n v="854515"/>
        <n v="710627"/>
        <n v="560650"/>
        <n v="407458"/>
        <n v="653325"/>
        <n v="843030"/>
        <n v="1084941"/>
        <n v="939219"/>
        <n v="1289170"/>
        <n v="1264741"/>
        <n v="904072"/>
        <n v="531417"/>
        <n v="684049"/>
        <n v="831548"/>
        <n v="642440"/>
        <n v="750259"/>
        <n v="959893"/>
        <n v="830124"/>
        <n v="743112"/>
        <n v="596741"/>
        <n v="954193"/>
        <n v="554354"/>
        <n v="846216"/>
        <n v="870769"/>
        <n v="474727"/>
        <n v="496815"/>
        <n v="945180"/>
        <n v="1185323"/>
        <n v="664702"/>
        <n v="766708"/>
        <n v="904696"/>
        <n v="1010812"/>
        <n v="1181329"/>
        <n v="358309"/>
        <n v="448417"/>
        <n v="663398"/>
        <n v="690399"/>
        <n v="1075812"/>
        <n v="1124326"/>
        <n v="630356"/>
        <n v="499322"/>
        <n v="580370"/>
        <n v="455273"/>
        <n v="805255"/>
        <n v="328723"/>
        <n v="736492"/>
        <n v="1018009"/>
        <n v="629514"/>
        <n v="674460"/>
        <n v="660928"/>
        <n v="251700"/>
        <n v="566030"/>
        <n v="506892"/>
        <n v="269212"/>
        <n v="425800"/>
        <n v="665330"/>
        <n v="968799"/>
        <n v="697078"/>
        <n v="841267"/>
        <n v="399104"/>
        <n v="984843"/>
        <n v="470002"/>
        <n v="570551"/>
        <n v="597638"/>
        <n v="767007"/>
        <n v="563999"/>
        <n v="703468"/>
        <n v="453922"/>
        <n v="770205"/>
        <n v="763336"/>
        <n v="833240"/>
        <n v="338437"/>
        <n v="449943"/>
        <n v="394203"/>
        <n v="701285"/>
        <n v="673467"/>
        <n v="865509"/>
        <n v="504284"/>
        <n v="258761"/>
        <n v="577552"/>
        <n v="490550"/>
        <n v="342424"/>
        <n v="525595"/>
        <n v="567101"/>
        <n v="326441"/>
        <n v="847027"/>
        <n v="703298"/>
        <n v="543530"/>
        <n v="768295"/>
        <n v="350721"/>
        <n v="958400"/>
        <n v="732502"/>
        <n v="421831"/>
        <n v="450279"/>
        <n v="667144"/>
        <n v="516031"/>
        <n v="791180"/>
        <n v="698621"/>
        <n v="551229"/>
        <n v="523270"/>
        <n v="418826"/>
        <n v="786529"/>
        <n v="720244"/>
        <n v="760111"/>
        <n v="525861"/>
        <n v="385864"/>
        <n v="351715"/>
        <n v="782537"/>
        <n v="934419"/>
        <n v="772317"/>
        <n v="578756"/>
        <n v="572961"/>
        <n v="472619"/>
        <n v="721201"/>
        <n v="196356"/>
        <n v="619892"/>
        <n v="365058"/>
        <n v="583806"/>
        <n v="626206"/>
        <n v="814550"/>
        <n v="934417"/>
        <n v="345561"/>
        <n v="423628"/>
        <n v="380997"/>
        <n v="586943"/>
        <n v="503899"/>
        <n v="733454"/>
        <n v="632216"/>
        <n v="841275"/>
        <n v="686916"/>
        <n v="920515"/>
        <n v="748208"/>
        <n v="752804"/>
        <n v="508392"/>
        <n v="290093"/>
        <n v="991646"/>
        <n v="458891"/>
        <n v="486230"/>
        <n v="486951"/>
        <n v="393568"/>
        <n v="699037"/>
        <n v="656863"/>
        <n v="1038069"/>
        <n v="661817"/>
        <n v="525884"/>
        <n v="610453"/>
        <n v="750246"/>
        <n v="993805"/>
        <n v="742099"/>
        <n v="610486"/>
        <n v="313585"/>
        <n v="591158"/>
        <n v="606987"/>
        <n v="510191"/>
        <n v="805875"/>
        <n v="646151"/>
        <n v="627494"/>
        <n v="388926"/>
        <n v="674143"/>
        <n v="643538"/>
        <n v="537899"/>
        <n v="428593"/>
        <n v="588724"/>
        <n v="671697"/>
        <n v="832658"/>
        <n v="682284"/>
        <n v="980297"/>
        <n v="968885"/>
        <n v="662101"/>
        <n v="743059"/>
        <n v="1113312"/>
        <n v="1083637"/>
        <n v="990760"/>
        <n v="569243"/>
        <n v="980894"/>
        <n v="574256"/>
        <n v="994072"/>
        <n v="617842"/>
        <n v="847874"/>
        <n v="491357"/>
        <n v="874193"/>
        <n v="596594"/>
        <n v="1044383"/>
        <n v="581381"/>
        <n v="556582"/>
        <n v="708461"/>
        <n v="938279"/>
        <n v="950268"/>
        <n v="991546"/>
        <n v="829921"/>
        <n v="804541"/>
        <n v="929967"/>
        <n v="798346"/>
        <n v="320396"/>
        <n v="1045766"/>
        <n v="790148"/>
        <n v="746353"/>
        <n v="1053029"/>
        <n v="665486"/>
        <n v="822693"/>
        <n v="878683"/>
        <n v="779486"/>
        <n v="1010476"/>
        <n v="544415"/>
        <n v="407056"/>
        <n v="821482"/>
        <n v="492797"/>
        <n v="788740"/>
        <n v="935950"/>
        <n v="584278"/>
        <n v="929399"/>
        <n v="780740"/>
        <n v="1103674"/>
        <n v="599794"/>
        <n v="1103380"/>
        <n v="910046"/>
        <n v="729181"/>
        <n v="978642"/>
        <n v="1085374"/>
        <n v="618175"/>
        <n v="764563"/>
        <n v="316808"/>
        <n v="444249"/>
        <n v="436150"/>
        <n v="556992"/>
        <n v="1082557"/>
        <n v="463746"/>
        <n v="402584"/>
        <n v="631617"/>
        <n v="434287"/>
        <n v="353019"/>
        <n v="242510"/>
        <n v="538412"/>
        <n v="743221"/>
        <n v="608822"/>
        <n v="339971"/>
        <n v="379306"/>
        <n v="1087248"/>
        <n v="183847"/>
        <n v="561957"/>
        <n v="265432"/>
        <n v="927649"/>
        <n v="576954"/>
        <n v="687422"/>
        <n v="388368"/>
        <n v="652325"/>
        <n v="654179"/>
        <n v="918593"/>
        <n v="424129"/>
        <n v="750922"/>
        <n v="297386"/>
        <n v="662697"/>
        <n v="781733"/>
        <n v="501549"/>
        <n v="581660"/>
        <n v="672074"/>
        <n v="375666"/>
        <n v="718690"/>
        <n v="602458"/>
        <n v="302135"/>
        <n v="768618"/>
        <n v="622680"/>
        <n v="307413"/>
        <n v="998599"/>
        <n v="847753"/>
        <n v="527311"/>
        <n v="480112"/>
        <n v="571225"/>
        <n v="493166"/>
        <n v="758584"/>
        <n v="725765"/>
        <n v="543425"/>
        <n v="721355"/>
        <n v="504735"/>
        <n v="921516"/>
        <n v="697038"/>
        <n v="277185"/>
        <n v="214538"/>
        <n v="535903"/>
        <n v="995584"/>
        <n v="427985"/>
        <n v="405204"/>
        <n v="572299"/>
        <n v="356901"/>
        <n v="724474"/>
        <n v="438756"/>
        <n v="879539"/>
        <n v="613933"/>
        <n v="793725"/>
        <n v="809910"/>
        <n v="731309"/>
        <n v="639417"/>
        <n v="790853"/>
        <n v="726487"/>
        <n v="971261"/>
        <n v="782142"/>
        <n v="1131283"/>
        <n v="525811"/>
        <n v="1103098"/>
        <n v="295034"/>
        <n v="1049106"/>
        <n v="529873"/>
        <n v="819516"/>
        <n v="685898"/>
        <n v="652855"/>
        <n v="1100978"/>
        <n v="788399"/>
        <n v="728952"/>
        <n v="751406"/>
        <n v="729205"/>
        <n v="256801"/>
        <n v="715512"/>
        <n v="1108124"/>
        <n v="603481"/>
        <n v="499257"/>
        <n v="577966"/>
        <n v="466274"/>
        <n v="788442"/>
        <n v="319564"/>
        <n v="969770"/>
        <n v="557892"/>
        <n v="793857"/>
        <n v="588307"/>
        <n v="899215"/>
        <n v="939581"/>
        <n v="853144"/>
        <n v="768259"/>
        <n v="812339"/>
        <n v="839508"/>
        <n v="455100"/>
        <n v="708509"/>
        <n v="799229"/>
        <n v="460512"/>
        <n v="974730"/>
        <n v="508163"/>
        <n v="917057"/>
        <n v="281006"/>
        <n v="481028"/>
        <n v="893444"/>
        <n v="1054993"/>
        <n v="1029074"/>
        <n v="745009"/>
        <n v="653017"/>
        <n v="469816"/>
        <n v="748577"/>
        <n v="754512"/>
        <n v="1175302"/>
        <n v="744408"/>
        <n v="796511"/>
        <n v="901475"/>
        <n v="693054"/>
        <n v="680144"/>
        <n v="705401"/>
        <n v="749123"/>
        <n v="1031748"/>
        <n v="888769"/>
        <n v="732573"/>
        <n v="715006"/>
        <n v="722977"/>
        <n v="728327"/>
        <n v="912687"/>
        <n v="369987"/>
        <n v="1013188"/>
        <n v="563807"/>
        <n v="739893"/>
        <n v="967150"/>
        <n v="1012210"/>
        <n v="535707"/>
        <n v="782005"/>
        <n v="1091806"/>
        <n v="1131674"/>
        <n v="918529"/>
        <n v="489020"/>
        <n v="274286"/>
        <n v="733989"/>
        <n v="1035076"/>
        <n v="470380"/>
        <n v="985559"/>
        <n v="964246"/>
        <n v="629989"/>
        <n v="884719"/>
        <n v="492278"/>
        <n v="778559"/>
        <n v="1048072"/>
        <n v="883291"/>
        <n v="481888"/>
        <n v="803115"/>
        <n v="574335"/>
        <n v="797147"/>
        <n v="1032220"/>
        <n v="1087600"/>
        <n v="945923"/>
        <n v="1088566"/>
        <n v="606210"/>
        <n v="550049"/>
        <n v="1062921"/>
        <n v="825023"/>
        <n v="810247"/>
        <n v="748424"/>
        <n v="1085816"/>
        <n v="691120"/>
        <n v="781222"/>
        <n v="476787"/>
        <n v="837717"/>
        <n v="930833"/>
        <n v="1000392"/>
        <n v="887393"/>
        <n v="1021435"/>
        <n v="644638"/>
        <n v="996011"/>
        <n v="807314"/>
        <n v="751806"/>
        <n v="1115506"/>
        <n v="523071"/>
        <n v="1027488"/>
        <n v="600120"/>
        <n v="968711"/>
        <n v="919464"/>
        <n v="814728"/>
        <n v="902947"/>
        <n v="638259"/>
        <n v="767882"/>
        <n v="640859"/>
        <n v="358140"/>
        <n v="319091"/>
        <n v="691606"/>
        <n v="441208"/>
        <n v="513083"/>
        <n v="868505"/>
        <n v="625572"/>
        <n v="1103337"/>
        <n v="784153"/>
        <n v="713109"/>
        <n v="92105"/>
        <n v="703561"/>
        <n v="689577"/>
        <n v="480211"/>
        <n v="502775"/>
        <n v="495869"/>
        <n v="437421"/>
        <n v="884138"/>
        <n v="755734"/>
        <n v="491695"/>
        <n v="383009"/>
        <n v="727308"/>
        <n v="1003029"/>
        <n v="1079101"/>
        <n v="374621"/>
        <n v="434233"/>
        <n v="697430"/>
        <n v="479717"/>
        <n v="632414"/>
        <n v="747347"/>
        <n v="530584"/>
        <n v="434160"/>
        <n v="782138"/>
        <n v="849938"/>
        <n v="1102008"/>
        <n v="724701"/>
        <n v="1053117"/>
        <n v="711323"/>
        <n v="603391"/>
        <n v="772607"/>
        <n v="686166"/>
        <n v="683249"/>
        <n v="874203"/>
        <n v="448329"/>
        <n v="780794"/>
        <n v="637375"/>
        <n v="627517"/>
        <n v="684153"/>
        <n v="461065"/>
        <n v="877634"/>
        <n v="820488"/>
        <n v="440795"/>
        <n v="527111"/>
        <n v="592109"/>
        <n v="704333"/>
        <n v="553303"/>
        <n v="879467"/>
        <n v="696464"/>
        <n v="458786"/>
        <n v="463131"/>
        <n v="635791"/>
        <n v="709895"/>
        <n v="924584"/>
        <n v="195050"/>
        <n v="712385"/>
        <n v="809022"/>
        <n v="854500"/>
        <n v="627558"/>
        <n v="699541"/>
        <n v="603240"/>
        <n v="564868"/>
        <n v="823107"/>
        <n v="666552"/>
        <n v="488267"/>
        <n v="1173244"/>
        <n v="716108"/>
        <n v="707744"/>
        <n v="603803"/>
        <n v="247054"/>
        <n v="588564"/>
        <n v="341849"/>
        <n v="643474"/>
        <n v="312836"/>
        <n v="803486"/>
        <n v="754904"/>
        <n v="604761"/>
        <n v="691169"/>
        <n v="696870"/>
        <n v="754383"/>
        <n v="804793"/>
        <n v="847986"/>
        <n v="430702"/>
        <n v="468106"/>
        <n v="810449"/>
        <n v="1118056"/>
        <n v="820920"/>
        <n v="709038"/>
        <n v="986921"/>
        <n v="540133"/>
        <n v="598985"/>
        <n v="477982"/>
        <n v="680774"/>
        <n v="380244"/>
        <n v="514094"/>
        <n v="548044"/>
        <n v="730118"/>
        <n v="912971"/>
        <n v="554860"/>
        <n v="750725"/>
        <n v="458383"/>
        <n v="603556"/>
        <n v="959439"/>
        <n v="845441"/>
        <n v="574379"/>
        <n v="921586"/>
        <n v="490893"/>
        <n v="425369"/>
        <n v="776081"/>
        <n v="382325"/>
        <n v="541350"/>
        <n v="779498"/>
        <n v="730424"/>
        <n v="833980"/>
        <n v="644160"/>
        <n v="759969"/>
        <n v="876754"/>
        <n v="583439"/>
        <n v="846418"/>
        <n v="965063"/>
        <n v="449839"/>
        <n v="765428"/>
        <n v="900437"/>
        <n v="478414"/>
        <n v="562830"/>
        <n v="702133"/>
        <n v="641379"/>
        <n v="415032"/>
        <n v="649430"/>
        <n v="633245"/>
        <n v="733567"/>
        <n v="726677"/>
        <n v="403806"/>
        <n v="478277"/>
        <n v="743379"/>
        <n v="754623"/>
        <n v="525369"/>
        <n v="781572"/>
        <n v="947639"/>
        <n v="396758"/>
        <n v="902992"/>
        <n v="1056181"/>
        <n v="653842"/>
        <n v="542584"/>
        <n v="753400"/>
        <n v="554776"/>
        <n v="386265"/>
        <n v="233114"/>
        <n v="637497"/>
        <n v="781203"/>
        <n v="500639"/>
        <n v="890989"/>
        <n v="1014423"/>
        <n v="671010"/>
        <n v="734925"/>
        <n v="424472"/>
        <n v="590096"/>
        <n v="843526"/>
        <n v="671991"/>
        <n v="661556"/>
        <n v="260685"/>
        <n v="428818"/>
        <n v="415070"/>
        <n v="470433"/>
        <n v="734860"/>
        <n v="418530"/>
        <n v="762370"/>
        <n v="790448"/>
        <n v="897603"/>
        <n v="724842"/>
        <n v="1021335"/>
        <n v="555198"/>
        <n v="631075"/>
        <n v="983437"/>
        <n v="714004"/>
        <n v="828169"/>
        <n v="777756"/>
        <n v="1089183"/>
        <n v="661696"/>
        <n v="804735"/>
        <n v="721286"/>
        <n v="375204"/>
        <n v="730072"/>
        <n v="675851"/>
        <n v="404916"/>
        <n v="671448"/>
        <n v="980699"/>
        <n v="738236"/>
        <n v="349330"/>
        <n v="547853"/>
        <n v="885597"/>
        <n v="587149"/>
        <n v="513912"/>
        <n v="448257"/>
        <n v="774005"/>
        <n v="690378"/>
        <n v="774268"/>
        <n v="756824"/>
        <n v="720405"/>
        <n v="843708"/>
        <n v="1045881"/>
        <n v="901864"/>
        <n v="720584"/>
        <n v="504256"/>
        <n v="684942"/>
        <n v="931637"/>
        <n v="352285"/>
        <n v="591366"/>
        <n v="965024"/>
        <n v="878731"/>
        <n v="1029467"/>
        <n v="1097667"/>
        <n v="735211"/>
        <n v="783569"/>
        <n v="985889"/>
        <n v="364679"/>
        <n v="1000193"/>
        <n v="546689"/>
        <n v="328974"/>
        <n v="734489"/>
        <n v="618423"/>
        <n v="567034"/>
        <n v="708448"/>
        <n v="812439"/>
        <n v="907351"/>
        <n v="885469"/>
        <n v="903367"/>
        <n v="966430"/>
        <n v="714224"/>
        <n v="922063"/>
        <n v="544371"/>
        <n v="660869"/>
        <n v="557603"/>
        <n v="787589"/>
        <n v="644652"/>
        <n v="489333"/>
        <n v="819723"/>
        <n v="720488"/>
        <n v="982117"/>
        <n v="791640"/>
        <n v="892356"/>
        <n v="802567"/>
        <n v="428797"/>
        <n v="344985"/>
        <n v="1087321"/>
        <n v="703799"/>
        <n v="682888"/>
        <n v="722930"/>
        <n v="958678"/>
        <n v="774623"/>
        <n v="822000"/>
        <n v="361601"/>
        <n v="970717"/>
        <n v="553840"/>
        <n v="519149"/>
        <n v="944976"/>
        <n v="602522"/>
        <n v="729478"/>
        <n v="989201"/>
        <n v="707436"/>
        <n v="626332"/>
        <n v="771358"/>
        <n v="732839"/>
        <n v="707732"/>
        <n v="409577"/>
        <n v="465086"/>
        <n v="854058"/>
        <n v="551037"/>
        <n v="835555"/>
        <n v="282825"/>
        <n v="778056"/>
        <n v="656790"/>
        <n v="706120"/>
        <n v="713258"/>
        <n v="679249"/>
        <n v="516279"/>
        <n v="288725"/>
        <n v="592344"/>
        <n v="766503"/>
        <n v="1150275"/>
        <n v="1023837"/>
        <n v="597200"/>
        <n v="1063428"/>
        <n v="479599"/>
        <n v="812457"/>
        <n v="1011769"/>
        <n v="653465"/>
        <n v="441677"/>
        <n v="977112"/>
        <n v="802801"/>
        <n v="733455"/>
        <n v="737052"/>
        <n v="961253"/>
        <n v="524127"/>
        <n v="403007"/>
        <n v="969725"/>
        <n v="1006859"/>
        <n v="631611"/>
        <n v="748471"/>
        <n v="489217"/>
        <n v="605627"/>
        <n v="841513"/>
        <n v="484108"/>
        <n v="559436"/>
        <n v="898826"/>
        <n v="948775"/>
        <n v="751171"/>
        <n v="496941"/>
        <n v="679468"/>
        <n v="598726"/>
        <n v="578928"/>
        <n v="775111"/>
        <n v="632304"/>
        <n v="276100"/>
        <n v="472496"/>
        <n v="540277"/>
        <n v="689735"/>
        <n v="512388"/>
        <n v="998077"/>
        <n v="706114"/>
        <n v="423214"/>
        <n v="529735"/>
        <n v="835914"/>
        <n v="713070"/>
        <n v="520532"/>
        <n v="491619"/>
        <n v="812200"/>
        <n v="601322"/>
        <n v="670110"/>
        <n v="437472"/>
        <n v="644670"/>
        <n v="773975"/>
        <n v="699097"/>
        <n v="1081227"/>
        <n v="615825"/>
        <n v="651974"/>
        <n v="506338"/>
        <n v="636663"/>
        <n v="907964"/>
        <n v="742737"/>
        <n v="992633"/>
        <n v="857272"/>
        <n v="686387"/>
        <n v="518407"/>
        <n v="521690"/>
        <n v="915166"/>
        <n v="566625"/>
        <n v="708869"/>
        <n v="817666"/>
        <n v="245499"/>
        <n v="537359"/>
        <n v="778844"/>
        <n v="637815"/>
        <n v="576703"/>
        <n v="799916"/>
        <n v="919911"/>
        <n v="872530"/>
        <n v="787201"/>
        <n v="580521"/>
        <n v="842129"/>
        <n v="514699"/>
        <n v="820117"/>
        <n v="740250"/>
      </sharedItems>
      <fieldGroup base="7">
        <rangePr startNum="92105" endNum="1289170" groupInterval="100000"/>
        <groupItems count="14">
          <s v="&lt;92105"/>
          <s v="92105-192104"/>
          <s v="192105-292104"/>
          <s v="292105-392104"/>
          <s v="392105-492104"/>
          <s v="492105-592104"/>
          <s v="592105-692104"/>
          <s v="692105-792104"/>
          <s v="792105-892104"/>
          <s v="892105-992104"/>
          <s v="992105-1092104"/>
          <s v="1092105-1192104"/>
          <s v="1192105-1292104"/>
          <s v="&gt;1292105"/>
        </groupItems>
      </fieldGroup>
    </cacheField>
  </cacheFields>
  <extLst>
    <ext xmlns:x14="http://schemas.microsoft.com/office/spreadsheetml/2009/9/main" uri="{725AE2AE-9491-48be-B2B4-4EB974FC3084}">
      <x14:pivotCacheDefinition pivotCacheId="1114098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0">
  <r>
    <x v="0"/>
    <x v="0"/>
    <x v="0"/>
    <x v="0"/>
    <x v="0"/>
    <x v="0"/>
    <x v="0"/>
    <x v="0"/>
  </r>
  <r>
    <x v="1"/>
    <x v="0"/>
    <x v="0"/>
    <x v="1"/>
    <x v="1"/>
    <x v="0"/>
    <x v="1"/>
    <x v="1"/>
  </r>
  <r>
    <x v="2"/>
    <x v="0"/>
    <x v="0"/>
    <x v="2"/>
    <x v="2"/>
    <x v="0"/>
    <x v="2"/>
    <x v="2"/>
  </r>
  <r>
    <x v="3"/>
    <x v="0"/>
    <x v="1"/>
    <x v="3"/>
    <x v="3"/>
    <x v="0"/>
    <x v="3"/>
    <x v="3"/>
  </r>
  <r>
    <x v="4"/>
    <x v="0"/>
    <x v="2"/>
    <x v="2"/>
    <x v="4"/>
    <x v="0"/>
    <x v="1"/>
    <x v="4"/>
  </r>
  <r>
    <x v="5"/>
    <x v="0"/>
    <x v="0"/>
    <x v="4"/>
    <x v="5"/>
    <x v="0"/>
    <x v="4"/>
    <x v="5"/>
  </r>
  <r>
    <x v="6"/>
    <x v="0"/>
    <x v="2"/>
    <x v="5"/>
    <x v="6"/>
    <x v="0"/>
    <x v="5"/>
    <x v="6"/>
  </r>
  <r>
    <x v="7"/>
    <x v="0"/>
    <x v="1"/>
    <x v="6"/>
    <x v="2"/>
    <x v="0"/>
    <x v="5"/>
    <x v="7"/>
  </r>
  <r>
    <x v="8"/>
    <x v="0"/>
    <x v="0"/>
    <x v="7"/>
    <x v="7"/>
    <x v="0"/>
    <x v="6"/>
    <x v="8"/>
  </r>
  <r>
    <x v="9"/>
    <x v="0"/>
    <x v="0"/>
    <x v="8"/>
    <x v="1"/>
    <x v="0"/>
    <x v="4"/>
    <x v="9"/>
  </r>
  <r>
    <x v="10"/>
    <x v="0"/>
    <x v="2"/>
    <x v="9"/>
    <x v="1"/>
    <x v="0"/>
    <x v="4"/>
    <x v="10"/>
  </r>
  <r>
    <x v="11"/>
    <x v="0"/>
    <x v="1"/>
    <x v="10"/>
    <x v="8"/>
    <x v="0"/>
    <x v="7"/>
    <x v="11"/>
  </r>
  <r>
    <x v="12"/>
    <x v="0"/>
    <x v="2"/>
    <x v="0"/>
    <x v="0"/>
    <x v="0"/>
    <x v="7"/>
    <x v="12"/>
  </r>
  <r>
    <x v="13"/>
    <x v="0"/>
    <x v="0"/>
    <x v="9"/>
    <x v="8"/>
    <x v="0"/>
    <x v="4"/>
    <x v="13"/>
  </r>
  <r>
    <x v="14"/>
    <x v="0"/>
    <x v="0"/>
    <x v="11"/>
    <x v="9"/>
    <x v="0"/>
    <x v="7"/>
    <x v="14"/>
  </r>
  <r>
    <x v="15"/>
    <x v="0"/>
    <x v="1"/>
    <x v="12"/>
    <x v="10"/>
    <x v="0"/>
    <x v="8"/>
    <x v="15"/>
  </r>
  <r>
    <x v="16"/>
    <x v="0"/>
    <x v="1"/>
    <x v="13"/>
    <x v="11"/>
    <x v="0"/>
    <x v="1"/>
    <x v="16"/>
  </r>
  <r>
    <x v="17"/>
    <x v="0"/>
    <x v="3"/>
    <x v="3"/>
    <x v="12"/>
    <x v="0"/>
    <x v="2"/>
    <x v="17"/>
  </r>
  <r>
    <x v="18"/>
    <x v="0"/>
    <x v="0"/>
    <x v="14"/>
    <x v="8"/>
    <x v="0"/>
    <x v="5"/>
    <x v="18"/>
  </r>
  <r>
    <x v="19"/>
    <x v="0"/>
    <x v="1"/>
    <x v="14"/>
    <x v="0"/>
    <x v="0"/>
    <x v="0"/>
    <x v="19"/>
  </r>
  <r>
    <x v="20"/>
    <x v="0"/>
    <x v="3"/>
    <x v="15"/>
    <x v="11"/>
    <x v="0"/>
    <x v="7"/>
    <x v="20"/>
  </r>
  <r>
    <x v="21"/>
    <x v="0"/>
    <x v="2"/>
    <x v="15"/>
    <x v="13"/>
    <x v="0"/>
    <x v="3"/>
    <x v="21"/>
  </r>
  <r>
    <x v="22"/>
    <x v="0"/>
    <x v="0"/>
    <x v="16"/>
    <x v="12"/>
    <x v="0"/>
    <x v="8"/>
    <x v="22"/>
  </r>
  <r>
    <x v="23"/>
    <x v="0"/>
    <x v="0"/>
    <x v="4"/>
    <x v="11"/>
    <x v="0"/>
    <x v="1"/>
    <x v="23"/>
  </r>
  <r>
    <x v="24"/>
    <x v="0"/>
    <x v="0"/>
    <x v="17"/>
    <x v="7"/>
    <x v="0"/>
    <x v="6"/>
    <x v="24"/>
  </r>
  <r>
    <x v="25"/>
    <x v="0"/>
    <x v="1"/>
    <x v="18"/>
    <x v="14"/>
    <x v="0"/>
    <x v="7"/>
    <x v="25"/>
  </r>
  <r>
    <x v="26"/>
    <x v="0"/>
    <x v="1"/>
    <x v="6"/>
    <x v="0"/>
    <x v="0"/>
    <x v="2"/>
    <x v="26"/>
  </r>
  <r>
    <x v="27"/>
    <x v="0"/>
    <x v="3"/>
    <x v="12"/>
    <x v="15"/>
    <x v="0"/>
    <x v="2"/>
    <x v="27"/>
  </r>
  <r>
    <x v="28"/>
    <x v="0"/>
    <x v="2"/>
    <x v="19"/>
    <x v="1"/>
    <x v="0"/>
    <x v="3"/>
    <x v="28"/>
  </r>
  <r>
    <x v="29"/>
    <x v="0"/>
    <x v="2"/>
    <x v="9"/>
    <x v="16"/>
    <x v="0"/>
    <x v="3"/>
    <x v="29"/>
  </r>
  <r>
    <x v="30"/>
    <x v="0"/>
    <x v="1"/>
    <x v="20"/>
    <x v="16"/>
    <x v="0"/>
    <x v="3"/>
    <x v="30"/>
  </r>
  <r>
    <x v="31"/>
    <x v="0"/>
    <x v="1"/>
    <x v="21"/>
    <x v="17"/>
    <x v="0"/>
    <x v="4"/>
    <x v="31"/>
  </r>
  <r>
    <x v="32"/>
    <x v="0"/>
    <x v="3"/>
    <x v="22"/>
    <x v="18"/>
    <x v="0"/>
    <x v="1"/>
    <x v="32"/>
  </r>
  <r>
    <x v="33"/>
    <x v="0"/>
    <x v="2"/>
    <x v="23"/>
    <x v="19"/>
    <x v="0"/>
    <x v="3"/>
    <x v="33"/>
  </r>
  <r>
    <x v="34"/>
    <x v="0"/>
    <x v="1"/>
    <x v="3"/>
    <x v="11"/>
    <x v="0"/>
    <x v="8"/>
    <x v="34"/>
  </r>
  <r>
    <x v="35"/>
    <x v="0"/>
    <x v="1"/>
    <x v="23"/>
    <x v="20"/>
    <x v="0"/>
    <x v="4"/>
    <x v="35"/>
  </r>
  <r>
    <x v="36"/>
    <x v="0"/>
    <x v="2"/>
    <x v="8"/>
    <x v="21"/>
    <x v="0"/>
    <x v="3"/>
    <x v="36"/>
  </r>
  <r>
    <x v="37"/>
    <x v="0"/>
    <x v="1"/>
    <x v="24"/>
    <x v="22"/>
    <x v="0"/>
    <x v="5"/>
    <x v="37"/>
  </r>
  <r>
    <x v="38"/>
    <x v="0"/>
    <x v="2"/>
    <x v="8"/>
    <x v="3"/>
    <x v="0"/>
    <x v="0"/>
    <x v="38"/>
  </r>
  <r>
    <x v="39"/>
    <x v="0"/>
    <x v="3"/>
    <x v="3"/>
    <x v="8"/>
    <x v="0"/>
    <x v="0"/>
    <x v="39"/>
  </r>
  <r>
    <x v="40"/>
    <x v="0"/>
    <x v="1"/>
    <x v="25"/>
    <x v="23"/>
    <x v="0"/>
    <x v="0"/>
    <x v="40"/>
  </r>
  <r>
    <x v="41"/>
    <x v="0"/>
    <x v="1"/>
    <x v="19"/>
    <x v="20"/>
    <x v="0"/>
    <x v="4"/>
    <x v="41"/>
  </r>
  <r>
    <x v="42"/>
    <x v="0"/>
    <x v="0"/>
    <x v="26"/>
    <x v="12"/>
    <x v="0"/>
    <x v="0"/>
    <x v="42"/>
  </r>
  <r>
    <x v="43"/>
    <x v="0"/>
    <x v="2"/>
    <x v="5"/>
    <x v="6"/>
    <x v="0"/>
    <x v="6"/>
    <x v="43"/>
  </r>
  <r>
    <x v="44"/>
    <x v="0"/>
    <x v="3"/>
    <x v="27"/>
    <x v="24"/>
    <x v="0"/>
    <x v="0"/>
    <x v="44"/>
  </r>
  <r>
    <x v="45"/>
    <x v="0"/>
    <x v="0"/>
    <x v="13"/>
    <x v="24"/>
    <x v="0"/>
    <x v="4"/>
    <x v="45"/>
  </r>
  <r>
    <x v="46"/>
    <x v="0"/>
    <x v="3"/>
    <x v="1"/>
    <x v="24"/>
    <x v="0"/>
    <x v="0"/>
    <x v="46"/>
  </r>
  <r>
    <x v="47"/>
    <x v="0"/>
    <x v="3"/>
    <x v="9"/>
    <x v="25"/>
    <x v="0"/>
    <x v="3"/>
    <x v="47"/>
  </r>
  <r>
    <x v="48"/>
    <x v="0"/>
    <x v="3"/>
    <x v="3"/>
    <x v="1"/>
    <x v="0"/>
    <x v="6"/>
    <x v="48"/>
  </r>
  <r>
    <x v="49"/>
    <x v="0"/>
    <x v="1"/>
    <x v="23"/>
    <x v="4"/>
    <x v="0"/>
    <x v="5"/>
    <x v="49"/>
  </r>
  <r>
    <x v="50"/>
    <x v="0"/>
    <x v="2"/>
    <x v="22"/>
    <x v="15"/>
    <x v="0"/>
    <x v="3"/>
    <x v="50"/>
  </r>
  <r>
    <x v="51"/>
    <x v="0"/>
    <x v="2"/>
    <x v="2"/>
    <x v="11"/>
    <x v="0"/>
    <x v="8"/>
    <x v="51"/>
  </r>
  <r>
    <x v="52"/>
    <x v="0"/>
    <x v="3"/>
    <x v="23"/>
    <x v="10"/>
    <x v="0"/>
    <x v="7"/>
    <x v="52"/>
  </r>
  <r>
    <x v="53"/>
    <x v="0"/>
    <x v="0"/>
    <x v="19"/>
    <x v="13"/>
    <x v="0"/>
    <x v="0"/>
    <x v="53"/>
  </r>
  <r>
    <x v="54"/>
    <x v="0"/>
    <x v="1"/>
    <x v="11"/>
    <x v="21"/>
    <x v="0"/>
    <x v="0"/>
    <x v="54"/>
  </r>
  <r>
    <x v="55"/>
    <x v="0"/>
    <x v="2"/>
    <x v="28"/>
    <x v="4"/>
    <x v="0"/>
    <x v="9"/>
    <x v="55"/>
  </r>
  <r>
    <x v="56"/>
    <x v="0"/>
    <x v="0"/>
    <x v="29"/>
    <x v="11"/>
    <x v="0"/>
    <x v="2"/>
    <x v="56"/>
  </r>
  <r>
    <x v="57"/>
    <x v="0"/>
    <x v="2"/>
    <x v="10"/>
    <x v="10"/>
    <x v="0"/>
    <x v="4"/>
    <x v="57"/>
  </r>
  <r>
    <x v="58"/>
    <x v="0"/>
    <x v="3"/>
    <x v="13"/>
    <x v="16"/>
    <x v="0"/>
    <x v="5"/>
    <x v="58"/>
  </r>
  <r>
    <x v="59"/>
    <x v="0"/>
    <x v="3"/>
    <x v="14"/>
    <x v="23"/>
    <x v="0"/>
    <x v="4"/>
    <x v="59"/>
  </r>
  <r>
    <x v="60"/>
    <x v="0"/>
    <x v="0"/>
    <x v="16"/>
    <x v="0"/>
    <x v="0"/>
    <x v="3"/>
    <x v="60"/>
  </r>
  <r>
    <x v="61"/>
    <x v="0"/>
    <x v="2"/>
    <x v="13"/>
    <x v="26"/>
    <x v="0"/>
    <x v="0"/>
    <x v="61"/>
  </r>
  <r>
    <x v="62"/>
    <x v="0"/>
    <x v="2"/>
    <x v="26"/>
    <x v="1"/>
    <x v="0"/>
    <x v="3"/>
    <x v="62"/>
  </r>
  <r>
    <x v="63"/>
    <x v="0"/>
    <x v="0"/>
    <x v="30"/>
    <x v="4"/>
    <x v="0"/>
    <x v="7"/>
    <x v="63"/>
  </r>
  <r>
    <x v="64"/>
    <x v="0"/>
    <x v="0"/>
    <x v="10"/>
    <x v="23"/>
    <x v="0"/>
    <x v="0"/>
    <x v="64"/>
  </r>
  <r>
    <x v="65"/>
    <x v="0"/>
    <x v="0"/>
    <x v="11"/>
    <x v="26"/>
    <x v="0"/>
    <x v="3"/>
    <x v="65"/>
  </r>
  <r>
    <x v="66"/>
    <x v="0"/>
    <x v="0"/>
    <x v="14"/>
    <x v="26"/>
    <x v="0"/>
    <x v="3"/>
    <x v="66"/>
  </r>
  <r>
    <x v="67"/>
    <x v="0"/>
    <x v="1"/>
    <x v="22"/>
    <x v="22"/>
    <x v="0"/>
    <x v="8"/>
    <x v="67"/>
  </r>
  <r>
    <x v="68"/>
    <x v="0"/>
    <x v="1"/>
    <x v="20"/>
    <x v="9"/>
    <x v="0"/>
    <x v="5"/>
    <x v="68"/>
  </r>
  <r>
    <x v="69"/>
    <x v="0"/>
    <x v="0"/>
    <x v="5"/>
    <x v="7"/>
    <x v="0"/>
    <x v="3"/>
    <x v="69"/>
  </r>
  <r>
    <x v="70"/>
    <x v="0"/>
    <x v="2"/>
    <x v="14"/>
    <x v="18"/>
    <x v="0"/>
    <x v="7"/>
    <x v="70"/>
  </r>
  <r>
    <x v="71"/>
    <x v="0"/>
    <x v="2"/>
    <x v="15"/>
    <x v="3"/>
    <x v="0"/>
    <x v="7"/>
    <x v="71"/>
  </r>
  <r>
    <x v="72"/>
    <x v="0"/>
    <x v="0"/>
    <x v="31"/>
    <x v="4"/>
    <x v="0"/>
    <x v="6"/>
    <x v="72"/>
  </r>
  <r>
    <x v="73"/>
    <x v="0"/>
    <x v="3"/>
    <x v="19"/>
    <x v="1"/>
    <x v="0"/>
    <x v="3"/>
    <x v="73"/>
  </r>
  <r>
    <x v="74"/>
    <x v="0"/>
    <x v="2"/>
    <x v="7"/>
    <x v="18"/>
    <x v="0"/>
    <x v="5"/>
    <x v="74"/>
  </r>
  <r>
    <x v="75"/>
    <x v="0"/>
    <x v="1"/>
    <x v="31"/>
    <x v="26"/>
    <x v="0"/>
    <x v="8"/>
    <x v="75"/>
  </r>
  <r>
    <x v="76"/>
    <x v="0"/>
    <x v="1"/>
    <x v="18"/>
    <x v="1"/>
    <x v="0"/>
    <x v="2"/>
    <x v="76"/>
  </r>
  <r>
    <x v="77"/>
    <x v="0"/>
    <x v="0"/>
    <x v="13"/>
    <x v="5"/>
    <x v="0"/>
    <x v="2"/>
    <x v="77"/>
  </r>
  <r>
    <x v="78"/>
    <x v="0"/>
    <x v="1"/>
    <x v="22"/>
    <x v="19"/>
    <x v="0"/>
    <x v="1"/>
    <x v="78"/>
  </r>
  <r>
    <x v="79"/>
    <x v="0"/>
    <x v="0"/>
    <x v="32"/>
    <x v="8"/>
    <x v="0"/>
    <x v="5"/>
    <x v="79"/>
  </r>
  <r>
    <x v="80"/>
    <x v="0"/>
    <x v="3"/>
    <x v="9"/>
    <x v="27"/>
    <x v="0"/>
    <x v="7"/>
    <x v="80"/>
  </r>
  <r>
    <x v="81"/>
    <x v="0"/>
    <x v="3"/>
    <x v="12"/>
    <x v="13"/>
    <x v="0"/>
    <x v="5"/>
    <x v="81"/>
  </r>
  <r>
    <x v="82"/>
    <x v="0"/>
    <x v="0"/>
    <x v="9"/>
    <x v="28"/>
    <x v="0"/>
    <x v="9"/>
    <x v="82"/>
  </r>
  <r>
    <x v="41"/>
    <x v="0"/>
    <x v="2"/>
    <x v="8"/>
    <x v="7"/>
    <x v="0"/>
    <x v="9"/>
    <x v="83"/>
  </r>
  <r>
    <x v="83"/>
    <x v="0"/>
    <x v="0"/>
    <x v="33"/>
    <x v="13"/>
    <x v="0"/>
    <x v="7"/>
    <x v="84"/>
  </r>
  <r>
    <x v="84"/>
    <x v="0"/>
    <x v="2"/>
    <x v="30"/>
    <x v="6"/>
    <x v="0"/>
    <x v="9"/>
    <x v="85"/>
  </r>
  <r>
    <x v="85"/>
    <x v="0"/>
    <x v="3"/>
    <x v="23"/>
    <x v="28"/>
    <x v="0"/>
    <x v="4"/>
    <x v="86"/>
  </r>
  <r>
    <x v="86"/>
    <x v="0"/>
    <x v="2"/>
    <x v="25"/>
    <x v="27"/>
    <x v="0"/>
    <x v="3"/>
    <x v="87"/>
  </r>
  <r>
    <x v="87"/>
    <x v="0"/>
    <x v="3"/>
    <x v="6"/>
    <x v="2"/>
    <x v="0"/>
    <x v="4"/>
    <x v="88"/>
  </r>
  <r>
    <x v="41"/>
    <x v="0"/>
    <x v="2"/>
    <x v="8"/>
    <x v="7"/>
    <x v="0"/>
    <x v="9"/>
    <x v="83"/>
  </r>
  <r>
    <x v="33"/>
    <x v="0"/>
    <x v="2"/>
    <x v="23"/>
    <x v="19"/>
    <x v="0"/>
    <x v="3"/>
    <x v="33"/>
  </r>
  <r>
    <x v="88"/>
    <x v="1"/>
    <x v="1"/>
    <x v="34"/>
    <x v="4"/>
    <x v="0"/>
    <x v="4"/>
    <x v="89"/>
  </r>
  <r>
    <x v="89"/>
    <x v="1"/>
    <x v="3"/>
    <x v="15"/>
    <x v="17"/>
    <x v="0"/>
    <x v="7"/>
    <x v="90"/>
  </r>
  <r>
    <x v="90"/>
    <x v="1"/>
    <x v="0"/>
    <x v="0"/>
    <x v="25"/>
    <x v="0"/>
    <x v="6"/>
    <x v="91"/>
  </r>
  <r>
    <x v="23"/>
    <x v="1"/>
    <x v="3"/>
    <x v="33"/>
    <x v="11"/>
    <x v="0"/>
    <x v="5"/>
    <x v="92"/>
  </r>
  <r>
    <x v="91"/>
    <x v="1"/>
    <x v="1"/>
    <x v="35"/>
    <x v="11"/>
    <x v="0"/>
    <x v="4"/>
    <x v="93"/>
  </r>
  <r>
    <x v="92"/>
    <x v="1"/>
    <x v="2"/>
    <x v="33"/>
    <x v="18"/>
    <x v="0"/>
    <x v="2"/>
    <x v="94"/>
  </r>
  <r>
    <x v="93"/>
    <x v="1"/>
    <x v="3"/>
    <x v="2"/>
    <x v="1"/>
    <x v="0"/>
    <x v="2"/>
    <x v="95"/>
  </r>
  <r>
    <x v="94"/>
    <x v="1"/>
    <x v="3"/>
    <x v="1"/>
    <x v="5"/>
    <x v="0"/>
    <x v="7"/>
    <x v="96"/>
  </r>
  <r>
    <x v="23"/>
    <x v="1"/>
    <x v="1"/>
    <x v="31"/>
    <x v="25"/>
    <x v="0"/>
    <x v="0"/>
    <x v="97"/>
  </r>
  <r>
    <x v="95"/>
    <x v="1"/>
    <x v="3"/>
    <x v="15"/>
    <x v="9"/>
    <x v="0"/>
    <x v="4"/>
    <x v="98"/>
  </r>
  <r>
    <x v="96"/>
    <x v="1"/>
    <x v="1"/>
    <x v="23"/>
    <x v="13"/>
    <x v="0"/>
    <x v="0"/>
    <x v="99"/>
  </r>
  <r>
    <x v="97"/>
    <x v="1"/>
    <x v="0"/>
    <x v="0"/>
    <x v="1"/>
    <x v="0"/>
    <x v="2"/>
    <x v="100"/>
  </r>
  <r>
    <x v="24"/>
    <x v="1"/>
    <x v="1"/>
    <x v="11"/>
    <x v="11"/>
    <x v="0"/>
    <x v="3"/>
    <x v="101"/>
  </r>
  <r>
    <x v="98"/>
    <x v="1"/>
    <x v="2"/>
    <x v="36"/>
    <x v="29"/>
    <x v="0"/>
    <x v="3"/>
    <x v="102"/>
  </r>
  <r>
    <x v="99"/>
    <x v="1"/>
    <x v="2"/>
    <x v="12"/>
    <x v="27"/>
    <x v="0"/>
    <x v="2"/>
    <x v="103"/>
  </r>
  <r>
    <x v="100"/>
    <x v="1"/>
    <x v="3"/>
    <x v="30"/>
    <x v="18"/>
    <x v="0"/>
    <x v="9"/>
    <x v="104"/>
  </r>
  <r>
    <x v="101"/>
    <x v="1"/>
    <x v="2"/>
    <x v="17"/>
    <x v="13"/>
    <x v="0"/>
    <x v="2"/>
    <x v="105"/>
  </r>
  <r>
    <x v="102"/>
    <x v="1"/>
    <x v="2"/>
    <x v="21"/>
    <x v="13"/>
    <x v="0"/>
    <x v="7"/>
    <x v="106"/>
  </r>
  <r>
    <x v="103"/>
    <x v="1"/>
    <x v="1"/>
    <x v="17"/>
    <x v="15"/>
    <x v="0"/>
    <x v="7"/>
    <x v="107"/>
  </r>
  <r>
    <x v="104"/>
    <x v="1"/>
    <x v="2"/>
    <x v="23"/>
    <x v="11"/>
    <x v="0"/>
    <x v="5"/>
    <x v="108"/>
  </r>
  <r>
    <x v="105"/>
    <x v="1"/>
    <x v="2"/>
    <x v="25"/>
    <x v="23"/>
    <x v="0"/>
    <x v="9"/>
    <x v="109"/>
  </r>
  <r>
    <x v="106"/>
    <x v="1"/>
    <x v="1"/>
    <x v="15"/>
    <x v="20"/>
    <x v="0"/>
    <x v="4"/>
    <x v="110"/>
  </r>
  <r>
    <x v="107"/>
    <x v="1"/>
    <x v="0"/>
    <x v="7"/>
    <x v="16"/>
    <x v="0"/>
    <x v="5"/>
    <x v="111"/>
  </r>
  <r>
    <x v="108"/>
    <x v="1"/>
    <x v="2"/>
    <x v="7"/>
    <x v="22"/>
    <x v="0"/>
    <x v="5"/>
    <x v="112"/>
  </r>
  <r>
    <x v="109"/>
    <x v="1"/>
    <x v="3"/>
    <x v="20"/>
    <x v="5"/>
    <x v="0"/>
    <x v="8"/>
    <x v="113"/>
  </r>
  <r>
    <x v="110"/>
    <x v="1"/>
    <x v="2"/>
    <x v="12"/>
    <x v="3"/>
    <x v="0"/>
    <x v="7"/>
    <x v="114"/>
  </r>
  <r>
    <x v="34"/>
    <x v="1"/>
    <x v="3"/>
    <x v="23"/>
    <x v="5"/>
    <x v="0"/>
    <x v="0"/>
    <x v="115"/>
  </r>
  <r>
    <x v="111"/>
    <x v="1"/>
    <x v="0"/>
    <x v="12"/>
    <x v="7"/>
    <x v="0"/>
    <x v="3"/>
    <x v="116"/>
  </r>
  <r>
    <x v="112"/>
    <x v="1"/>
    <x v="3"/>
    <x v="28"/>
    <x v="15"/>
    <x v="0"/>
    <x v="4"/>
    <x v="117"/>
  </r>
  <r>
    <x v="113"/>
    <x v="1"/>
    <x v="0"/>
    <x v="16"/>
    <x v="27"/>
    <x v="0"/>
    <x v="4"/>
    <x v="118"/>
  </r>
  <r>
    <x v="114"/>
    <x v="1"/>
    <x v="3"/>
    <x v="6"/>
    <x v="3"/>
    <x v="0"/>
    <x v="3"/>
    <x v="119"/>
  </r>
  <r>
    <x v="115"/>
    <x v="1"/>
    <x v="2"/>
    <x v="28"/>
    <x v="30"/>
    <x v="0"/>
    <x v="3"/>
    <x v="120"/>
  </r>
  <r>
    <x v="116"/>
    <x v="1"/>
    <x v="0"/>
    <x v="22"/>
    <x v="7"/>
    <x v="0"/>
    <x v="6"/>
    <x v="121"/>
  </r>
  <r>
    <x v="117"/>
    <x v="1"/>
    <x v="2"/>
    <x v="4"/>
    <x v="1"/>
    <x v="0"/>
    <x v="7"/>
    <x v="122"/>
  </r>
  <r>
    <x v="118"/>
    <x v="1"/>
    <x v="1"/>
    <x v="30"/>
    <x v="13"/>
    <x v="0"/>
    <x v="7"/>
    <x v="123"/>
  </r>
  <r>
    <x v="119"/>
    <x v="1"/>
    <x v="2"/>
    <x v="31"/>
    <x v="26"/>
    <x v="0"/>
    <x v="8"/>
    <x v="124"/>
  </r>
  <r>
    <x v="120"/>
    <x v="1"/>
    <x v="3"/>
    <x v="37"/>
    <x v="31"/>
    <x v="0"/>
    <x v="5"/>
    <x v="125"/>
  </r>
  <r>
    <x v="121"/>
    <x v="1"/>
    <x v="2"/>
    <x v="7"/>
    <x v="1"/>
    <x v="0"/>
    <x v="1"/>
    <x v="126"/>
  </r>
  <r>
    <x v="122"/>
    <x v="1"/>
    <x v="0"/>
    <x v="18"/>
    <x v="19"/>
    <x v="0"/>
    <x v="8"/>
    <x v="127"/>
  </r>
  <r>
    <x v="123"/>
    <x v="1"/>
    <x v="3"/>
    <x v="15"/>
    <x v="19"/>
    <x v="0"/>
    <x v="2"/>
    <x v="128"/>
  </r>
  <r>
    <x v="124"/>
    <x v="1"/>
    <x v="3"/>
    <x v="12"/>
    <x v="22"/>
    <x v="0"/>
    <x v="8"/>
    <x v="129"/>
  </r>
  <r>
    <x v="125"/>
    <x v="1"/>
    <x v="0"/>
    <x v="11"/>
    <x v="23"/>
    <x v="0"/>
    <x v="1"/>
    <x v="130"/>
  </r>
  <r>
    <x v="112"/>
    <x v="1"/>
    <x v="0"/>
    <x v="35"/>
    <x v="31"/>
    <x v="0"/>
    <x v="0"/>
    <x v="131"/>
  </r>
  <r>
    <x v="109"/>
    <x v="1"/>
    <x v="1"/>
    <x v="24"/>
    <x v="11"/>
    <x v="0"/>
    <x v="5"/>
    <x v="132"/>
  </r>
  <r>
    <x v="126"/>
    <x v="1"/>
    <x v="2"/>
    <x v="33"/>
    <x v="32"/>
    <x v="0"/>
    <x v="4"/>
    <x v="133"/>
  </r>
  <r>
    <x v="127"/>
    <x v="1"/>
    <x v="1"/>
    <x v="10"/>
    <x v="19"/>
    <x v="0"/>
    <x v="8"/>
    <x v="134"/>
  </r>
  <r>
    <x v="128"/>
    <x v="1"/>
    <x v="2"/>
    <x v="2"/>
    <x v="6"/>
    <x v="0"/>
    <x v="8"/>
    <x v="135"/>
  </r>
  <r>
    <x v="129"/>
    <x v="1"/>
    <x v="3"/>
    <x v="32"/>
    <x v="26"/>
    <x v="0"/>
    <x v="9"/>
    <x v="136"/>
  </r>
  <r>
    <x v="130"/>
    <x v="1"/>
    <x v="0"/>
    <x v="0"/>
    <x v="2"/>
    <x v="0"/>
    <x v="3"/>
    <x v="137"/>
  </r>
  <r>
    <x v="131"/>
    <x v="1"/>
    <x v="0"/>
    <x v="17"/>
    <x v="6"/>
    <x v="0"/>
    <x v="3"/>
    <x v="138"/>
  </r>
  <r>
    <x v="132"/>
    <x v="1"/>
    <x v="2"/>
    <x v="22"/>
    <x v="21"/>
    <x v="0"/>
    <x v="3"/>
    <x v="139"/>
  </r>
  <r>
    <x v="133"/>
    <x v="1"/>
    <x v="3"/>
    <x v="8"/>
    <x v="22"/>
    <x v="0"/>
    <x v="3"/>
    <x v="140"/>
  </r>
  <r>
    <x v="134"/>
    <x v="1"/>
    <x v="2"/>
    <x v="1"/>
    <x v="31"/>
    <x v="0"/>
    <x v="4"/>
    <x v="141"/>
  </r>
  <r>
    <x v="23"/>
    <x v="1"/>
    <x v="0"/>
    <x v="17"/>
    <x v="17"/>
    <x v="0"/>
    <x v="2"/>
    <x v="142"/>
  </r>
  <r>
    <x v="135"/>
    <x v="1"/>
    <x v="0"/>
    <x v="0"/>
    <x v="12"/>
    <x v="0"/>
    <x v="4"/>
    <x v="143"/>
  </r>
  <r>
    <x v="136"/>
    <x v="1"/>
    <x v="0"/>
    <x v="16"/>
    <x v="2"/>
    <x v="0"/>
    <x v="0"/>
    <x v="144"/>
  </r>
  <r>
    <x v="137"/>
    <x v="1"/>
    <x v="0"/>
    <x v="38"/>
    <x v="12"/>
    <x v="0"/>
    <x v="0"/>
    <x v="145"/>
  </r>
  <r>
    <x v="14"/>
    <x v="1"/>
    <x v="2"/>
    <x v="23"/>
    <x v="21"/>
    <x v="0"/>
    <x v="3"/>
    <x v="146"/>
  </r>
  <r>
    <x v="138"/>
    <x v="1"/>
    <x v="1"/>
    <x v="16"/>
    <x v="12"/>
    <x v="0"/>
    <x v="4"/>
    <x v="147"/>
  </r>
  <r>
    <x v="139"/>
    <x v="1"/>
    <x v="3"/>
    <x v="9"/>
    <x v="2"/>
    <x v="0"/>
    <x v="8"/>
    <x v="148"/>
  </r>
  <r>
    <x v="140"/>
    <x v="1"/>
    <x v="1"/>
    <x v="10"/>
    <x v="9"/>
    <x v="0"/>
    <x v="5"/>
    <x v="149"/>
  </r>
  <r>
    <x v="141"/>
    <x v="1"/>
    <x v="2"/>
    <x v="15"/>
    <x v="12"/>
    <x v="0"/>
    <x v="4"/>
    <x v="150"/>
  </r>
  <r>
    <x v="142"/>
    <x v="1"/>
    <x v="3"/>
    <x v="15"/>
    <x v="19"/>
    <x v="0"/>
    <x v="1"/>
    <x v="151"/>
  </r>
  <r>
    <x v="75"/>
    <x v="1"/>
    <x v="1"/>
    <x v="35"/>
    <x v="2"/>
    <x v="0"/>
    <x v="3"/>
    <x v="152"/>
  </r>
  <r>
    <x v="143"/>
    <x v="1"/>
    <x v="3"/>
    <x v="26"/>
    <x v="9"/>
    <x v="0"/>
    <x v="9"/>
    <x v="153"/>
  </r>
  <r>
    <x v="144"/>
    <x v="1"/>
    <x v="0"/>
    <x v="35"/>
    <x v="5"/>
    <x v="0"/>
    <x v="5"/>
    <x v="154"/>
  </r>
  <r>
    <x v="145"/>
    <x v="1"/>
    <x v="0"/>
    <x v="13"/>
    <x v="25"/>
    <x v="0"/>
    <x v="8"/>
    <x v="155"/>
  </r>
  <r>
    <x v="146"/>
    <x v="1"/>
    <x v="1"/>
    <x v="17"/>
    <x v="25"/>
    <x v="0"/>
    <x v="3"/>
    <x v="156"/>
  </r>
  <r>
    <x v="147"/>
    <x v="1"/>
    <x v="3"/>
    <x v="0"/>
    <x v="2"/>
    <x v="0"/>
    <x v="9"/>
    <x v="157"/>
  </r>
  <r>
    <x v="148"/>
    <x v="1"/>
    <x v="2"/>
    <x v="16"/>
    <x v="1"/>
    <x v="0"/>
    <x v="8"/>
    <x v="158"/>
  </r>
  <r>
    <x v="149"/>
    <x v="1"/>
    <x v="3"/>
    <x v="38"/>
    <x v="15"/>
    <x v="0"/>
    <x v="6"/>
    <x v="159"/>
  </r>
  <r>
    <x v="150"/>
    <x v="1"/>
    <x v="2"/>
    <x v="8"/>
    <x v="22"/>
    <x v="0"/>
    <x v="7"/>
    <x v="160"/>
  </r>
  <r>
    <x v="151"/>
    <x v="1"/>
    <x v="1"/>
    <x v="13"/>
    <x v="10"/>
    <x v="0"/>
    <x v="5"/>
    <x v="161"/>
  </r>
  <r>
    <x v="152"/>
    <x v="1"/>
    <x v="0"/>
    <x v="8"/>
    <x v="0"/>
    <x v="0"/>
    <x v="8"/>
    <x v="162"/>
  </r>
  <r>
    <x v="153"/>
    <x v="1"/>
    <x v="1"/>
    <x v="32"/>
    <x v="2"/>
    <x v="0"/>
    <x v="8"/>
    <x v="163"/>
  </r>
  <r>
    <x v="154"/>
    <x v="1"/>
    <x v="3"/>
    <x v="29"/>
    <x v="23"/>
    <x v="0"/>
    <x v="4"/>
    <x v="164"/>
  </r>
  <r>
    <x v="155"/>
    <x v="1"/>
    <x v="1"/>
    <x v="15"/>
    <x v="0"/>
    <x v="0"/>
    <x v="4"/>
    <x v="165"/>
  </r>
  <r>
    <x v="156"/>
    <x v="1"/>
    <x v="2"/>
    <x v="6"/>
    <x v="30"/>
    <x v="0"/>
    <x v="2"/>
    <x v="166"/>
  </r>
  <r>
    <x v="157"/>
    <x v="1"/>
    <x v="1"/>
    <x v="12"/>
    <x v="18"/>
    <x v="0"/>
    <x v="5"/>
    <x v="167"/>
  </r>
  <r>
    <x v="158"/>
    <x v="2"/>
    <x v="1"/>
    <x v="9"/>
    <x v="33"/>
    <x v="0"/>
    <x v="8"/>
    <x v="168"/>
  </r>
  <r>
    <x v="23"/>
    <x v="2"/>
    <x v="0"/>
    <x v="0"/>
    <x v="25"/>
    <x v="0"/>
    <x v="7"/>
    <x v="169"/>
  </r>
  <r>
    <x v="159"/>
    <x v="2"/>
    <x v="1"/>
    <x v="1"/>
    <x v="20"/>
    <x v="0"/>
    <x v="3"/>
    <x v="170"/>
  </r>
  <r>
    <x v="160"/>
    <x v="2"/>
    <x v="1"/>
    <x v="20"/>
    <x v="10"/>
    <x v="0"/>
    <x v="0"/>
    <x v="171"/>
  </r>
  <r>
    <x v="161"/>
    <x v="2"/>
    <x v="0"/>
    <x v="2"/>
    <x v="1"/>
    <x v="0"/>
    <x v="0"/>
    <x v="172"/>
  </r>
  <r>
    <x v="162"/>
    <x v="2"/>
    <x v="0"/>
    <x v="38"/>
    <x v="13"/>
    <x v="0"/>
    <x v="4"/>
    <x v="173"/>
  </r>
  <r>
    <x v="97"/>
    <x v="2"/>
    <x v="1"/>
    <x v="1"/>
    <x v="21"/>
    <x v="0"/>
    <x v="7"/>
    <x v="174"/>
  </r>
  <r>
    <x v="163"/>
    <x v="2"/>
    <x v="3"/>
    <x v="23"/>
    <x v="20"/>
    <x v="0"/>
    <x v="1"/>
    <x v="175"/>
  </r>
  <r>
    <x v="164"/>
    <x v="2"/>
    <x v="2"/>
    <x v="6"/>
    <x v="8"/>
    <x v="0"/>
    <x v="6"/>
    <x v="176"/>
  </r>
  <r>
    <x v="165"/>
    <x v="2"/>
    <x v="1"/>
    <x v="36"/>
    <x v="15"/>
    <x v="0"/>
    <x v="1"/>
    <x v="177"/>
  </r>
  <r>
    <x v="166"/>
    <x v="2"/>
    <x v="0"/>
    <x v="26"/>
    <x v="13"/>
    <x v="0"/>
    <x v="8"/>
    <x v="178"/>
  </r>
  <r>
    <x v="167"/>
    <x v="2"/>
    <x v="0"/>
    <x v="4"/>
    <x v="1"/>
    <x v="0"/>
    <x v="1"/>
    <x v="179"/>
  </r>
  <r>
    <x v="168"/>
    <x v="2"/>
    <x v="1"/>
    <x v="17"/>
    <x v="12"/>
    <x v="0"/>
    <x v="5"/>
    <x v="180"/>
  </r>
  <r>
    <x v="169"/>
    <x v="2"/>
    <x v="3"/>
    <x v="17"/>
    <x v="27"/>
    <x v="0"/>
    <x v="3"/>
    <x v="181"/>
  </r>
  <r>
    <x v="170"/>
    <x v="2"/>
    <x v="3"/>
    <x v="24"/>
    <x v="4"/>
    <x v="0"/>
    <x v="6"/>
    <x v="182"/>
  </r>
  <r>
    <x v="171"/>
    <x v="2"/>
    <x v="2"/>
    <x v="2"/>
    <x v="16"/>
    <x v="0"/>
    <x v="5"/>
    <x v="183"/>
  </r>
  <r>
    <x v="172"/>
    <x v="2"/>
    <x v="2"/>
    <x v="1"/>
    <x v="8"/>
    <x v="0"/>
    <x v="1"/>
    <x v="184"/>
  </r>
  <r>
    <x v="23"/>
    <x v="2"/>
    <x v="2"/>
    <x v="4"/>
    <x v="24"/>
    <x v="0"/>
    <x v="5"/>
    <x v="185"/>
  </r>
  <r>
    <x v="173"/>
    <x v="2"/>
    <x v="1"/>
    <x v="21"/>
    <x v="1"/>
    <x v="0"/>
    <x v="7"/>
    <x v="186"/>
  </r>
  <r>
    <x v="23"/>
    <x v="2"/>
    <x v="1"/>
    <x v="9"/>
    <x v="32"/>
    <x v="0"/>
    <x v="3"/>
    <x v="187"/>
  </r>
  <r>
    <x v="174"/>
    <x v="2"/>
    <x v="3"/>
    <x v="15"/>
    <x v="1"/>
    <x v="0"/>
    <x v="0"/>
    <x v="188"/>
  </r>
  <r>
    <x v="175"/>
    <x v="2"/>
    <x v="1"/>
    <x v="14"/>
    <x v="34"/>
    <x v="0"/>
    <x v="8"/>
    <x v="189"/>
  </r>
  <r>
    <x v="176"/>
    <x v="2"/>
    <x v="0"/>
    <x v="6"/>
    <x v="4"/>
    <x v="0"/>
    <x v="7"/>
    <x v="190"/>
  </r>
  <r>
    <x v="177"/>
    <x v="2"/>
    <x v="2"/>
    <x v="22"/>
    <x v="32"/>
    <x v="0"/>
    <x v="3"/>
    <x v="191"/>
  </r>
  <r>
    <x v="178"/>
    <x v="2"/>
    <x v="0"/>
    <x v="31"/>
    <x v="5"/>
    <x v="0"/>
    <x v="8"/>
    <x v="192"/>
  </r>
  <r>
    <x v="179"/>
    <x v="2"/>
    <x v="0"/>
    <x v="35"/>
    <x v="23"/>
    <x v="0"/>
    <x v="3"/>
    <x v="193"/>
  </r>
  <r>
    <x v="180"/>
    <x v="2"/>
    <x v="0"/>
    <x v="32"/>
    <x v="17"/>
    <x v="0"/>
    <x v="0"/>
    <x v="194"/>
  </r>
  <r>
    <x v="181"/>
    <x v="2"/>
    <x v="3"/>
    <x v="39"/>
    <x v="4"/>
    <x v="0"/>
    <x v="9"/>
    <x v="195"/>
  </r>
  <r>
    <x v="182"/>
    <x v="2"/>
    <x v="3"/>
    <x v="6"/>
    <x v="25"/>
    <x v="0"/>
    <x v="9"/>
    <x v="196"/>
  </r>
  <r>
    <x v="183"/>
    <x v="2"/>
    <x v="0"/>
    <x v="33"/>
    <x v="21"/>
    <x v="0"/>
    <x v="0"/>
    <x v="197"/>
  </r>
  <r>
    <x v="184"/>
    <x v="2"/>
    <x v="0"/>
    <x v="35"/>
    <x v="5"/>
    <x v="0"/>
    <x v="2"/>
    <x v="198"/>
  </r>
  <r>
    <x v="185"/>
    <x v="2"/>
    <x v="3"/>
    <x v="18"/>
    <x v="21"/>
    <x v="0"/>
    <x v="5"/>
    <x v="199"/>
  </r>
  <r>
    <x v="186"/>
    <x v="2"/>
    <x v="1"/>
    <x v="31"/>
    <x v="6"/>
    <x v="0"/>
    <x v="5"/>
    <x v="200"/>
  </r>
  <r>
    <x v="187"/>
    <x v="2"/>
    <x v="3"/>
    <x v="14"/>
    <x v="5"/>
    <x v="0"/>
    <x v="2"/>
    <x v="201"/>
  </r>
  <r>
    <x v="188"/>
    <x v="2"/>
    <x v="0"/>
    <x v="34"/>
    <x v="26"/>
    <x v="0"/>
    <x v="1"/>
    <x v="202"/>
  </r>
  <r>
    <x v="189"/>
    <x v="2"/>
    <x v="2"/>
    <x v="38"/>
    <x v="26"/>
    <x v="0"/>
    <x v="1"/>
    <x v="203"/>
  </r>
  <r>
    <x v="23"/>
    <x v="2"/>
    <x v="2"/>
    <x v="11"/>
    <x v="18"/>
    <x v="0"/>
    <x v="0"/>
    <x v="204"/>
  </r>
  <r>
    <x v="190"/>
    <x v="2"/>
    <x v="3"/>
    <x v="5"/>
    <x v="33"/>
    <x v="0"/>
    <x v="3"/>
    <x v="205"/>
  </r>
  <r>
    <x v="81"/>
    <x v="2"/>
    <x v="0"/>
    <x v="9"/>
    <x v="4"/>
    <x v="0"/>
    <x v="9"/>
    <x v="206"/>
  </r>
  <r>
    <x v="191"/>
    <x v="2"/>
    <x v="1"/>
    <x v="13"/>
    <x v="11"/>
    <x v="0"/>
    <x v="1"/>
    <x v="207"/>
  </r>
  <r>
    <x v="23"/>
    <x v="2"/>
    <x v="0"/>
    <x v="18"/>
    <x v="0"/>
    <x v="0"/>
    <x v="1"/>
    <x v="208"/>
  </r>
  <r>
    <x v="192"/>
    <x v="2"/>
    <x v="0"/>
    <x v="14"/>
    <x v="25"/>
    <x v="0"/>
    <x v="9"/>
    <x v="209"/>
  </r>
  <r>
    <x v="23"/>
    <x v="2"/>
    <x v="2"/>
    <x v="2"/>
    <x v="26"/>
    <x v="0"/>
    <x v="7"/>
    <x v="210"/>
  </r>
  <r>
    <x v="193"/>
    <x v="2"/>
    <x v="1"/>
    <x v="0"/>
    <x v="17"/>
    <x v="0"/>
    <x v="8"/>
    <x v="211"/>
  </r>
  <r>
    <x v="194"/>
    <x v="2"/>
    <x v="2"/>
    <x v="14"/>
    <x v="24"/>
    <x v="0"/>
    <x v="6"/>
    <x v="212"/>
  </r>
  <r>
    <x v="195"/>
    <x v="2"/>
    <x v="0"/>
    <x v="19"/>
    <x v="0"/>
    <x v="0"/>
    <x v="6"/>
    <x v="213"/>
  </r>
  <r>
    <x v="196"/>
    <x v="2"/>
    <x v="0"/>
    <x v="14"/>
    <x v="13"/>
    <x v="0"/>
    <x v="8"/>
    <x v="214"/>
  </r>
  <r>
    <x v="197"/>
    <x v="2"/>
    <x v="2"/>
    <x v="21"/>
    <x v="30"/>
    <x v="0"/>
    <x v="7"/>
    <x v="215"/>
  </r>
  <r>
    <x v="198"/>
    <x v="2"/>
    <x v="2"/>
    <x v="12"/>
    <x v="1"/>
    <x v="0"/>
    <x v="0"/>
    <x v="216"/>
  </r>
  <r>
    <x v="199"/>
    <x v="2"/>
    <x v="2"/>
    <x v="13"/>
    <x v="27"/>
    <x v="0"/>
    <x v="8"/>
    <x v="217"/>
  </r>
  <r>
    <x v="200"/>
    <x v="2"/>
    <x v="3"/>
    <x v="26"/>
    <x v="22"/>
    <x v="0"/>
    <x v="1"/>
    <x v="218"/>
  </r>
  <r>
    <x v="201"/>
    <x v="2"/>
    <x v="1"/>
    <x v="24"/>
    <x v="30"/>
    <x v="0"/>
    <x v="1"/>
    <x v="219"/>
  </r>
  <r>
    <x v="202"/>
    <x v="2"/>
    <x v="3"/>
    <x v="9"/>
    <x v="1"/>
    <x v="0"/>
    <x v="0"/>
    <x v="220"/>
  </r>
  <r>
    <x v="203"/>
    <x v="2"/>
    <x v="2"/>
    <x v="32"/>
    <x v="28"/>
    <x v="0"/>
    <x v="7"/>
    <x v="221"/>
  </r>
  <r>
    <x v="204"/>
    <x v="2"/>
    <x v="2"/>
    <x v="8"/>
    <x v="6"/>
    <x v="0"/>
    <x v="5"/>
    <x v="222"/>
  </r>
  <r>
    <x v="23"/>
    <x v="2"/>
    <x v="0"/>
    <x v="19"/>
    <x v="3"/>
    <x v="0"/>
    <x v="3"/>
    <x v="223"/>
  </r>
  <r>
    <x v="205"/>
    <x v="2"/>
    <x v="1"/>
    <x v="31"/>
    <x v="18"/>
    <x v="0"/>
    <x v="6"/>
    <x v="224"/>
  </r>
  <r>
    <x v="206"/>
    <x v="2"/>
    <x v="1"/>
    <x v="20"/>
    <x v="17"/>
    <x v="0"/>
    <x v="9"/>
    <x v="225"/>
  </r>
  <r>
    <x v="207"/>
    <x v="2"/>
    <x v="1"/>
    <x v="38"/>
    <x v="30"/>
    <x v="0"/>
    <x v="5"/>
    <x v="226"/>
  </r>
  <r>
    <x v="208"/>
    <x v="2"/>
    <x v="2"/>
    <x v="16"/>
    <x v="3"/>
    <x v="0"/>
    <x v="5"/>
    <x v="227"/>
  </r>
  <r>
    <x v="209"/>
    <x v="2"/>
    <x v="1"/>
    <x v="9"/>
    <x v="26"/>
    <x v="0"/>
    <x v="1"/>
    <x v="228"/>
  </r>
  <r>
    <x v="210"/>
    <x v="2"/>
    <x v="0"/>
    <x v="13"/>
    <x v="22"/>
    <x v="0"/>
    <x v="7"/>
    <x v="229"/>
  </r>
  <r>
    <x v="211"/>
    <x v="2"/>
    <x v="1"/>
    <x v="27"/>
    <x v="18"/>
    <x v="0"/>
    <x v="9"/>
    <x v="230"/>
  </r>
  <r>
    <x v="212"/>
    <x v="2"/>
    <x v="2"/>
    <x v="9"/>
    <x v="10"/>
    <x v="0"/>
    <x v="5"/>
    <x v="231"/>
  </r>
  <r>
    <x v="213"/>
    <x v="2"/>
    <x v="1"/>
    <x v="17"/>
    <x v="20"/>
    <x v="0"/>
    <x v="7"/>
    <x v="232"/>
  </r>
  <r>
    <x v="214"/>
    <x v="2"/>
    <x v="0"/>
    <x v="9"/>
    <x v="24"/>
    <x v="0"/>
    <x v="4"/>
    <x v="233"/>
  </r>
  <r>
    <x v="215"/>
    <x v="2"/>
    <x v="0"/>
    <x v="27"/>
    <x v="18"/>
    <x v="0"/>
    <x v="5"/>
    <x v="234"/>
  </r>
  <r>
    <x v="216"/>
    <x v="2"/>
    <x v="1"/>
    <x v="0"/>
    <x v="9"/>
    <x v="0"/>
    <x v="2"/>
    <x v="235"/>
  </r>
  <r>
    <x v="217"/>
    <x v="2"/>
    <x v="2"/>
    <x v="33"/>
    <x v="18"/>
    <x v="0"/>
    <x v="5"/>
    <x v="236"/>
  </r>
  <r>
    <x v="218"/>
    <x v="2"/>
    <x v="0"/>
    <x v="13"/>
    <x v="1"/>
    <x v="0"/>
    <x v="1"/>
    <x v="237"/>
  </r>
  <r>
    <x v="219"/>
    <x v="2"/>
    <x v="3"/>
    <x v="9"/>
    <x v="1"/>
    <x v="0"/>
    <x v="1"/>
    <x v="238"/>
  </r>
  <r>
    <x v="220"/>
    <x v="2"/>
    <x v="2"/>
    <x v="9"/>
    <x v="22"/>
    <x v="0"/>
    <x v="1"/>
    <x v="239"/>
  </r>
  <r>
    <x v="221"/>
    <x v="2"/>
    <x v="2"/>
    <x v="4"/>
    <x v="7"/>
    <x v="0"/>
    <x v="0"/>
    <x v="240"/>
  </r>
  <r>
    <x v="222"/>
    <x v="2"/>
    <x v="1"/>
    <x v="29"/>
    <x v="24"/>
    <x v="0"/>
    <x v="0"/>
    <x v="241"/>
  </r>
  <r>
    <x v="223"/>
    <x v="2"/>
    <x v="2"/>
    <x v="23"/>
    <x v="9"/>
    <x v="0"/>
    <x v="2"/>
    <x v="242"/>
  </r>
  <r>
    <x v="211"/>
    <x v="2"/>
    <x v="1"/>
    <x v="27"/>
    <x v="18"/>
    <x v="0"/>
    <x v="9"/>
    <x v="230"/>
  </r>
  <r>
    <x v="224"/>
    <x v="3"/>
    <x v="0"/>
    <x v="7"/>
    <x v="14"/>
    <x v="0"/>
    <x v="3"/>
    <x v="243"/>
  </r>
  <r>
    <x v="225"/>
    <x v="3"/>
    <x v="2"/>
    <x v="14"/>
    <x v="33"/>
    <x v="0"/>
    <x v="7"/>
    <x v="244"/>
  </r>
  <r>
    <x v="165"/>
    <x v="3"/>
    <x v="1"/>
    <x v="6"/>
    <x v="26"/>
    <x v="0"/>
    <x v="3"/>
    <x v="245"/>
  </r>
  <r>
    <x v="226"/>
    <x v="3"/>
    <x v="3"/>
    <x v="25"/>
    <x v="7"/>
    <x v="0"/>
    <x v="1"/>
    <x v="246"/>
  </r>
  <r>
    <x v="227"/>
    <x v="3"/>
    <x v="2"/>
    <x v="34"/>
    <x v="9"/>
    <x v="0"/>
    <x v="3"/>
    <x v="247"/>
  </r>
  <r>
    <x v="228"/>
    <x v="3"/>
    <x v="0"/>
    <x v="21"/>
    <x v="3"/>
    <x v="0"/>
    <x v="0"/>
    <x v="248"/>
  </r>
  <r>
    <x v="229"/>
    <x v="3"/>
    <x v="3"/>
    <x v="25"/>
    <x v="12"/>
    <x v="0"/>
    <x v="5"/>
    <x v="249"/>
  </r>
  <r>
    <x v="23"/>
    <x v="3"/>
    <x v="0"/>
    <x v="35"/>
    <x v="21"/>
    <x v="0"/>
    <x v="6"/>
    <x v="250"/>
  </r>
  <r>
    <x v="65"/>
    <x v="3"/>
    <x v="0"/>
    <x v="9"/>
    <x v="32"/>
    <x v="0"/>
    <x v="7"/>
    <x v="251"/>
  </r>
  <r>
    <x v="230"/>
    <x v="3"/>
    <x v="1"/>
    <x v="16"/>
    <x v="25"/>
    <x v="0"/>
    <x v="1"/>
    <x v="252"/>
  </r>
  <r>
    <x v="231"/>
    <x v="3"/>
    <x v="0"/>
    <x v="1"/>
    <x v="24"/>
    <x v="0"/>
    <x v="2"/>
    <x v="253"/>
  </r>
  <r>
    <x v="232"/>
    <x v="3"/>
    <x v="3"/>
    <x v="7"/>
    <x v="12"/>
    <x v="0"/>
    <x v="4"/>
    <x v="254"/>
  </r>
  <r>
    <x v="233"/>
    <x v="3"/>
    <x v="2"/>
    <x v="16"/>
    <x v="17"/>
    <x v="0"/>
    <x v="9"/>
    <x v="255"/>
  </r>
  <r>
    <x v="234"/>
    <x v="3"/>
    <x v="2"/>
    <x v="10"/>
    <x v="31"/>
    <x v="0"/>
    <x v="2"/>
    <x v="256"/>
  </r>
  <r>
    <x v="235"/>
    <x v="3"/>
    <x v="0"/>
    <x v="6"/>
    <x v="1"/>
    <x v="0"/>
    <x v="4"/>
    <x v="257"/>
  </r>
  <r>
    <x v="236"/>
    <x v="3"/>
    <x v="0"/>
    <x v="33"/>
    <x v="3"/>
    <x v="0"/>
    <x v="7"/>
    <x v="258"/>
  </r>
  <r>
    <x v="237"/>
    <x v="3"/>
    <x v="2"/>
    <x v="15"/>
    <x v="23"/>
    <x v="0"/>
    <x v="2"/>
    <x v="259"/>
  </r>
  <r>
    <x v="238"/>
    <x v="3"/>
    <x v="1"/>
    <x v="30"/>
    <x v="12"/>
    <x v="0"/>
    <x v="2"/>
    <x v="260"/>
  </r>
  <r>
    <x v="239"/>
    <x v="3"/>
    <x v="1"/>
    <x v="38"/>
    <x v="11"/>
    <x v="0"/>
    <x v="4"/>
    <x v="261"/>
  </r>
  <r>
    <x v="240"/>
    <x v="3"/>
    <x v="2"/>
    <x v="34"/>
    <x v="11"/>
    <x v="0"/>
    <x v="3"/>
    <x v="262"/>
  </r>
  <r>
    <x v="241"/>
    <x v="3"/>
    <x v="0"/>
    <x v="10"/>
    <x v="4"/>
    <x v="0"/>
    <x v="7"/>
    <x v="263"/>
  </r>
  <r>
    <x v="242"/>
    <x v="3"/>
    <x v="0"/>
    <x v="20"/>
    <x v="9"/>
    <x v="0"/>
    <x v="2"/>
    <x v="264"/>
  </r>
  <r>
    <x v="243"/>
    <x v="3"/>
    <x v="0"/>
    <x v="18"/>
    <x v="25"/>
    <x v="0"/>
    <x v="3"/>
    <x v="265"/>
  </r>
  <r>
    <x v="244"/>
    <x v="3"/>
    <x v="0"/>
    <x v="11"/>
    <x v="17"/>
    <x v="0"/>
    <x v="9"/>
    <x v="266"/>
  </r>
  <r>
    <x v="245"/>
    <x v="3"/>
    <x v="2"/>
    <x v="27"/>
    <x v="10"/>
    <x v="0"/>
    <x v="2"/>
    <x v="267"/>
  </r>
  <r>
    <x v="246"/>
    <x v="3"/>
    <x v="1"/>
    <x v="19"/>
    <x v="12"/>
    <x v="0"/>
    <x v="5"/>
    <x v="268"/>
  </r>
  <r>
    <x v="247"/>
    <x v="3"/>
    <x v="3"/>
    <x v="7"/>
    <x v="15"/>
    <x v="0"/>
    <x v="2"/>
    <x v="269"/>
  </r>
  <r>
    <x v="248"/>
    <x v="3"/>
    <x v="1"/>
    <x v="0"/>
    <x v="17"/>
    <x v="0"/>
    <x v="2"/>
    <x v="270"/>
  </r>
  <r>
    <x v="249"/>
    <x v="3"/>
    <x v="1"/>
    <x v="30"/>
    <x v="18"/>
    <x v="0"/>
    <x v="7"/>
    <x v="271"/>
  </r>
  <r>
    <x v="250"/>
    <x v="3"/>
    <x v="2"/>
    <x v="32"/>
    <x v="9"/>
    <x v="0"/>
    <x v="0"/>
    <x v="272"/>
  </r>
  <r>
    <x v="251"/>
    <x v="3"/>
    <x v="0"/>
    <x v="9"/>
    <x v="19"/>
    <x v="0"/>
    <x v="5"/>
    <x v="273"/>
  </r>
  <r>
    <x v="252"/>
    <x v="3"/>
    <x v="1"/>
    <x v="3"/>
    <x v="7"/>
    <x v="0"/>
    <x v="0"/>
    <x v="274"/>
  </r>
  <r>
    <x v="253"/>
    <x v="3"/>
    <x v="0"/>
    <x v="23"/>
    <x v="4"/>
    <x v="0"/>
    <x v="3"/>
    <x v="275"/>
  </r>
  <r>
    <x v="23"/>
    <x v="3"/>
    <x v="2"/>
    <x v="8"/>
    <x v="21"/>
    <x v="0"/>
    <x v="5"/>
    <x v="276"/>
  </r>
  <r>
    <x v="254"/>
    <x v="3"/>
    <x v="2"/>
    <x v="33"/>
    <x v="10"/>
    <x v="0"/>
    <x v="1"/>
    <x v="277"/>
  </r>
  <r>
    <x v="255"/>
    <x v="3"/>
    <x v="2"/>
    <x v="2"/>
    <x v="0"/>
    <x v="0"/>
    <x v="2"/>
    <x v="278"/>
  </r>
  <r>
    <x v="256"/>
    <x v="3"/>
    <x v="1"/>
    <x v="34"/>
    <x v="13"/>
    <x v="0"/>
    <x v="4"/>
    <x v="279"/>
  </r>
  <r>
    <x v="257"/>
    <x v="3"/>
    <x v="2"/>
    <x v="6"/>
    <x v="14"/>
    <x v="0"/>
    <x v="4"/>
    <x v="280"/>
  </r>
  <r>
    <x v="258"/>
    <x v="3"/>
    <x v="1"/>
    <x v="20"/>
    <x v="14"/>
    <x v="0"/>
    <x v="3"/>
    <x v="281"/>
  </r>
  <r>
    <x v="259"/>
    <x v="3"/>
    <x v="0"/>
    <x v="8"/>
    <x v="7"/>
    <x v="0"/>
    <x v="1"/>
    <x v="282"/>
  </r>
  <r>
    <x v="260"/>
    <x v="3"/>
    <x v="3"/>
    <x v="9"/>
    <x v="15"/>
    <x v="0"/>
    <x v="2"/>
    <x v="283"/>
  </r>
  <r>
    <x v="261"/>
    <x v="3"/>
    <x v="1"/>
    <x v="5"/>
    <x v="20"/>
    <x v="0"/>
    <x v="4"/>
    <x v="284"/>
  </r>
  <r>
    <x v="262"/>
    <x v="3"/>
    <x v="0"/>
    <x v="4"/>
    <x v="17"/>
    <x v="0"/>
    <x v="3"/>
    <x v="285"/>
  </r>
  <r>
    <x v="23"/>
    <x v="3"/>
    <x v="0"/>
    <x v="37"/>
    <x v="21"/>
    <x v="0"/>
    <x v="2"/>
    <x v="286"/>
  </r>
  <r>
    <x v="263"/>
    <x v="3"/>
    <x v="3"/>
    <x v="16"/>
    <x v="6"/>
    <x v="0"/>
    <x v="4"/>
    <x v="287"/>
  </r>
  <r>
    <x v="264"/>
    <x v="3"/>
    <x v="0"/>
    <x v="33"/>
    <x v="1"/>
    <x v="0"/>
    <x v="4"/>
    <x v="288"/>
  </r>
  <r>
    <x v="265"/>
    <x v="3"/>
    <x v="2"/>
    <x v="33"/>
    <x v="9"/>
    <x v="0"/>
    <x v="2"/>
    <x v="289"/>
  </r>
  <r>
    <x v="266"/>
    <x v="3"/>
    <x v="1"/>
    <x v="21"/>
    <x v="20"/>
    <x v="0"/>
    <x v="9"/>
    <x v="290"/>
  </r>
  <r>
    <x v="267"/>
    <x v="3"/>
    <x v="0"/>
    <x v="29"/>
    <x v="22"/>
    <x v="0"/>
    <x v="8"/>
    <x v="291"/>
  </r>
  <r>
    <x v="268"/>
    <x v="3"/>
    <x v="3"/>
    <x v="36"/>
    <x v="24"/>
    <x v="0"/>
    <x v="0"/>
    <x v="292"/>
  </r>
  <r>
    <x v="269"/>
    <x v="3"/>
    <x v="3"/>
    <x v="4"/>
    <x v="31"/>
    <x v="0"/>
    <x v="3"/>
    <x v="293"/>
  </r>
  <r>
    <x v="270"/>
    <x v="3"/>
    <x v="2"/>
    <x v="28"/>
    <x v="24"/>
    <x v="0"/>
    <x v="2"/>
    <x v="294"/>
  </r>
  <r>
    <x v="271"/>
    <x v="3"/>
    <x v="0"/>
    <x v="7"/>
    <x v="13"/>
    <x v="0"/>
    <x v="2"/>
    <x v="295"/>
  </r>
  <r>
    <x v="272"/>
    <x v="3"/>
    <x v="3"/>
    <x v="34"/>
    <x v="24"/>
    <x v="0"/>
    <x v="9"/>
    <x v="296"/>
  </r>
  <r>
    <x v="273"/>
    <x v="3"/>
    <x v="3"/>
    <x v="24"/>
    <x v="10"/>
    <x v="0"/>
    <x v="6"/>
    <x v="297"/>
  </r>
  <r>
    <x v="274"/>
    <x v="3"/>
    <x v="3"/>
    <x v="13"/>
    <x v="16"/>
    <x v="0"/>
    <x v="7"/>
    <x v="298"/>
  </r>
  <r>
    <x v="275"/>
    <x v="3"/>
    <x v="3"/>
    <x v="21"/>
    <x v="10"/>
    <x v="0"/>
    <x v="4"/>
    <x v="299"/>
  </r>
  <r>
    <x v="276"/>
    <x v="3"/>
    <x v="0"/>
    <x v="17"/>
    <x v="8"/>
    <x v="0"/>
    <x v="5"/>
    <x v="300"/>
  </r>
  <r>
    <x v="277"/>
    <x v="3"/>
    <x v="1"/>
    <x v="12"/>
    <x v="1"/>
    <x v="0"/>
    <x v="3"/>
    <x v="301"/>
  </r>
  <r>
    <x v="278"/>
    <x v="3"/>
    <x v="1"/>
    <x v="12"/>
    <x v="33"/>
    <x v="0"/>
    <x v="7"/>
    <x v="302"/>
  </r>
  <r>
    <x v="279"/>
    <x v="3"/>
    <x v="3"/>
    <x v="14"/>
    <x v="24"/>
    <x v="0"/>
    <x v="4"/>
    <x v="303"/>
  </r>
  <r>
    <x v="280"/>
    <x v="3"/>
    <x v="1"/>
    <x v="9"/>
    <x v="22"/>
    <x v="0"/>
    <x v="4"/>
    <x v="304"/>
  </r>
  <r>
    <x v="281"/>
    <x v="3"/>
    <x v="1"/>
    <x v="19"/>
    <x v="32"/>
    <x v="0"/>
    <x v="6"/>
    <x v="305"/>
  </r>
  <r>
    <x v="282"/>
    <x v="3"/>
    <x v="2"/>
    <x v="37"/>
    <x v="15"/>
    <x v="0"/>
    <x v="3"/>
    <x v="306"/>
  </r>
  <r>
    <x v="283"/>
    <x v="3"/>
    <x v="2"/>
    <x v="6"/>
    <x v="11"/>
    <x v="0"/>
    <x v="7"/>
    <x v="307"/>
  </r>
  <r>
    <x v="284"/>
    <x v="3"/>
    <x v="3"/>
    <x v="29"/>
    <x v="28"/>
    <x v="0"/>
    <x v="3"/>
    <x v="308"/>
  </r>
  <r>
    <x v="285"/>
    <x v="3"/>
    <x v="3"/>
    <x v="10"/>
    <x v="8"/>
    <x v="0"/>
    <x v="9"/>
    <x v="309"/>
  </r>
  <r>
    <x v="286"/>
    <x v="3"/>
    <x v="0"/>
    <x v="34"/>
    <x v="3"/>
    <x v="0"/>
    <x v="0"/>
    <x v="310"/>
  </r>
  <r>
    <x v="287"/>
    <x v="3"/>
    <x v="1"/>
    <x v="8"/>
    <x v="22"/>
    <x v="0"/>
    <x v="2"/>
    <x v="311"/>
  </r>
  <r>
    <x v="285"/>
    <x v="3"/>
    <x v="3"/>
    <x v="10"/>
    <x v="8"/>
    <x v="0"/>
    <x v="9"/>
    <x v="309"/>
  </r>
  <r>
    <x v="288"/>
    <x v="4"/>
    <x v="2"/>
    <x v="2"/>
    <x v="12"/>
    <x v="0"/>
    <x v="0"/>
    <x v="312"/>
  </r>
  <r>
    <x v="289"/>
    <x v="4"/>
    <x v="3"/>
    <x v="35"/>
    <x v="10"/>
    <x v="0"/>
    <x v="8"/>
    <x v="313"/>
  </r>
  <r>
    <x v="290"/>
    <x v="4"/>
    <x v="2"/>
    <x v="26"/>
    <x v="4"/>
    <x v="0"/>
    <x v="4"/>
    <x v="314"/>
  </r>
  <r>
    <x v="291"/>
    <x v="4"/>
    <x v="3"/>
    <x v="5"/>
    <x v="21"/>
    <x v="0"/>
    <x v="7"/>
    <x v="315"/>
  </r>
  <r>
    <x v="292"/>
    <x v="4"/>
    <x v="2"/>
    <x v="27"/>
    <x v="28"/>
    <x v="0"/>
    <x v="4"/>
    <x v="316"/>
  </r>
  <r>
    <x v="293"/>
    <x v="4"/>
    <x v="1"/>
    <x v="21"/>
    <x v="14"/>
    <x v="0"/>
    <x v="7"/>
    <x v="317"/>
  </r>
  <r>
    <x v="294"/>
    <x v="4"/>
    <x v="0"/>
    <x v="32"/>
    <x v="10"/>
    <x v="0"/>
    <x v="9"/>
    <x v="318"/>
  </r>
  <r>
    <x v="188"/>
    <x v="4"/>
    <x v="0"/>
    <x v="19"/>
    <x v="32"/>
    <x v="0"/>
    <x v="8"/>
    <x v="319"/>
  </r>
  <r>
    <x v="292"/>
    <x v="4"/>
    <x v="0"/>
    <x v="19"/>
    <x v="31"/>
    <x v="0"/>
    <x v="4"/>
    <x v="320"/>
  </r>
  <r>
    <x v="295"/>
    <x v="4"/>
    <x v="3"/>
    <x v="9"/>
    <x v="34"/>
    <x v="0"/>
    <x v="4"/>
    <x v="321"/>
  </r>
  <r>
    <x v="296"/>
    <x v="4"/>
    <x v="3"/>
    <x v="39"/>
    <x v="17"/>
    <x v="0"/>
    <x v="4"/>
    <x v="322"/>
  </r>
  <r>
    <x v="297"/>
    <x v="4"/>
    <x v="1"/>
    <x v="3"/>
    <x v="1"/>
    <x v="0"/>
    <x v="4"/>
    <x v="323"/>
  </r>
  <r>
    <x v="298"/>
    <x v="4"/>
    <x v="1"/>
    <x v="26"/>
    <x v="12"/>
    <x v="0"/>
    <x v="7"/>
    <x v="324"/>
  </r>
  <r>
    <x v="299"/>
    <x v="4"/>
    <x v="3"/>
    <x v="9"/>
    <x v="7"/>
    <x v="0"/>
    <x v="1"/>
    <x v="325"/>
  </r>
  <r>
    <x v="23"/>
    <x v="4"/>
    <x v="2"/>
    <x v="32"/>
    <x v="1"/>
    <x v="0"/>
    <x v="0"/>
    <x v="326"/>
  </r>
  <r>
    <x v="300"/>
    <x v="4"/>
    <x v="1"/>
    <x v="35"/>
    <x v="22"/>
    <x v="0"/>
    <x v="3"/>
    <x v="327"/>
  </r>
  <r>
    <x v="301"/>
    <x v="4"/>
    <x v="0"/>
    <x v="13"/>
    <x v="11"/>
    <x v="0"/>
    <x v="9"/>
    <x v="328"/>
  </r>
  <r>
    <x v="302"/>
    <x v="4"/>
    <x v="0"/>
    <x v="16"/>
    <x v="5"/>
    <x v="0"/>
    <x v="4"/>
    <x v="329"/>
  </r>
  <r>
    <x v="303"/>
    <x v="4"/>
    <x v="3"/>
    <x v="23"/>
    <x v="33"/>
    <x v="0"/>
    <x v="7"/>
    <x v="330"/>
  </r>
  <r>
    <x v="304"/>
    <x v="4"/>
    <x v="0"/>
    <x v="13"/>
    <x v="2"/>
    <x v="0"/>
    <x v="8"/>
    <x v="331"/>
  </r>
  <r>
    <x v="305"/>
    <x v="4"/>
    <x v="1"/>
    <x v="33"/>
    <x v="7"/>
    <x v="0"/>
    <x v="5"/>
    <x v="332"/>
  </r>
  <r>
    <x v="306"/>
    <x v="4"/>
    <x v="1"/>
    <x v="35"/>
    <x v="22"/>
    <x v="0"/>
    <x v="8"/>
    <x v="333"/>
  </r>
  <r>
    <x v="307"/>
    <x v="4"/>
    <x v="1"/>
    <x v="26"/>
    <x v="7"/>
    <x v="0"/>
    <x v="3"/>
    <x v="334"/>
  </r>
  <r>
    <x v="308"/>
    <x v="4"/>
    <x v="1"/>
    <x v="25"/>
    <x v="1"/>
    <x v="0"/>
    <x v="0"/>
    <x v="335"/>
  </r>
  <r>
    <x v="309"/>
    <x v="4"/>
    <x v="3"/>
    <x v="37"/>
    <x v="3"/>
    <x v="0"/>
    <x v="7"/>
    <x v="336"/>
  </r>
  <r>
    <x v="310"/>
    <x v="4"/>
    <x v="2"/>
    <x v="14"/>
    <x v="12"/>
    <x v="0"/>
    <x v="7"/>
    <x v="337"/>
  </r>
  <r>
    <x v="311"/>
    <x v="4"/>
    <x v="1"/>
    <x v="39"/>
    <x v="7"/>
    <x v="0"/>
    <x v="9"/>
    <x v="338"/>
  </r>
  <r>
    <x v="312"/>
    <x v="4"/>
    <x v="0"/>
    <x v="10"/>
    <x v="4"/>
    <x v="0"/>
    <x v="6"/>
    <x v="339"/>
  </r>
  <r>
    <x v="23"/>
    <x v="4"/>
    <x v="2"/>
    <x v="9"/>
    <x v="33"/>
    <x v="0"/>
    <x v="7"/>
    <x v="340"/>
  </r>
  <r>
    <x v="313"/>
    <x v="4"/>
    <x v="0"/>
    <x v="28"/>
    <x v="12"/>
    <x v="0"/>
    <x v="6"/>
    <x v="341"/>
  </r>
  <r>
    <x v="314"/>
    <x v="4"/>
    <x v="2"/>
    <x v="9"/>
    <x v="32"/>
    <x v="0"/>
    <x v="4"/>
    <x v="342"/>
  </r>
  <r>
    <x v="315"/>
    <x v="4"/>
    <x v="0"/>
    <x v="22"/>
    <x v="30"/>
    <x v="0"/>
    <x v="1"/>
    <x v="343"/>
  </r>
  <r>
    <x v="13"/>
    <x v="4"/>
    <x v="2"/>
    <x v="23"/>
    <x v="1"/>
    <x v="0"/>
    <x v="7"/>
    <x v="344"/>
  </r>
  <r>
    <x v="316"/>
    <x v="4"/>
    <x v="1"/>
    <x v="21"/>
    <x v="9"/>
    <x v="0"/>
    <x v="7"/>
    <x v="345"/>
  </r>
  <r>
    <x v="317"/>
    <x v="4"/>
    <x v="2"/>
    <x v="20"/>
    <x v="4"/>
    <x v="0"/>
    <x v="8"/>
    <x v="346"/>
  </r>
  <r>
    <x v="245"/>
    <x v="4"/>
    <x v="1"/>
    <x v="3"/>
    <x v="25"/>
    <x v="0"/>
    <x v="0"/>
    <x v="347"/>
  </r>
  <r>
    <x v="318"/>
    <x v="4"/>
    <x v="0"/>
    <x v="28"/>
    <x v="31"/>
    <x v="0"/>
    <x v="5"/>
    <x v="348"/>
  </r>
  <r>
    <x v="319"/>
    <x v="4"/>
    <x v="0"/>
    <x v="21"/>
    <x v="4"/>
    <x v="0"/>
    <x v="9"/>
    <x v="349"/>
  </r>
  <r>
    <x v="320"/>
    <x v="4"/>
    <x v="2"/>
    <x v="7"/>
    <x v="2"/>
    <x v="0"/>
    <x v="8"/>
    <x v="350"/>
  </r>
  <r>
    <x v="321"/>
    <x v="4"/>
    <x v="3"/>
    <x v="38"/>
    <x v="0"/>
    <x v="0"/>
    <x v="6"/>
    <x v="351"/>
  </r>
  <r>
    <x v="322"/>
    <x v="4"/>
    <x v="2"/>
    <x v="16"/>
    <x v="20"/>
    <x v="0"/>
    <x v="2"/>
    <x v="352"/>
  </r>
  <r>
    <x v="23"/>
    <x v="4"/>
    <x v="3"/>
    <x v="34"/>
    <x v="13"/>
    <x v="0"/>
    <x v="7"/>
    <x v="353"/>
  </r>
  <r>
    <x v="323"/>
    <x v="4"/>
    <x v="0"/>
    <x v="31"/>
    <x v="11"/>
    <x v="0"/>
    <x v="3"/>
    <x v="354"/>
  </r>
  <r>
    <x v="324"/>
    <x v="4"/>
    <x v="2"/>
    <x v="6"/>
    <x v="20"/>
    <x v="0"/>
    <x v="7"/>
    <x v="355"/>
  </r>
  <r>
    <x v="325"/>
    <x v="4"/>
    <x v="0"/>
    <x v="32"/>
    <x v="20"/>
    <x v="0"/>
    <x v="8"/>
    <x v="356"/>
  </r>
  <r>
    <x v="326"/>
    <x v="4"/>
    <x v="1"/>
    <x v="6"/>
    <x v="17"/>
    <x v="0"/>
    <x v="3"/>
    <x v="357"/>
  </r>
  <r>
    <x v="327"/>
    <x v="4"/>
    <x v="1"/>
    <x v="30"/>
    <x v="14"/>
    <x v="0"/>
    <x v="5"/>
    <x v="358"/>
  </r>
  <r>
    <x v="328"/>
    <x v="4"/>
    <x v="0"/>
    <x v="13"/>
    <x v="26"/>
    <x v="0"/>
    <x v="2"/>
    <x v="359"/>
  </r>
  <r>
    <x v="329"/>
    <x v="4"/>
    <x v="2"/>
    <x v="22"/>
    <x v="12"/>
    <x v="0"/>
    <x v="7"/>
    <x v="360"/>
  </r>
  <r>
    <x v="330"/>
    <x v="4"/>
    <x v="1"/>
    <x v="17"/>
    <x v="5"/>
    <x v="0"/>
    <x v="7"/>
    <x v="361"/>
  </r>
  <r>
    <x v="331"/>
    <x v="4"/>
    <x v="2"/>
    <x v="31"/>
    <x v="3"/>
    <x v="0"/>
    <x v="2"/>
    <x v="362"/>
  </r>
  <r>
    <x v="332"/>
    <x v="4"/>
    <x v="2"/>
    <x v="32"/>
    <x v="10"/>
    <x v="0"/>
    <x v="7"/>
    <x v="363"/>
  </r>
  <r>
    <x v="333"/>
    <x v="4"/>
    <x v="0"/>
    <x v="18"/>
    <x v="21"/>
    <x v="0"/>
    <x v="0"/>
    <x v="364"/>
  </r>
  <r>
    <x v="334"/>
    <x v="4"/>
    <x v="3"/>
    <x v="2"/>
    <x v="9"/>
    <x v="0"/>
    <x v="5"/>
    <x v="365"/>
  </r>
  <r>
    <x v="335"/>
    <x v="4"/>
    <x v="1"/>
    <x v="9"/>
    <x v="31"/>
    <x v="0"/>
    <x v="0"/>
    <x v="366"/>
  </r>
  <r>
    <x v="336"/>
    <x v="4"/>
    <x v="1"/>
    <x v="28"/>
    <x v="17"/>
    <x v="0"/>
    <x v="5"/>
    <x v="367"/>
  </r>
  <r>
    <x v="337"/>
    <x v="4"/>
    <x v="3"/>
    <x v="29"/>
    <x v="11"/>
    <x v="0"/>
    <x v="4"/>
    <x v="368"/>
  </r>
  <r>
    <x v="338"/>
    <x v="1"/>
    <x v="3"/>
    <x v="39"/>
    <x v="15"/>
    <x v="1"/>
    <x v="5"/>
    <x v="369"/>
  </r>
  <r>
    <x v="339"/>
    <x v="1"/>
    <x v="2"/>
    <x v="25"/>
    <x v="30"/>
    <x v="1"/>
    <x v="8"/>
    <x v="370"/>
  </r>
  <r>
    <x v="340"/>
    <x v="1"/>
    <x v="1"/>
    <x v="26"/>
    <x v="30"/>
    <x v="1"/>
    <x v="9"/>
    <x v="371"/>
  </r>
  <r>
    <x v="341"/>
    <x v="1"/>
    <x v="2"/>
    <x v="17"/>
    <x v="16"/>
    <x v="1"/>
    <x v="8"/>
    <x v="372"/>
  </r>
  <r>
    <x v="342"/>
    <x v="1"/>
    <x v="1"/>
    <x v="10"/>
    <x v="8"/>
    <x v="1"/>
    <x v="9"/>
    <x v="373"/>
  </r>
  <r>
    <x v="343"/>
    <x v="1"/>
    <x v="2"/>
    <x v="32"/>
    <x v="4"/>
    <x v="1"/>
    <x v="8"/>
    <x v="374"/>
  </r>
  <r>
    <x v="344"/>
    <x v="1"/>
    <x v="1"/>
    <x v="9"/>
    <x v="8"/>
    <x v="1"/>
    <x v="2"/>
    <x v="375"/>
  </r>
  <r>
    <x v="345"/>
    <x v="1"/>
    <x v="0"/>
    <x v="37"/>
    <x v="26"/>
    <x v="1"/>
    <x v="8"/>
    <x v="376"/>
  </r>
  <r>
    <x v="346"/>
    <x v="1"/>
    <x v="0"/>
    <x v="32"/>
    <x v="32"/>
    <x v="1"/>
    <x v="7"/>
    <x v="377"/>
  </r>
  <r>
    <x v="347"/>
    <x v="1"/>
    <x v="2"/>
    <x v="36"/>
    <x v="24"/>
    <x v="1"/>
    <x v="7"/>
    <x v="378"/>
  </r>
  <r>
    <x v="348"/>
    <x v="1"/>
    <x v="3"/>
    <x v="9"/>
    <x v="5"/>
    <x v="1"/>
    <x v="5"/>
    <x v="379"/>
  </r>
  <r>
    <x v="349"/>
    <x v="1"/>
    <x v="2"/>
    <x v="3"/>
    <x v="33"/>
    <x v="1"/>
    <x v="2"/>
    <x v="380"/>
  </r>
  <r>
    <x v="350"/>
    <x v="1"/>
    <x v="0"/>
    <x v="28"/>
    <x v="3"/>
    <x v="1"/>
    <x v="0"/>
    <x v="381"/>
  </r>
  <r>
    <x v="351"/>
    <x v="1"/>
    <x v="2"/>
    <x v="6"/>
    <x v="23"/>
    <x v="1"/>
    <x v="2"/>
    <x v="382"/>
  </r>
  <r>
    <x v="352"/>
    <x v="1"/>
    <x v="1"/>
    <x v="5"/>
    <x v="27"/>
    <x v="1"/>
    <x v="3"/>
    <x v="383"/>
  </r>
  <r>
    <x v="353"/>
    <x v="1"/>
    <x v="2"/>
    <x v="18"/>
    <x v="8"/>
    <x v="1"/>
    <x v="6"/>
    <x v="384"/>
  </r>
  <r>
    <x v="354"/>
    <x v="1"/>
    <x v="0"/>
    <x v="13"/>
    <x v="8"/>
    <x v="1"/>
    <x v="8"/>
    <x v="385"/>
  </r>
  <r>
    <x v="355"/>
    <x v="1"/>
    <x v="1"/>
    <x v="3"/>
    <x v="3"/>
    <x v="1"/>
    <x v="8"/>
    <x v="386"/>
  </r>
  <r>
    <x v="356"/>
    <x v="1"/>
    <x v="1"/>
    <x v="7"/>
    <x v="5"/>
    <x v="1"/>
    <x v="9"/>
    <x v="387"/>
  </r>
  <r>
    <x v="357"/>
    <x v="1"/>
    <x v="1"/>
    <x v="30"/>
    <x v="1"/>
    <x v="1"/>
    <x v="7"/>
    <x v="388"/>
  </r>
  <r>
    <x v="358"/>
    <x v="1"/>
    <x v="0"/>
    <x v="20"/>
    <x v="6"/>
    <x v="1"/>
    <x v="0"/>
    <x v="389"/>
  </r>
  <r>
    <x v="23"/>
    <x v="1"/>
    <x v="3"/>
    <x v="38"/>
    <x v="7"/>
    <x v="1"/>
    <x v="0"/>
    <x v="390"/>
  </r>
  <r>
    <x v="359"/>
    <x v="1"/>
    <x v="1"/>
    <x v="38"/>
    <x v="16"/>
    <x v="1"/>
    <x v="3"/>
    <x v="391"/>
  </r>
  <r>
    <x v="360"/>
    <x v="1"/>
    <x v="2"/>
    <x v="3"/>
    <x v="7"/>
    <x v="1"/>
    <x v="8"/>
    <x v="392"/>
  </r>
  <r>
    <x v="23"/>
    <x v="1"/>
    <x v="1"/>
    <x v="14"/>
    <x v="1"/>
    <x v="1"/>
    <x v="9"/>
    <x v="393"/>
  </r>
  <r>
    <x v="361"/>
    <x v="1"/>
    <x v="0"/>
    <x v="22"/>
    <x v="8"/>
    <x v="1"/>
    <x v="2"/>
    <x v="394"/>
  </r>
  <r>
    <x v="362"/>
    <x v="1"/>
    <x v="1"/>
    <x v="33"/>
    <x v="27"/>
    <x v="1"/>
    <x v="2"/>
    <x v="395"/>
  </r>
  <r>
    <x v="363"/>
    <x v="1"/>
    <x v="2"/>
    <x v="24"/>
    <x v="19"/>
    <x v="1"/>
    <x v="3"/>
    <x v="396"/>
  </r>
  <r>
    <x v="364"/>
    <x v="1"/>
    <x v="3"/>
    <x v="13"/>
    <x v="28"/>
    <x v="1"/>
    <x v="3"/>
    <x v="397"/>
  </r>
  <r>
    <x v="365"/>
    <x v="1"/>
    <x v="2"/>
    <x v="39"/>
    <x v="5"/>
    <x v="1"/>
    <x v="5"/>
    <x v="398"/>
  </r>
  <r>
    <x v="366"/>
    <x v="1"/>
    <x v="3"/>
    <x v="21"/>
    <x v="34"/>
    <x v="1"/>
    <x v="3"/>
    <x v="399"/>
  </r>
  <r>
    <x v="367"/>
    <x v="1"/>
    <x v="1"/>
    <x v="35"/>
    <x v="11"/>
    <x v="1"/>
    <x v="1"/>
    <x v="400"/>
  </r>
  <r>
    <x v="368"/>
    <x v="1"/>
    <x v="2"/>
    <x v="37"/>
    <x v="28"/>
    <x v="1"/>
    <x v="3"/>
    <x v="401"/>
  </r>
  <r>
    <x v="369"/>
    <x v="1"/>
    <x v="3"/>
    <x v="36"/>
    <x v="1"/>
    <x v="1"/>
    <x v="6"/>
    <x v="402"/>
  </r>
  <r>
    <x v="370"/>
    <x v="1"/>
    <x v="2"/>
    <x v="27"/>
    <x v="9"/>
    <x v="1"/>
    <x v="7"/>
    <x v="403"/>
  </r>
  <r>
    <x v="371"/>
    <x v="1"/>
    <x v="1"/>
    <x v="4"/>
    <x v="12"/>
    <x v="1"/>
    <x v="7"/>
    <x v="404"/>
  </r>
  <r>
    <x v="372"/>
    <x v="1"/>
    <x v="0"/>
    <x v="9"/>
    <x v="8"/>
    <x v="1"/>
    <x v="6"/>
    <x v="405"/>
  </r>
  <r>
    <x v="373"/>
    <x v="1"/>
    <x v="0"/>
    <x v="8"/>
    <x v="16"/>
    <x v="1"/>
    <x v="0"/>
    <x v="406"/>
  </r>
  <r>
    <x v="374"/>
    <x v="1"/>
    <x v="0"/>
    <x v="25"/>
    <x v="28"/>
    <x v="1"/>
    <x v="1"/>
    <x v="407"/>
  </r>
  <r>
    <x v="375"/>
    <x v="1"/>
    <x v="2"/>
    <x v="11"/>
    <x v="0"/>
    <x v="1"/>
    <x v="9"/>
    <x v="408"/>
  </r>
  <r>
    <x v="376"/>
    <x v="1"/>
    <x v="2"/>
    <x v="26"/>
    <x v="30"/>
    <x v="1"/>
    <x v="1"/>
    <x v="409"/>
  </r>
  <r>
    <x v="377"/>
    <x v="1"/>
    <x v="2"/>
    <x v="32"/>
    <x v="0"/>
    <x v="1"/>
    <x v="1"/>
    <x v="410"/>
  </r>
  <r>
    <x v="378"/>
    <x v="1"/>
    <x v="1"/>
    <x v="21"/>
    <x v="18"/>
    <x v="1"/>
    <x v="4"/>
    <x v="411"/>
  </r>
  <r>
    <x v="379"/>
    <x v="1"/>
    <x v="2"/>
    <x v="30"/>
    <x v="8"/>
    <x v="1"/>
    <x v="7"/>
    <x v="412"/>
  </r>
  <r>
    <x v="380"/>
    <x v="1"/>
    <x v="1"/>
    <x v="35"/>
    <x v="6"/>
    <x v="1"/>
    <x v="7"/>
    <x v="413"/>
  </r>
  <r>
    <x v="381"/>
    <x v="1"/>
    <x v="1"/>
    <x v="27"/>
    <x v="4"/>
    <x v="1"/>
    <x v="5"/>
    <x v="414"/>
  </r>
  <r>
    <x v="382"/>
    <x v="1"/>
    <x v="0"/>
    <x v="39"/>
    <x v="24"/>
    <x v="1"/>
    <x v="1"/>
    <x v="415"/>
  </r>
  <r>
    <x v="383"/>
    <x v="1"/>
    <x v="0"/>
    <x v="5"/>
    <x v="2"/>
    <x v="1"/>
    <x v="3"/>
    <x v="416"/>
  </r>
  <r>
    <x v="384"/>
    <x v="1"/>
    <x v="0"/>
    <x v="36"/>
    <x v="1"/>
    <x v="1"/>
    <x v="2"/>
    <x v="417"/>
  </r>
  <r>
    <x v="385"/>
    <x v="1"/>
    <x v="0"/>
    <x v="38"/>
    <x v="8"/>
    <x v="1"/>
    <x v="2"/>
    <x v="418"/>
  </r>
  <r>
    <x v="386"/>
    <x v="1"/>
    <x v="2"/>
    <x v="10"/>
    <x v="11"/>
    <x v="1"/>
    <x v="5"/>
    <x v="419"/>
  </r>
  <r>
    <x v="387"/>
    <x v="1"/>
    <x v="0"/>
    <x v="36"/>
    <x v="1"/>
    <x v="1"/>
    <x v="4"/>
    <x v="420"/>
  </r>
  <r>
    <x v="388"/>
    <x v="1"/>
    <x v="0"/>
    <x v="34"/>
    <x v="12"/>
    <x v="1"/>
    <x v="8"/>
    <x v="421"/>
  </r>
  <r>
    <x v="389"/>
    <x v="1"/>
    <x v="2"/>
    <x v="14"/>
    <x v="1"/>
    <x v="1"/>
    <x v="5"/>
    <x v="422"/>
  </r>
  <r>
    <x v="390"/>
    <x v="1"/>
    <x v="2"/>
    <x v="35"/>
    <x v="6"/>
    <x v="1"/>
    <x v="1"/>
    <x v="423"/>
  </r>
  <r>
    <x v="391"/>
    <x v="1"/>
    <x v="1"/>
    <x v="32"/>
    <x v="20"/>
    <x v="1"/>
    <x v="7"/>
    <x v="424"/>
  </r>
  <r>
    <x v="358"/>
    <x v="1"/>
    <x v="0"/>
    <x v="20"/>
    <x v="6"/>
    <x v="1"/>
    <x v="0"/>
    <x v="389"/>
  </r>
  <r>
    <x v="149"/>
    <x v="3"/>
    <x v="3"/>
    <x v="14"/>
    <x v="19"/>
    <x v="1"/>
    <x v="3"/>
    <x v="425"/>
  </r>
  <r>
    <x v="392"/>
    <x v="3"/>
    <x v="0"/>
    <x v="24"/>
    <x v="21"/>
    <x v="1"/>
    <x v="3"/>
    <x v="426"/>
  </r>
  <r>
    <x v="393"/>
    <x v="3"/>
    <x v="1"/>
    <x v="19"/>
    <x v="19"/>
    <x v="1"/>
    <x v="3"/>
    <x v="427"/>
  </r>
  <r>
    <x v="394"/>
    <x v="3"/>
    <x v="0"/>
    <x v="11"/>
    <x v="0"/>
    <x v="1"/>
    <x v="8"/>
    <x v="428"/>
  </r>
  <r>
    <x v="395"/>
    <x v="3"/>
    <x v="2"/>
    <x v="17"/>
    <x v="26"/>
    <x v="1"/>
    <x v="6"/>
    <x v="429"/>
  </r>
  <r>
    <x v="396"/>
    <x v="3"/>
    <x v="2"/>
    <x v="19"/>
    <x v="17"/>
    <x v="1"/>
    <x v="7"/>
    <x v="430"/>
  </r>
  <r>
    <x v="397"/>
    <x v="3"/>
    <x v="1"/>
    <x v="30"/>
    <x v="15"/>
    <x v="1"/>
    <x v="3"/>
    <x v="431"/>
  </r>
  <r>
    <x v="398"/>
    <x v="3"/>
    <x v="2"/>
    <x v="22"/>
    <x v="7"/>
    <x v="1"/>
    <x v="4"/>
    <x v="432"/>
  </r>
  <r>
    <x v="399"/>
    <x v="3"/>
    <x v="1"/>
    <x v="2"/>
    <x v="16"/>
    <x v="1"/>
    <x v="7"/>
    <x v="433"/>
  </r>
  <r>
    <x v="400"/>
    <x v="3"/>
    <x v="3"/>
    <x v="24"/>
    <x v="25"/>
    <x v="1"/>
    <x v="1"/>
    <x v="434"/>
  </r>
  <r>
    <x v="401"/>
    <x v="3"/>
    <x v="0"/>
    <x v="18"/>
    <x v="21"/>
    <x v="1"/>
    <x v="7"/>
    <x v="435"/>
  </r>
  <r>
    <x v="402"/>
    <x v="3"/>
    <x v="1"/>
    <x v="25"/>
    <x v="10"/>
    <x v="1"/>
    <x v="5"/>
    <x v="436"/>
  </r>
  <r>
    <x v="403"/>
    <x v="3"/>
    <x v="3"/>
    <x v="10"/>
    <x v="29"/>
    <x v="1"/>
    <x v="4"/>
    <x v="437"/>
  </r>
  <r>
    <x v="404"/>
    <x v="3"/>
    <x v="1"/>
    <x v="7"/>
    <x v="3"/>
    <x v="1"/>
    <x v="8"/>
    <x v="438"/>
  </r>
  <r>
    <x v="405"/>
    <x v="3"/>
    <x v="1"/>
    <x v="22"/>
    <x v="28"/>
    <x v="1"/>
    <x v="3"/>
    <x v="439"/>
  </r>
  <r>
    <x v="186"/>
    <x v="3"/>
    <x v="2"/>
    <x v="21"/>
    <x v="5"/>
    <x v="1"/>
    <x v="4"/>
    <x v="440"/>
  </r>
  <r>
    <x v="406"/>
    <x v="3"/>
    <x v="2"/>
    <x v="37"/>
    <x v="18"/>
    <x v="1"/>
    <x v="8"/>
    <x v="441"/>
  </r>
  <r>
    <x v="407"/>
    <x v="3"/>
    <x v="3"/>
    <x v="0"/>
    <x v="0"/>
    <x v="1"/>
    <x v="7"/>
    <x v="442"/>
  </r>
  <r>
    <x v="408"/>
    <x v="3"/>
    <x v="3"/>
    <x v="29"/>
    <x v="1"/>
    <x v="1"/>
    <x v="2"/>
    <x v="443"/>
  </r>
  <r>
    <x v="409"/>
    <x v="3"/>
    <x v="2"/>
    <x v="22"/>
    <x v="7"/>
    <x v="1"/>
    <x v="3"/>
    <x v="444"/>
  </r>
  <r>
    <x v="410"/>
    <x v="3"/>
    <x v="2"/>
    <x v="10"/>
    <x v="15"/>
    <x v="1"/>
    <x v="6"/>
    <x v="445"/>
  </r>
  <r>
    <x v="411"/>
    <x v="3"/>
    <x v="2"/>
    <x v="35"/>
    <x v="26"/>
    <x v="1"/>
    <x v="8"/>
    <x v="446"/>
  </r>
  <r>
    <x v="412"/>
    <x v="3"/>
    <x v="2"/>
    <x v="29"/>
    <x v="17"/>
    <x v="1"/>
    <x v="7"/>
    <x v="447"/>
  </r>
  <r>
    <x v="413"/>
    <x v="3"/>
    <x v="3"/>
    <x v="21"/>
    <x v="31"/>
    <x v="1"/>
    <x v="5"/>
    <x v="448"/>
  </r>
  <r>
    <x v="414"/>
    <x v="3"/>
    <x v="0"/>
    <x v="1"/>
    <x v="15"/>
    <x v="1"/>
    <x v="2"/>
    <x v="449"/>
  </r>
  <r>
    <x v="415"/>
    <x v="3"/>
    <x v="3"/>
    <x v="26"/>
    <x v="13"/>
    <x v="1"/>
    <x v="2"/>
    <x v="450"/>
  </r>
  <r>
    <x v="416"/>
    <x v="3"/>
    <x v="2"/>
    <x v="22"/>
    <x v="10"/>
    <x v="1"/>
    <x v="8"/>
    <x v="451"/>
  </r>
  <r>
    <x v="417"/>
    <x v="3"/>
    <x v="3"/>
    <x v="2"/>
    <x v="31"/>
    <x v="1"/>
    <x v="4"/>
    <x v="452"/>
  </r>
  <r>
    <x v="418"/>
    <x v="3"/>
    <x v="0"/>
    <x v="35"/>
    <x v="17"/>
    <x v="1"/>
    <x v="7"/>
    <x v="453"/>
  </r>
  <r>
    <x v="232"/>
    <x v="3"/>
    <x v="0"/>
    <x v="26"/>
    <x v="25"/>
    <x v="1"/>
    <x v="7"/>
    <x v="454"/>
  </r>
  <r>
    <x v="419"/>
    <x v="3"/>
    <x v="3"/>
    <x v="28"/>
    <x v="31"/>
    <x v="1"/>
    <x v="3"/>
    <x v="455"/>
  </r>
  <r>
    <x v="420"/>
    <x v="3"/>
    <x v="0"/>
    <x v="22"/>
    <x v="33"/>
    <x v="1"/>
    <x v="8"/>
    <x v="456"/>
  </r>
  <r>
    <x v="421"/>
    <x v="3"/>
    <x v="0"/>
    <x v="7"/>
    <x v="8"/>
    <x v="1"/>
    <x v="7"/>
    <x v="457"/>
  </r>
  <r>
    <x v="422"/>
    <x v="3"/>
    <x v="1"/>
    <x v="15"/>
    <x v="28"/>
    <x v="1"/>
    <x v="8"/>
    <x v="458"/>
  </r>
  <r>
    <x v="423"/>
    <x v="3"/>
    <x v="1"/>
    <x v="3"/>
    <x v="7"/>
    <x v="1"/>
    <x v="7"/>
    <x v="459"/>
  </r>
  <r>
    <x v="424"/>
    <x v="3"/>
    <x v="3"/>
    <x v="16"/>
    <x v="26"/>
    <x v="1"/>
    <x v="7"/>
    <x v="460"/>
  </r>
  <r>
    <x v="425"/>
    <x v="3"/>
    <x v="2"/>
    <x v="9"/>
    <x v="7"/>
    <x v="1"/>
    <x v="3"/>
    <x v="461"/>
  </r>
  <r>
    <x v="426"/>
    <x v="3"/>
    <x v="1"/>
    <x v="2"/>
    <x v="9"/>
    <x v="1"/>
    <x v="5"/>
    <x v="462"/>
  </r>
  <r>
    <x v="427"/>
    <x v="3"/>
    <x v="1"/>
    <x v="27"/>
    <x v="6"/>
    <x v="1"/>
    <x v="9"/>
    <x v="463"/>
  </r>
  <r>
    <x v="428"/>
    <x v="3"/>
    <x v="2"/>
    <x v="13"/>
    <x v="16"/>
    <x v="1"/>
    <x v="1"/>
    <x v="464"/>
  </r>
  <r>
    <x v="133"/>
    <x v="3"/>
    <x v="1"/>
    <x v="27"/>
    <x v="0"/>
    <x v="1"/>
    <x v="7"/>
    <x v="465"/>
  </r>
  <r>
    <x v="429"/>
    <x v="3"/>
    <x v="1"/>
    <x v="8"/>
    <x v="14"/>
    <x v="1"/>
    <x v="9"/>
    <x v="466"/>
  </r>
  <r>
    <x v="430"/>
    <x v="3"/>
    <x v="1"/>
    <x v="34"/>
    <x v="13"/>
    <x v="1"/>
    <x v="6"/>
    <x v="467"/>
  </r>
  <r>
    <x v="431"/>
    <x v="3"/>
    <x v="3"/>
    <x v="6"/>
    <x v="20"/>
    <x v="1"/>
    <x v="6"/>
    <x v="468"/>
  </r>
  <r>
    <x v="432"/>
    <x v="3"/>
    <x v="3"/>
    <x v="28"/>
    <x v="28"/>
    <x v="1"/>
    <x v="3"/>
    <x v="469"/>
  </r>
  <r>
    <x v="411"/>
    <x v="3"/>
    <x v="3"/>
    <x v="20"/>
    <x v="28"/>
    <x v="1"/>
    <x v="2"/>
    <x v="470"/>
  </r>
  <r>
    <x v="433"/>
    <x v="3"/>
    <x v="2"/>
    <x v="8"/>
    <x v="17"/>
    <x v="1"/>
    <x v="5"/>
    <x v="471"/>
  </r>
  <r>
    <x v="434"/>
    <x v="3"/>
    <x v="3"/>
    <x v="9"/>
    <x v="1"/>
    <x v="1"/>
    <x v="0"/>
    <x v="472"/>
  </r>
  <r>
    <x v="435"/>
    <x v="3"/>
    <x v="3"/>
    <x v="2"/>
    <x v="20"/>
    <x v="1"/>
    <x v="0"/>
    <x v="473"/>
  </r>
  <r>
    <x v="436"/>
    <x v="3"/>
    <x v="2"/>
    <x v="8"/>
    <x v="25"/>
    <x v="1"/>
    <x v="2"/>
    <x v="474"/>
  </r>
  <r>
    <x v="437"/>
    <x v="3"/>
    <x v="2"/>
    <x v="12"/>
    <x v="6"/>
    <x v="1"/>
    <x v="8"/>
    <x v="475"/>
  </r>
  <r>
    <x v="438"/>
    <x v="3"/>
    <x v="1"/>
    <x v="37"/>
    <x v="6"/>
    <x v="1"/>
    <x v="8"/>
    <x v="476"/>
  </r>
  <r>
    <x v="439"/>
    <x v="3"/>
    <x v="2"/>
    <x v="6"/>
    <x v="11"/>
    <x v="1"/>
    <x v="4"/>
    <x v="477"/>
  </r>
  <r>
    <x v="440"/>
    <x v="3"/>
    <x v="0"/>
    <x v="31"/>
    <x v="8"/>
    <x v="1"/>
    <x v="2"/>
    <x v="478"/>
  </r>
  <r>
    <x v="441"/>
    <x v="3"/>
    <x v="0"/>
    <x v="25"/>
    <x v="8"/>
    <x v="1"/>
    <x v="1"/>
    <x v="479"/>
  </r>
  <r>
    <x v="442"/>
    <x v="3"/>
    <x v="3"/>
    <x v="4"/>
    <x v="9"/>
    <x v="1"/>
    <x v="0"/>
    <x v="480"/>
  </r>
  <r>
    <x v="443"/>
    <x v="3"/>
    <x v="1"/>
    <x v="14"/>
    <x v="23"/>
    <x v="1"/>
    <x v="9"/>
    <x v="481"/>
  </r>
  <r>
    <x v="361"/>
    <x v="3"/>
    <x v="3"/>
    <x v="6"/>
    <x v="31"/>
    <x v="1"/>
    <x v="4"/>
    <x v="482"/>
  </r>
  <r>
    <x v="444"/>
    <x v="3"/>
    <x v="1"/>
    <x v="11"/>
    <x v="4"/>
    <x v="1"/>
    <x v="8"/>
    <x v="483"/>
  </r>
  <r>
    <x v="23"/>
    <x v="3"/>
    <x v="3"/>
    <x v="18"/>
    <x v="22"/>
    <x v="1"/>
    <x v="2"/>
    <x v="484"/>
  </r>
  <r>
    <x v="445"/>
    <x v="3"/>
    <x v="0"/>
    <x v="9"/>
    <x v="20"/>
    <x v="1"/>
    <x v="7"/>
    <x v="485"/>
  </r>
  <r>
    <x v="446"/>
    <x v="3"/>
    <x v="1"/>
    <x v="17"/>
    <x v="23"/>
    <x v="1"/>
    <x v="1"/>
    <x v="486"/>
  </r>
  <r>
    <x v="447"/>
    <x v="3"/>
    <x v="1"/>
    <x v="33"/>
    <x v="4"/>
    <x v="1"/>
    <x v="1"/>
    <x v="487"/>
  </r>
  <r>
    <x v="448"/>
    <x v="3"/>
    <x v="0"/>
    <x v="3"/>
    <x v="18"/>
    <x v="1"/>
    <x v="0"/>
    <x v="488"/>
  </r>
  <r>
    <x v="449"/>
    <x v="3"/>
    <x v="2"/>
    <x v="9"/>
    <x v="20"/>
    <x v="1"/>
    <x v="4"/>
    <x v="489"/>
  </r>
  <r>
    <x v="450"/>
    <x v="0"/>
    <x v="0"/>
    <x v="2"/>
    <x v="20"/>
    <x v="1"/>
    <x v="5"/>
    <x v="490"/>
  </r>
  <r>
    <x v="451"/>
    <x v="0"/>
    <x v="3"/>
    <x v="4"/>
    <x v="28"/>
    <x v="1"/>
    <x v="9"/>
    <x v="491"/>
  </r>
  <r>
    <x v="452"/>
    <x v="0"/>
    <x v="2"/>
    <x v="21"/>
    <x v="21"/>
    <x v="1"/>
    <x v="1"/>
    <x v="492"/>
  </r>
  <r>
    <x v="453"/>
    <x v="0"/>
    <x v="2"/>
    <x v="1"/>
    <x v="13"/>
    <x v="1"/>
    <x v="5"/>
    <x v="493"/>
  </r>
  <r>
    <x v="454"/>
    <x v="0"/>
    <x v="1"/>
    <x v="24"/>
    <x v="14"/>
    <x v="1"/>
    <x v="0"/>
    <x v="494"/>
  </r>
  <r>
    <x v="455"/>
    <x v="0"/>
    <x v="2"/>
    <x v="14"/>
    <x v="27"/>
    <x v="1"/>
    <x v="9"/>
    <x v="495"/>
  </r>
  <r>
    <x v="456"/>
    <x v="0"/>
    <x v="2"/>
    <x v="4"/>
    <x v="22"/>
    <x v="1"/>
    <x v="3"/>
    <x v="496"/>
  </r>
  <r>
    <x v="457"/>
    <x v="0"/>
    <x v="2"/>
    <x v="27"/>
    <x v="31"/>
    <x v="1"/>
    <x v="2"/>
    <x v="497"/>
  </r>
  <r>
    <x v="458"/>
    <x v="0"/>
    <x v="1"/>
    <x v="4"/>
    <x v="15"/>
    <x v="1"/>
    <x v="8"/>
    <x v="498"/>
  </r>
  <r>
    <x v="459"/>
    <x v="0"/>
    <x v="3"/>
    <x v="11"/>
    <x v="5"/>
    <x v="1"/>
    <x v="7"/>
    <x v="499"/>
  </r>
  <r>
    <x v="460"/>
    <x v="0"/>
    <x v="3"/>
    <x v="11"/>
    <x v="6"/>
    <x v="1"/>
    <x v="6"/>
    <x v="500"/>
  </r>
  <r>
    <x v="461"/>
    <x v="0"/>
    <x v="2"/>
    <x v="30"/>
    <x v="10"/>
    <x v="1"/>
    <x v="7"/>
    <x v="501"/>
  </r>
  <r>
    <x v="462"/>
    <x v="0"/>
    <x v="0"/>
    <x v="20"/>
    <x v="12"/>
    <x v="1"/>
    <x v="8"/>
    <x v="502"/>
  </r>
  <r>
    <x v="463"/>
    <x v="0"/>
    <x v="1"/>
    <x v="5"/>
    <x v="27"/>
    <x v="1"/>
    <x v="7"/>
    <x v="503"/>
  </r>
  <r>
    <x v="464"/>
    <x v="0"/>
    <x v="2"/>
    <x v="31"/>
    <x v="3"/>
    <x v="1"/>
    <x v="2"/>
    <x v="504"/>
  </r>
  <r>
    <x v="465"/>
    <x v="0"/>
    <x v="3"/>
    <x v="13"/>
    <x v="17"/>
    <x v="1"/>
    <x v="4"/>
    <x v="505"/>
  </r>
  <r>
    <x v="459"/>
    <x v="0"/>
    <x v="3"/>
    <x v="33"/>
    <x v="26"/>
    <x v="1"/>
    <x v="4"/>
    <x v="506"/>
  </r>
  <r>
    <x v="466"/>
    <x v="0"/>
    <x v="2"/>
    <x v="1"/>
    <x v="30"/>
    <x v="1"/>
    <x v="1"/>
    <x v="507"/>
  </r>
  <r>
    <x v="184"/>
    <x v="0"/>
    <x v="3"/>
    <x v="25"/>
    <x v="28"/>
    <x v="1"/>
    <x v="3"/>
    <x v="508"/>
  </r>
  <r>
    <x v="22"/>
    <x v="0"/>
    <x v="2"/>
    <x v="33"/>
    <x v="14"/>
    <x v="1"/>
    <x v="2"/>
    <x v="509"/>
  </r>
  <r>
    <x v="467"/>
    <x v="0"/>
    <x v="1"/>
    <x v="27"/>
    <x v="27"/>
    <x v="1"/>
    <x v="8"/>
    <x v="510"/>
  </r>
  <r>
    <x v="172"/>
    <x v="0"/>
    <x v="0"/>
    <x v="21"/>
    <x v="14"/>
    <x v="1"/>
    <x v="4"/>
    <x v="511"/>
  </r>
  <r>
    <x v="468"/>
    <x v="0"/>
    <x v="1"/>
    <x v="5"/>
    <x v="29"/>
    <x v="1"/>
    <x v="7"/>
    <x v="512"/>
  </r>
  <r>
    <x v="469"/>
    <x v="0"/>
    <x v="0"/>
    <x v="20"/>
    <x v="30"/>
    <x v="1"/>
    <x v="7"/>
    <x v="513"/>
  </r>
  <r>
    <x v="23"/>
    <x v="0"/>
    <x v="3"/>
    <x v="12"/>
    <x v="1"/>
    <x v="1"/>
    <x v="5"/>
    <x v="514"/>
  </r>
  <r>
    <x v="470"/>
    <x v="0"/>
    <x v="3"/>
    <x v="14"/>
    <x v="8"/>
    <x v="1"/>
    <x v="2"/>
    <x v="515"/>
  </r>
  <r>
    <x v="471"/>
    <x v="0"/>
    <x v="2"/>
    <x v="1"/>
    <x v="3"/>
    <x v="1"/>
    <x v="2"/>
    <x v="516"/>
  </r>
  <r>
    <x v="472"/>
    <x v="0"/>
    <x v="1"/>
    <x v="6"/>
    <x v="34"/>
    <x v="1"/>
    <x v="4"/>
    <x v="517"/>
  </r>
  <r>
    <x v="23"/>
    <x v="0"/>
    <x v="1"/>
    <x v="22"/>
    <x v="0"/>
    <x v="1"/>
    <x v="5"/>
    <x v="518"/>
  </r>
  <r>
    <x v="473"/>
    <x v="0"/>
    <x v="0"/>
    <x v="16"/>
    <x v="18"/>
    <x v="1"/>
    <x v="0"/>
    <x v="519"/>
  </r>
  <r>
    <x v="21"/>
    <x v="0"/>
    <x v="1"/>
    <x v="3"/>
    <x v="27"/>
    <x v="1"/>
    <x v="3"/>
    <x v="520"/>
  </r>
  <r>
    <x v="474"/>
    <x v="0"/>
    <x v="2"/>
    <x v="9"/>
    <x v="25"/>
    <x v="1"/>
    <x v="7"/>
    <x v="521"/>
  </r>
  <r>
    <x v="475"/>
    <x v="0"/>
    <x v="1"/>
    <x v="33"/>
    <x v="21"/>
    <x v="1"/>
    <x v="7"/>
    <x v="522"/>
  </r>
  <r>
    <x v="476"/>
    <x v="0"/>
    <x v="2"/>
    <x v="29"/>
    <x v="30"/>
    <x v="1"/>
    <x v="6"/>
    <x v="523"/>
  </r>
  <r>
    <x v="477"/>
    <x v="0"/>
    <x v="0"/>
    <x v="0"/>
    <x v="29"/>
    <x v="1"/>
    <x v="7"/>
    <x v="524"/>
  </r>
  <r>
    <x v="478"/>
    <x v="0"/>
    <x v="1"/>
    <x v="8"/>
    <x v="17"/>
    <x v="1"/>
    <x v="3"/>
    <x v="525"/>
  </r>
  <r>
    <x v="479"/>
    <x v="0"/>
    <x v="1"/>
    <x v="25"/>
    <x v="24"/>
    <x v="1"/>
    <x v="5"/>
    <x v="526"/>
  </r>
  <r>
    <x v="47"/>
    <x v="0"/>
    <x v="3"/>
    <x v="31"/>
    <x v="30"/>
    <x v="1"/>
    <x v="2"/>
    <x v="527"/>
  </r>
  <r>
    <x v="480"/>
    <x v="0"/>
    <x v="0"/>
    <x v="0"/>
    <x v="14"/>
    <x v="1"/>
    <x v="8"/>
    <x v="528"/>
  </r>
  <r>
    <x v="20"/>
    <x v="0"/>
    <x v="3"/>
    <x v="32"/>
    <x v="29"/>
    <x v="1"/>
    <x v="5"/>
    <x v="529"/>
  </r>
  <r>
    <x v="481"/>
    <x v="0"/>
    <x v="2"/>
    <x v="22"/>
    <x v="19"/>
    <x v="1"/>
    <x v="8"/>
    <x v="530"/>
  </r>
  <r>
    <x v="482"/>
    <x v="0"/>
    <x v="1"/>
    <x v="20"/>
    <x v="22"/>
    <x v="1"/>
    <x v="4"/>
    <x v="531"/>
  </r>
  <r>
    <x v="483"/>
    <x v="0"/>
    <x v="1"/>
    <x v="23"/>
    <x v="24"/>
    <x v="1"/>
    <x v="1"/>
    <x v="532"/>
  </r>
  <r>
    <x v="484"/>
    <x v="0"/>
    <x v="0"/>
    <x v="15"/>
    <x v="20"/>
    <x v="1"/>
    <x v="9"/>
    <x v="533"/>
  </r>
  <r>
    <x v="485"/>
    <x v="0"/>
    <x v="1"/>
    <x v="1"/>
    <x v="30"/>
    <x v="1"/>
    <x v="3"/>
    <x v="534"/>
  </r>
  <r>
    <x v="486"/>
    <x v="0"/>
    <x v="3"/>
    <x v="0"/>
    <x v="12"/>
    <x v="1"/>
    <x v="3"/>
    <x v="535"/>
  </r>
  <r>
    <x v="487"/>
    <x v="0"/>
    <x v="1"/>
    <x v="20"/>
    <x v="30"/>
    <x v="1"/>
    <x v="7"/>
    <x v="536"/>
  </r>
  <r>
    <x v="488"/>
    <x v="0"/>
    <x v="1"/>
    <x v="37"/>
    <x v="6"/>
    <x v="1"/>
    <x v="3"/>
    <x v="537"/>
  </r>
  <r>
    <x v="489"/>
    <x v="0"/>
    <x v="2"/>
    <x v="0"/>
    <x v="1"/>
    <x v="1"/>
    <x v="1"/>
    <x v="538"/>
  </r>
  <r>
    <x v="490"/>
    <x v="0"/>
    <x v="0"/>
    <x v="24"/>
    <x v="0"/>
    <x v="1"/>
    <x v="0"/>
    <x v="539"/>
  </r>
  <r>
    <x v="491"/>
    <x v="0"/>
    <x v="2"/>
    <x v="21"/>
    <x v="13"/>
    <x v="1"/>
    <x v="9"/>
    <x v="540"/>
  </r>
  <r>
    <x v="492"/>
    <x v="0"/>
    <x v="0"/>
    <x v="31"/>
    <x v="9"/>
    <x v="1"/>
    <x v="0"/>
    <x v="541"/>
  </r>
  <r>
    <x v="493"/>
    <x v="0"/>
    <x v="2"/>
    <x v="31"/>
    <x v="7"/>
    <x v="1"/>
    <x v="2"/>
    <x v="542"/>
  </r>
  <r>
    <x v="494"/>
    <x v="0"/>
    <x v="0"/>
    <x v="9"/>
    <x v="13"/>
    <x v="1"/>
    <x v="3"/>
    <x v="543"/>
  </r>
  <r>
    <x v="495"/>
    <x v="0"/>
    <x v="2"/>
    <x v="37"/>
    <x v="3"/>
    <x v="1"/>
    <x v="0"/>
    <x v="544"/>
  </r>
  <r>
    <x v="496"/>
    <x v="0"/>
    <x v="0"/>
    <x v="12"/>
    <x v="11"/>
    <x v="1"/>
    <x v="8"/>
    <x v="545"/>
  </r>
  <r>
    <x v="497"/>
    <x v="0"/>
    <x v="2"/>
    <x v="34"/>
    <x v="3"/>
    <x v="1"/>
    <x v="1"/>
    <x v="546"/>
  </r>
  <r>
    <x v="498"/>
    <x v="0"/>
    <x v="3"/>
    <x v="6"/>
    <x v="18"/>
    <x v="1"/>
    <x v="5"/>
    <x v="547"/>
  </r>
  <r>
    <x v="486"/>
    <x v="0"/>
    <x v="3"/>
    <x v="18"/>
    <x v="15"/>
    <x v="1"/>
    <x v="1"/>
    <x v="548"/>
  </r>
  <r>
    <x v="499"/>
    <x v="0"/>
    <x v="2"/>
    <x v="25"/>
    <x v="7"/>
    <x v="1"/>
    <x v="7"/>
    <x v="549"/>
  </r>
  <r>
    <x v="500"/>
    <x v="0"/>
    <x v="3"/>
    <x v="23"/>
    <x v="7"/>
    <x v="1"/>
    <x v="6"/>
    <x v="550"/>
  </r>
  <r>
    <x v="501"/>
    <x v="0"/>
    <x v="0"/>
    <x v="1"/>
    <x v="15"/>
    <x v="1"/>
    <x v="8"/>
    <x v="551"/>
  </r>
  <r>
    <x v="502"/>
    <x v="0"/>
    <x v="1"/>
    <x v="8"/>
    <x v="24"/>
    <x v="1"/>
    <x v="0"/>
    <x v="552"/>
  </r>
  <r>
    <x v="503"/>
    <x v="0"/>
    <x v="3"/>
    <x v="3"/>
    <x v="24"/>
    <x v="1"/>
    <x v="5"/>
    <x v="553"/>
  </r>
  <r>
    <x v="504"/>
    <x v="0"/>
    <x v="1"/>
    <x v="18"/>
    <x v="18"/>
    <x v="1"/>
    <x v="2"/>
    <x v="554"/>
  </r>
  <r>
    <x v="505"/>
    <x v="2"/>
    <x v="0"/>
    <x v="9"/>
    <x v="8"/>
    <x v="1"/>
    <x v="5"/>
    <x v="555"/>
  </r>
  <r>
    <x v="506"/>
    <x v="2"/>
    <x v="0"/>
    <x v="23"/>
    <x v="24"/>
    <x v="1"/>
    <x v="2"/>
    <x v="556"/>
  </r>
  <r>
    <x v="507"/>
    <x v="2"/>
    <x v="0"/>
    <x v="12"/>
    <x v="2"/>
    <x v="1"/>
    <x v="1"/>
    <x v="557"/>
  </r>
  <r>
    <x v="508"/>
    <x v="2"/>
    <x v="2"/>
    <x v="17"/>
    <x v="34"/>
    <x v="1"/>
    <x v="6"/>
    <x v="558"/>
  </r>
  <r>
    <x v="509"/>
    <x v="2"/>
    <x v="3"/>
    <x v="30"/>
    <x v="21"/>
    <x v="1"/>
    <x v="4"/>
    <x v="559"/>
  </r>
  <r>
    <x v="510"/>
    <x v="2"/>
    <x v="3"/>
    <x v="5"/>
    <x v="11"/>
    <x v="1"/>
    <x v="8"/>
    <x v="560"/>
  </r>
  <r>
    <x v="511"/>
    <x v="2"/>
    <x v="2"/>
    <x v="22"/>
    <x v="30"/>
    <x v="1"/>
    <x v="9"/>
    <x v="561"/>
  </r>
  <r>
    <x v="512"/>
    <x v="2"/>
    <x v="3"/>
    <x v="9"/>
    <x v="16"/>
    <x v="1"/>
    <x v="7"/>
    <x v="562"/>
  </r>
  <r>
    <x v="513"/>
    <x v="2"/>
    <x v="1"/>
    <x v="11"/>
    <x v="10"/>
    <x v="1"/>
    <x v="1"/>
    <x v="563"/>
  </r>
  <r>
    <x v="514"/>
    <x v="2"/>
    <x v="3"/>
    <x v="12"/>
    <x v="1"/>
    <x v="1"/>
    <x v="2"/>
    <x v="564"/>
  </r>
  <r>
    <x v="515"/>
    <x v="2"/>
    <x v="3"/>
    <x v="31"/>
    <x v="1"/>
    <x v="1"/>
    <x v="1"/>
    <x v="565"/>
  </r>
  <r>
    <x v="516"/>
    <x v="2"/>
    <x v="3"/>
    <x v="16"/>
    <x v="32"/>
    <x v="1"/>
    <x v="8"/>
    <x v="566"/>
  </r>
  <r>
    <x v="517"/>
    <x v="2"/>
    <x v="3"/>
    <x v="15"/>
    <x v="0"/>
    <x v="1"/>
    <x v="9"/>
    <x v="567"/>
  </r>
  <r>
    <x v="162"/>
    <x v="2"/>
    <x v="2"/>
    <x v="32"/>
    <x v="32"/>
    <x v="1"/>
    <x v="5"/>
    <x v="568"/>
  </r>
  <r>
    <x v="518"/>
    <x v="2"/>
    <x v="1"/>
    <x v="9"/>
    <x v="25"/>
    <x v="1"/>
    <x v="2"/>
    <x v="569"/>
  </r>
  <r>
    <x v="89"/>
    <x v="2"/>
    <x v="1"/>
    <x v="0"/>
    <x v="8"/>
    <x v="1"/>
    <x v="1"/>
    <x v="570"/>
  </r>
  <r>
    <x v="23"/>
    <x v="2"/>
    <x v="0"/>
    <x v="34"/>
    <x v="6"/>
    <x v="1"/>
    <x v="7"/>
    <x v="571"/>
  </r>
  <r>
    <x v="288"/>
    <x v="2"/>
    <x v="3"/>
    <x v="13"/>
    <x v="1"/>
    <x v="1"/>
    <x v="7"/>
    <x v="572"/>
  </r>
  <r>
    <x v="519"/>
    <x v="2"/>
    <x v="3"/>
    <x v="8"/>
    <x v="7"/>
    <x v="1"/>
    <x v="2"/>
    <x v="573"/>
  </r>
  <r>
    <x v="520"/>
    <x v="2"/>
    <x v="1"/>
    <x v="14"/>
    <x v="3"/>
    <x v="1"/>
    <x v="8"/>
    <x v="574"/>
  </r>
  <r>
    <x v="521"/>
    <x v="2"/>
    <x v="0"/>
    <x v="25"/>
    <x v="21"/>
    <x v="1"/>
    <x v="0"/>
    <x v="575"/>
  </r>
  <r>
    <x v="522"/>
    <x v="2"/>
    <x v="3"/>
    <x v="4"/>
    <x v="16"/>
    <x v="1"/>
    <x v="0"/>
    <x v="576"/>
  </r>
  <r>
    <x v="523"/>
    <x v="2"/>
    <x v="3"/>
    <x v="39"/>
    <x v="0"/>
    <x v="1"/>
    <x v="1"/>
    <x v="577"/>
  </r>
  <r>
    <x v="524"/>
    <x v="2"/>
    <x v="3"/>
    <x v="16"/>
    <x v="32"/>
    <x v="1"/>
    <x v="2"/>
    <x v="578"/>
  </r>
  <r>
    <x v="525"/>
    <x v="2"/>
    <x v="2"/>
    <x v="34"/>
    <x v="10"/>
    <x v="1"/>
    <x v="8"/>
    <x v="579"/>
  </r>
  <r>
    <x v="526"/>
    <x v="2"/>
    <x v="0"/>
    <x v="25"/>
    <x v="16"/>
    <x v="1"/>
    <x v="1"/>
    <x v="580"/>
  </r>
  <r>
    <x v="527"/>
    <x v="2"/>
    <x v="3"/>
    <x v="26"/>
    <x v="3"/>
    <x v="1"/>
    <x v="4"/>
    <x v="581"/>
  </r>
  <r>
    <x v="482"/>
    <x v="2"/>
    <x v="0"/>
    <x v="12"/>
    <x v="1"/>
    <x v="1"/>
    <x v="0"/>
    <x v="582"/>
  </r>
  <r>
    <x v="528"/>
    <x v="2"/>
    <x v="0"/>
    <x v="5"/>
    <x v="14"/>
    <x v="1"/>
    <x v="0"/>
    <x v="583"/>
  </r>
  <r>
    <x v="529"/>
    <x v="2"/>
    <x v="3"/>
    <x v="5"/>
    <x v="2"/>
    <x v="1"/>
    <x v="3"/>
    <x v="584"/>
  </r>
  <r>
    <x v="530"/>
    <x v="2"/>
    <x v="1"/>
    <x v="34"/>
    <x v="8"/>
    <x v="1"/>
    <x v="1"/>
    <x v="585"/>
  </r>
  <r>
    <x v="531"/>
    <x v="2"/>
    <x v="0"/>
    <x v="3"/>
    <x v="8"/>
    <x v="1"/>
    <x v="7"/>
    <x v="586"/>
  </r>
  <r>
    <x v="23"/>
    <x v="2"/>
    <x v="1"/>
    <x v="32"/>
    <x v="19"/>
    <x v="1"/>
    <x v="2"/>
    <x v="587"/>
  </r>
  <r>
    <x v="532"/>
    <x v="2"/>
    <x v="3"/>
    <x v="9"/>
    <x v="18"/>
    <x v="1"/>
    <x v="7"/>
    <x v="588"/>
  </r>
  <r>
    <x v="533"/>
    <x v="2"/>
    <x v="1"/>
    <x v="6"/>
    <x v="24"/>
    <x v="1"/>
    <x v="7"/>
    <x v="589"/>
  </r>
  <r>
    <x v="534"/>
    <x v="2"/>
    <x v="0"/>
    <x v="36"/>
    <x v="27"/>
    <x v="1"/>
    <x v="3"/>
    <x v="590"/>
  </r>
  <r>
    <x v="535"/>
    <x v="2"/>
    <x v="1"/>
    <x v="17"/>
    <x v="33"/>
    <x v="1"/>
    <x v="1"/>
    <x v="591"/>
  </r>
  <r>
    <x v="536"/>
    <x v="2"/>
    <x v="3"/>
    <x v="3"/>
    <x v="0"/>
    <x v="1"/>
    <x v="8"/>
    <x v="592"/>
  </r>
  <r>
    <x v="537"/>
    <x v="2"/>
    <x v="0"/>
    <x v="23"/>
    <x v="28"/>
    <x v="1"/>
    <x v="3"/>
    <x v="593"/>
  </r>
  <r>
    <x v="538"/>
    <x v="2"/>
    <x v="2"/>
    <x v="35"/>
    <x v="34"/>
    <x v="1"/>
    <x v="5"/>
    <x v="594"/>
  </r>
  <r>
    <x v="539"/>
    <x v="2"/>
    <x v="2"/>
    <x v="31"/>
    <x v="16"/>
    <x v="1"/>
    <x v="1"/>
    <x v="595"/>
  </r>
  <r>
    <x v="540"/>
    <x v="2"/>
    <x v="0"/>
    <x v="5"/>
    <x v="12"/>
    <x v="1"/>
    <x v="3"/>
    <x v="596"/>
  </r>
  <r>
    <x v="541"/>
    <x v="2"/>
    <x v="2"/>
    <x v="9"/>
    <x v="4"/>
    <x v="1"/>
    <x v="3"/>
    <x v="597"/>
  </r>
  <r>
    <x v="542"/>
    <x v="2"/>
    <x v="1"/>
    <x v="16"/>
    <x v="22"/>
    <x v="1"/>
    <x v="7"/>
    <x v="598"/>
  </r>
  <r>
    <x v="130"/>
    <x v="2"/>
    <x v="0"/>
    <x v="1"/>
    <x v="8"/>
    <x v="1"/>
    <x v="6"/>
    <x v="599"/>
  </r>
  <r>
    <x v="543"/>
    <x v="2"/>
    <x v="1"/>
    <x v="27"/>
    <x v="23"/>
    <x v="1"/>
    <x v="8"/>
    <x v="600"/>
  </r>
  <r>
    <x v="544"/>
    <x v="2"/>
    <x v="1"/>
    <x v="18"/>
    <x v="14"/>
    <x v="1"/>
    <x v="0"/>
    <x v="601"/>
  </r>
  <r>
    <x v="545"/>
    <x v="2"/>
    <x v="1"/>
    <x v="17"/>
    <x v="5"/>
    <x v="1"/>
    <x v="7"/>
    <x v="602"/>
  </r>
  <r>
    <x v="546"/>
    <x v="2"/>
    <x v="0"/>
    <x v="19"/>
    <x v="4"/>
    <x v="1"/>
    <x v="3"/>
    <x v="603"/>
  </r>
  <r>
    <x v="547"/>
    <x v="2"/>
    <x v="1"/>
    <x v="15"/>
    <x v="7"/>
    <x v="1"/>
    <x v="1"/>
    <x v="604"/>
  </r>
  <r>
    <x v="23"/>
    <x v="2"/>
    <x v="3"/>
    <x v="5"/>
    <x v="23"/>
    <x v="1"/>
    <x v="7"/>
    <x v="605"/>
  </r>
  <r>
    <x v="548"/>
    <x v="2"/>
    <x v="0"/>
    <x v="26"/>
    <x v="27"/>
    <x v="1"/>
    <x v="4"/>
    <x v="606"/>
  </r>
  <r>
    <x v="549"/>
    <x v="2"/>
    <x v="2"/>
    <x v="21"/>
    <x v="18"/>
    <x v="1"/>
    <x v="3"/>
    <x v="607"/>
  </r>
  <r>
    <x v="452"/>
    <x v="2"/>
    <x v="1"/>
    <x v="5"/>
    <x v="9"/>
    <x v="1"/>
    <x v="8"/>
    <x v="608"/>
  </r>
  <r>
    <x v="550"/>
    <x v="2"/>
    <x v="0"/>
    <x v="39"/>
    <x v="1"/>
    <x v="1"/>
    <x v="8"/>
    <x v="609"/>
  </r>
  <r>
    <x v="551"/>
    <x v="2"/>
    <x v="0"/>
    <x v="26"/>
    <x v="32"/>
    <x v="1"/>
    <x v="3"/>
    <x v="610"/>
  </r>
  <r>
    <x v="552"/>
    <x v="2"/>
    <x v="3"/>
    <x v="12"/>
    <x v="12"/>
    <x v="1"/>
    <x v="6"/>
    <x v="611"/>
  </r>
  <r>
    <x v="553"/>
    <x v="2"/>
    <x v="3"/>
    <x v="12"/>
    <x v="17"/>
    <x v="1"/>
    <x v="4"/>
    <x v="612"/>
  </r>
  <r>
    <x v="554"/>
    <x v="2"/>
    <x v="1"/>
    <x v="39"/>
    <x v="14"/>
    <x v="1"/>
    <x v="7"/>
    <x v="613"/>
  </r>
  <r>
    <x v="555"/>
    <x v="2"/>
    <x v="2"/>
    <x v="6"/>
    <x v="1"/>
    <x v="1"/>
    <x v="3"/>
    <x v="614"/>
  </r>
  <r>
    <x v="556"/>
    <x v="2"/>
    <x v="0"/>
    <x v="22"/>
    <x v="14"/>
    <x v="1"/>
    <x v="3"/>
    <x v="615"/>
  </r>
  <r>
    <x v="557"/>
    <x v="2"/>
    <x v="1"/>
    <x v="17"/>
    <x v="8"/>
    <x v="1"/>
    <x v="5"/>
    <x v="616"/>
  </r>
  <r>
    <x v="558"/>
    <x v="2"/>
    <x v="1"/>
    <x v="7"/>
    <x v="23"/>
    <x v="1"/>
    <x v="1"/>
    <x v="617"/>
  </r>
  <r>
    <x v="559"/>
    <x v="2"/>
    <x v="1"/>
    <x v="7"/>
    <x v="1"/>
    <x v="1"/>
    <x v="8"/>
    <x v="618"/>
  </r>
  <r>
    <x v="560"/>
    <x v="2"/>
    <x v="3"/>
    <x v="19"/>
    <x v="0"/>
    <x v="1"/>
    <x v="8"/>
    <x v="619"/>
  </r>
  <r>
    <x v="561"/>
    <x v="2"/>
    <x v="2"/>
    <x v="37"/>
    <x v="34"/>
    <x v="1"/>
    <x v="0"/>
    <x v="620"/>
  </r>
  <r>
    <x v="562"/>
    <x v="2"/>
    <x v="1"/>
    <x v="22"/>
    <x v="10"/>
    <x v="1"/>
    <x v="3"/>
    <x v="621"/>
  </r>
  <r>
    <x v="563"/>
    <x v="2"/>
    <x v="3"/>
    <x v="23"/>
    <x v="11"/>
    <x v="1"/>
    <x v="8"/>
    <x v="622"/>
  </r>
  <r>
    <x v="564"/>
    <x v="2"/>
    <x v="2"/>
    <x v="22"/>
    <x v="3"/>
    <x v="1"/>
    <x v="0"/>
    <x v="623"/>
  </r>
  <r>
    <x v="565"/>
    <x v="2"/>
    <x v="2"/>
    <x v="4"/>
    <x v="8"/>
    <x v="1"/>
    <x v="2"/>
    <x v="624"/>
  </r>
  <r>
    <x v="566"/>
    <x v="2"/>
    <x v="1"/>
    <x v="9"/>
    <x v="9"/>
    <x v="1"/>
    <x v="7"/>
    <x v="625"/>
  </r>
  <r>
    <x v="567"/>
    <x v="4"/>
    <x v="3"/>
    <x v="16"/>
    <x v="24"/>
    <x v="1"/>
    <x v="5"/>
    <x v="626"/>
  </r>
  <r>
    <x v="568"/>
    <x v="4"/>
    <x v="3"/>
    <x v="36"/>
    <x v="10"/>
    <x v="1"/>
    <x v="1"/>
    <x v="627"/>
  </r>
  <r>
    <x v="569"/>
    <x v="4"/>
    <x v="3"/>
    <x v="31"/>
    <x v="8"/>
    <x v="1"/>
    <x v="7"/>
    <x v="628"/>
  </r>
  <r>
    <x v="570"/>
    <x v="4"/>
    <x v="2"/>
    <x v="1"/>
    <x v="12"/>
    <x v="1"/>
    <x v="0"/>
    <x v="629"/>
  </r>
  <r>
    <x v="571"/>
    <x v="4"/>
    <x v="3"/>
    <x v="3"/>
    <x v="27"/>
    <x v="1"/>
    <x v="3"/>
    <x v="630"/>
  </r>
  <r>
    <x v="572"/>
    <x v="4"/>
    <x v="3"/>
    <x v="9"/>
    <x v="31"/>
    <x v="1"/>
    <x v="1"/>
    <x v="631"/>
  </r>
  <r>
    <x v="573"/>
    <x v="4"/>
    <x v="1"/>
    <x v="18"/>
    <x v="0"/>
    <x v="1"/>
    <x v="2"/>
    <x v="632"/>
  </r>
  <r>
    <x v="574"/>
    <x v="4"/>
    <x v="2"/>
    <x v="3"/>
    <x v="26"/>
    <x v="1"/>
    <x v="5"/>
    <x v="633"/>
  </r>
  <r>
    <x v="575"/>
    <x v="4"/>
    <x v="1"/>
    <x v="6"/>
    <x v="28"/>
    <x v="1"/>
    <x v="6"/>
    <x v="634"/>
  </r>
  <r>
    <x v="576"/>
    <x v="4"/>
    <x v="1"/>
    <x v="26"/>
    <x v="5"/>
    <x v="1"/>
    <x v="2"/>
    <x v="635"/>
  </r>
  <r>
    <x v="577"/>
    <x v="4"/>
    <x v="2"/>
    <x v="20"/>
    <x v="9"/>
    <x v="1"/>
    <x v="0"/>
    <x v="636"/>
  </r>
  <r>
    <x v="437"/>
    <x v="4"/>
    <x v="0"/>
    <x v="31"/>
    <x v="12"/>
    <x v="1"/>
    <x v="1"/>
    <x v="637"/>
  </r>
  <r>
    <x v="578"/>
    <x v="4"/>
    <x v="3"/>
    <x v="34"/>
    <x v="2"/>
    <x v="1"/>
    <x v="7"/>
    <x v="638"/>
  </r>
  <r>
    <x v="579"/>
    <x v="4"/>
    <x v="2"/>
    <x v="12"/>
    <x v="1"/>
    <x v="1"/>
    <x v="0"/>
    <x v="639"/>
  </r>
  <r>
    <x v="580"/>
    <x v="4"/>
    <x v="3"/>
    <x v="11"/>
    <x v="0"/>
    <x v="1"/>
    <x v="7"/>
    <x v="640"/>
  </r>
  <r>
    <x v="581"/>
    <x v="4"/>
    <x v="3"/>
    <x v="0"/>
    <x v="11"/>
    <x v="1"/>
    <x v="5"/>
    <x v="641"/>
  </r>
  <r>
    <x v="582"/>
    <x v="4"/>
    <x v="1"/>
    <x v="13"/>
    <x v="6"/>
    <x v="1"/>
    <x v="1"/>
    <x v="642"/>
  </r>
  <r>
    <x v="583"/>
    <x v="4"/>
    <x v="2"/>
    <x v="12"/>
    <x v="22"/>
    <x v="1"/>
    <x v="2"/>
    <x v="643"/>
  </r>
  <r>
    <x v="486"/>
    <x v="4"/>
    <x v="0"/>
    <x v="9"/>
    <x v="10"/>
    <x v="1"/>
    <x v="3"/>
    <x v="644"/>
  </r>
  <r>
    <x v="584"/>
    <x v="4"/>
    <x v="3"/>
    <x v="8"/>
    <x v="16"/>
    <x v="1"/>
    <x v="4"/>
    <x v="645"/>
  </r>
  <r>
    <x v="585"/>
    <x v="4"/>
    <x v="0"/>
    <x v="9"/>
    <x v="9"/>
    <x v="1"/>
    <x v="1"/>
    <x v="646"/>
  </r>
  <r>
    <x v="586"/>
    <x v="4"/>
    <x v="2"/>
    <x v="19"/>
    <x v="14"/>
    <x v="1"/>
    <x v="7"/>
    <x v="647"/>
  </r>
  <r>
    <x v="587"/>
    <x v="4"/>
    <x v="1"/>
    <x v="20"/>
    <x v="33"/>
    <x v="1"/>
    <x v="0"/>
    <x v="648"/>
  </r>
  <r>
    <x v="588"/>
    <x v="4"/>
    <x v="1"/>
    <x v="23"/>
    <x v="12"/>
    <x v="1"/>
    <x v="5"/>
    <x v="649"/>
  </r>
  <r>
    <x v="589"/>
    <x v="4"/>
    <x v="0"/>
    <x v="9"/>
    <x v="7"/>
    <x v="1"/>
    <x v="8"/>
    <x v="650"/>
  </r>
  <r>
    <x v="590"/>
    <x v="4"/>
    <x v="2"/>
    <x v="4"/>
    <x v="27"/>
    <x v="1"/>
    <x v="3"/>
    <x v="651"/>
  </r>
  <r>
    <x v="156"/>
    <x v="4"/>
    <x v="1"/>
    <x v="35"/>
    <x v="27"/>
    <x v="1"/>
    <x v="9"/>
    <x v="652"/>
  </r>
  <r>
    <x v="591"/>
    <x v="4"/>
    <x v="1"/>
    <x v="4"/>
    <x v="11"/>
    <x v="1"/>
    <x v="1"/>
    <x v="653"/>
  </r>
  <r>
    <x v="592"/>
    <x v="4"/>
    <x v="3"/>
    <x v="26"/>
    <x v="3"/>
    <x v="1"/>
    <x v="7"/>
    <x v="654"/>
  </r>
  <r>
    <x v="593"/>
    <x v="4"/>
    <x v="1"/>
    <x v="17"/>
    <x v="18"/>
    <x v="1"/>
    <x v="4"/>
    <x v="655"/>
  </r>
  <r>
    <x v="594"/>
    <x v="4"/>
    <x v="2"/>
    <x v="15"/>
    <x v="14"/>
    <x v="1"/>
    <x v="3"/>
    <x v="656"/>
  </r>
  <r>
    <x v="595"/>
    <x v="4"/>
    <x v="0"/>
    <x v="15"/>
    <x v="20"/>
    <x v="1"/>
    <x v="4"/>
    <x v="657"/>
  </r>
  <r>
    <x v="596"/>
    <x v="4"/>
    <x v="1"/>
    <x v="19"/>
    <x v="1"/>
    <x v="1"/>
    <x v="0"/>
    <x v="658"/>
  </r>
  <r>
    <x v="597"/>
    <x v="4"/>
    <x v="0"/>
    <x v="6"/>
    <x v="18"/>
    <x v="1"/>
    <x v="4"/>
    <x v="659"/>
  </r>
  <r>
    <x v="60"/>
    <x v="4"/>
    <x v="0"/>
    <x v="37"/>
    <x v="34"/>
    <x v="1"/>
    <x v="6"/>
    <x v="660"/>
  </r>
  <r>
    <x v="598"/>
    <x v="4"/>
    <x v="0"/>
    <x v="15"/>
    <x v="4"/>
    <x v="1"/>
    <x v="6"/>
    <x v="661"/>
  </r>
  <r>
    <x v="599"/>
    <x v="4"/>
    <x v="0"/>
    <x v="16"/>
    <x v="5"/>
    <x v="1"/>
    <x v="0"/>
    <x v="662"/>
  </r>
  <r>
    <x v="600"/>
    <x v="4"/>
    <x v="3"/>
    <x v="27"/>
    <x v="1"/>
    <x v="1"/>
    <x v="8"/>
    <x v="663"/>
  </r>
  <r>
    <x v="601"/>
    <x v="4"/>
    <x v="1"/>
    <x v="16"/>
    <x v="13"/>
    <x v="1"/>
    <x v="7"/>
    <x v="664"/>
  </r>
  <r>
    <x v="602"/>
    <x v="4"/>
    <x v="1"/>
    <x v="25"/>
    <x v="2"/>
    <x v="1"/>
    <x v="9"/>
    <x v="665"/>
  </r>
  <r>
    <x v="23"/>
    <x v="4"/>
    <x v="2"/>
    <x v="23"/>
    <x v="5"/>
    <x v="1"/>
    <x v="5"/>
    <x v="666"/>
  </r>
  <r>
    <x v="603"/>
    <x v="4"/>
    <x v="2"/>
    <x v="38"/>
    <x v="29"/>
    <x v="1"/>
    <x v="1"/>
    <x v="667"/>
  </r>
  <r>
    <x v="604"/>
    <x v="4"/>
    <x v="1"/>
    <x v="33"/>
    <x v="31"/>
    <x v="1"/>
    <x v="3"/>
    <x v="668"/>
  </r>
  <r>
    <x v="605"/>
    <x v="4"/>
    <x v="1"/>
    <x v="25"/>
    <x v="22"/>
    <x v="1"/>
    <x v="6"/>
    <x v="669"/>
  </r>
  <r>
    <x v="23"/>
    <x v="4"/>
    <x v="2"/>
    <x v="22"/>
    <x v="29"/>
    <x v="1"/>
    <x v="0"/>
    <x v="670"/>
  </r>
  <r>
    <x v="23"/>
    <x v="4"/>
    <x v="2"/>
    <x v="14"/>
    <x v="14"/>
    <x v="1"/>
    <x v="1"/>
    <x v="671"/>
  </r>
  <r>
    <x v="606"/>
    <x v="4"/>
    <x v="3"/>
    <x v="20"/>
    <x v="15"/>
    <x v="1"/>
    <x v="6"/>
    <x v="672"/>
  </r>
  <r>
    <x v="607"/>
    <x v="4"/>
    <x v="3"/>
    <x v="21"/>
    <x v="24"/>
    <x v="1"/>
    <x v="0"/>
    <x v="673"/>
  </r>
  <r>
    <x v="608"/>
    <x v="4"/>
    <x v="2"/>
    <x v="37"/>
    <x v="28"/>
    <x v="1"/>
    <x v="4"/>
    <x v="674"/>
  </r>
  <r>
    <x v="609"/>
    <x v="4"/>
    <x v="1"/>
    <x v="16"/>
    <x v="26"/>
    <x v="1"/>
    <x v="0"/>
    <x v="675"/>
  </r>
  <r>
    <x v="610"/>
    <x v="4"/>
    <x v="3"/>
    <x v="26"/>
    <x v="21"/>
    <x v="1"/>
    <x v="6"/>
    <x v="676"/>
  </r>
  <r>
    <x v="611"/>
    <x v="4"/>
    <x v="1"/>
    <x v="24"/>
    <x v="7"/>
    <x v="1"/>
    <x v="3"/>
    <x v="677"/>
  </r>
  <r>
    <x v="318"/>
    <x v="4"/>
    <x v="3"/>
    <x v="22"/>
    <x v="30"/>
    <x v="1"/>
    <x v="4"/>
    <x v="678"/>
  </r>
  <r>
    <x v="612"/>
    <x v="4"/>
    <x v="1"/>
    <x v="28"/>
    <x v="0"/>
    <x v="1"/>
    <x v="5"/>
    <x v="679"/>
  </r>
  <r>
    <x v="613"/>
    <x v="4"/>
    <x v="0"/>
    <x v="29"/>
    <x v="13"/>
    <x v="1"/>
    <x v="3"/>
    <x v="680"/>
  </r>
  <r>
    <x v="614"/>
    <x v="4"/>
    <x v="0"/>
    <x v="32"/>
    <x v="15"/>
    <x v="1"/>
    <x v="0"/>
    <x v="681"/>
  </r>
  <r>
    <x v="615"/>
    <x v="4"/>
    <x v="3"/>
    <x v="5"/>
    <x v="21"/>
    <x v="1"/>
    <x v="0"/>
    <x v="682"/>
  </r>
  <r>
    <x v="564"/>
    <x v="4"/>
    <x v="3"/>
    <x v="35"/>
    <x v="30"/>
    <x v="1"/>
    <x v="2"/>
    <x v="683"/>
  </r>
  <r>
    <x v="143"/>
    <x v="4"/>
    <x v="1"/>
    <x v="20"/>
    <x v="22"/>
    <x v="1"/>
    <x v="0"/>
    <x v="684"/>
  </r>
  <r>
    <x v="616"/>
    <x v="4"/>
    <x v="2"/>
    <x v="23"/>
    <x v="8"/>
    <x v="1"/>
    <x v="9"/>
    <x v="685"/>
  </r>
  <r>
    <x v="617"/>
    <x v="4"/>
    <x v="1"/>
    <x v="4"/>
    <x v="2"/>
    <x v="1"/>
    <x v="3"/>
    <x v="686"/>
  </r>
  <r>
    <x v="291"/>
    <x v="4"/>
    <x v="0"/>
    <x v="10"/>
    <x v="23"/>
    <x v="1"/>
    <x v="1"/>
    <x v="687"/>
  </r>
  <r>
    <x v="602"/>
    <x v="4"/>
    <x v="1"/>
    <x v="25"/>
    <x v="24"/>
    <x v="1"/>
    <x v="1"/>
    <x v="688"/>
  </r>
  <r>
    <x v="618"/>
    <x v="4"/>
    <x v="0"/>
    <x v="14"/>
    <x v="11"/>
    <x v="1"/>
    <x v="6"/>
    <x v="689"/>
  </r>
  <r>
    <x v="619"/>
    <x v="4"/>
    <x v="3"/>
    <x v="33"/>
    <x v="32"/>
    <x v="1"/>
    <x v="1"/>
    <x v="690"/>
  </r>
  <r>
    <x v="620"/>
    <x v="4"/>
    <x v="2"/>
    <x v="9"/>
    <x v="0"/>
    <x v="1"/>
    <x v="3"/>
    <x v="691"/>
  </r>
  <r>
    <x v="365"/>
    <x v="4"/>
    <x v="3"/>
    <x v="22"/>
    <x v="30"/>
    <x v="1"/>
    <x v="3"/>
    <x v="692"/>
  </r>
  <r>
    <x v="621"/>
    <x v="4"/>
    <x v="1"/>
    <x v="20"/>
    <x v="7"/>
    <x v="1"/>
    <x v="5"/>
    <x v="693"/>
  </r>
  <r>
    <x v="622"/>
    <x v="4"/>
    <x v="0"/>
    <x v="16"/>
    <x v="4"/>
    <x v="1"/>
    <x v="4"/>
    <x v="694"/>
  </r>
  <r>
    <x v="623"/>
    <x v="4"/>
    <x v="2"/>
    <x v="25"/>
    <x v="23"/>
    <x v="1"/>
    <x v="8"/>
    <x v="695"/>
  </r>
  <r>
    <x v="624"/>
    <x v="4"/>
    <x v="3"/>
    <x v="9"/>
    <x v="16"/>
    <x v="1"/>
    <x v="4"/>
    <x v="696"/>
  </r>
  <r>
    <x v="625"/>
    <x v="4"/>
    <x v="1"/>
    <x v="7"/>
    <x v="1"/>
    <x v="1"/>
    <x v="7"/>
    <x v="697"/>
  </r>
  <r>
    <x v="626"/>
    <x v="4"/>
    <x v="2"/>
    <x v="16"/>
    <x v="23"/>
    <x v="1"/>
    <x v="1"/>
    <x v="698"/>
  </r>
  <r>
    <x v="594"/>
    <x v="4"/>
    <x v="2"/>
    <x v="15"/>
    <x v="14"/>
    <x v="1"/>
    <x v="3"/>
    <x v="656"/>
  </r>
  <r>
    <x v="584"/>
    <x v="4"/>
    <x v="3"/>
    <x v="8"/>
    <x v="16"/>
    <x v="1"/>
    <x v="4"/>
    <x v="645"/>
  </r>
  <r>
    <x v="627"/>
    <x v="0"/>
    <x v="0"/>
    <x v="34"/>
    <x v="4"/>
    <x v="2"/>
    <x v="5"/>
    <x v="699"/>
  </r>
  <r>
    <x v="628"/>
    <x v="0"/>
    <x v="3"/>
    <x v="17"/>
    <x v="16"/>
    <x v="2"/>
    <x v="3"/>
    <x v="700"/>
  </r>
  <r>
    <x v="629"/>
    <x v="0"/>
    <x v="2"/>
    <x v="5"/>
    <x v="3"/>
    <x v="2"/>
    <x v="3"/>
    <x v="701"/>
  </r>
  <r>
    <x v="630"/>
    <x v="0"/>
    <x v="1"/>
    <x v="6"/>
    <x v="5"/>
    <x v="2"/>
    <x v="8"/>
    <x v="702"/>
  </r>
  <r>
    <x v="631"/>
    <x v="0"/>
    <x v="1"/>
    <x v="13"/>
    <x v="6"/>
    <x v="2"/>
    <x v="3"/>
    <x v="703"/>
  </r>
  <r>
    <x v="632"/>
    <x v="0"/>
    <x v="3"/>
    <x v="19"/>
    <x v="5"/>
    <x v="2"/>
    <x v="8"/>
    <x v="704"/>
  </r>
  <r>
    <x v="633"/>
    <x v="0"/>
    <x v="3"/>
    <x v="4"/>
    <x v="4"/>
    <x v="2"/>
    <x v="9"/>
    <x v="705"/>
  </r>
  <r>
    <x v="634"/>
    <x v="0"/>
    <x v="2"/>
    <x v="0"/>
    <x v="3"/>
    <x v="2"/>
    <x v="3"/>
    <x v="706"/>
  </r>
  <r>
    <x v="635"/>
    <x v="0"/>
    <x v="3"/>
    <x v="32"/>
    <x v="3"/>
    <x v="2"/>
    <x v="3"/>
    <x v="707"/>
  </r>
  <r>
    <x v="636"/>
    <x v="0"/>
    <x v="1"/>
    <x v="10"/>
    <x v="11"/>
    <x v="2"/>
    <x v="7"/>
    <x v="708"/>
  </r>
  <r>
    <x v="637"/>
    <x v="0"/>
    <x v="3"/>
    <x v="32"/>
    <x v="8"/>
    <x v="2"/>
    <x v="1"/>
    <x v="709"/>
  </r>
  <r>
    <x v="638"/>
    <x v="0"/>
    <x v="2"/>
    <x v="26"/>
    <x v="1"/>
    <x v="2"/>
    <x v="1"/>
    <x v="710"/>
  </r>
  <r>
    <x v="92"/>
    <x v="0"/>
    <x v="3"/>
    <x v="23"/>
    <x v="8"/>
    <x v="2"/>
    <x v="6"/>
    <x v="711"/>
  </r>
  <r>
    <x v="639"/>
    <x v="0"/>
    <x v="2"/>
    <x v="26"/>
    <x v="30"/>
    <x v="2"/>
    <x v="7"/>
    <x v="712"/>
  </r>
  <r>
    <x v="640"/>
    <x v="0"/>
    <x v="3"/>
    <x v="24"/>
    <x v="1"/>
    <x v="2"/>
    <x v="0"/>
    <x v="713"/>
  </r>
  <r>
    <x v="641"/>
    <x v="0"/>
    <x v="0"/>
    <x v="39"/>
    <x v="21"/>
    <x v="2"/>
    <x v="5"/>
    <x v="714"/>
  </r>
  <r>
    <x v="642"/>
    <x v="0"/>
    <x v="2"/>
    <x v="26"/>
    <x v="11"/>
    <x v="2"/>
    <x v="0"/>
    <x v="715"/>
  </r>
  <r>
    <x v="551"/>
    <x v="0"/>
    <x v="3"/>
    <x v="37"/>
    <x v="15"/>
    <x v="2"/>
    <x v="4"/>
    <x v="716"/>
  </r>
  <r>
    <x v="344"/>
    <x v="0"/>
    <x v="2"/>
    <x v="7"/>
    <x v="28"/>
    <x v="2"/>
    <x v="9"/>
    <x v="717"/>
  </r>
  <r>
    <x v="82"/>
    <x v="0"/>
    <x v="2"/>
    <x v="5"/>
    <x v="24"/>
    <x v="2"/>
    <x v="7"/>
    <x v="718"/>
  </r>
  <r>
    <x v="643"/>
    <x v="0"/>
    <x v="2"/>
    <x v="28"/>
    <x v="4"/>
    <x v="2"/>
    <x v="4"/>
    <x v="719"/>
  </r>
  <r>
    <x v="627"/>
    <x v="0"/>
    <x v="2"/>
    <x v="26"/>
    <x v="11"/>
    <x v="2"/>
    <x v="3"/>
    <x v="720"/>
  </r>
  <r>
    <x v="644"/>
    <x v="0"/>
    <x v="2"/>
    <x v="25"/>
    <x v="8"/>
    <x v="2"/>
    <x v="8"/>
    <x v="721"/>
  </r>
  <r>
    <x v="645"/>
    <x v="0"/>
    <x v="1"/>
    <x v="9"/>
    <x v="31"/>
    <x v="2"/>
    <x v="3"/>
    <x v="722"/>
  </r>
  <r>
    <x v="646"/>
    <x v="0"/>
    <x v="2"/>
    <x v="29"/>
    <x v="9"/>
    <x v="2"/>
    <x v="7"/>
    <x v="723"/>
  </r>
  <r>
    <x v="647"/>
    <x v="0"/>
    <x v="2"/>
    <x v="13"/>
    <x v="4"/>
    <x v="2"/>
    <x v="5"/>
    <x v="724"/>
  </r>
  <r>
    <x v="648"/>
    <x v="0"/>
    <x v="2"/>
    <x v="23"/>
    <x v="11"/>
    <x v="2"/>
    <x v="2"/>
    <x v="725"/>
  </r>
  <r>
    <x v="649"/>
    <x v="0"/>
    <x v="0"/>
    <x v="21"/>
    <x v="25"/>
    <x v="2"/>
    <x v="0"/>
    <x v="726"/>
  </r>
  <r>
    <x v="650"/>
    <x v="0"/>
    <x v="2"/>
    <x v="17"/>
    <x v="21"/>
    <x v="2"/>
    <x v="4"/>
    <x v="727"/>
  </r>
  <r>
    <x v="651"/>
    <x v="0"/>
    <x v="3"/>
    <x v="15"/>
    <x v="23"/>
    <x v="2"/>
    <x v="7"/>
    <x v="728"/>
  </r>
  <r>
    <x v="23"/>
    <x v="0"/>
    <x v="1"/>
    <x v="23"/>
    <x v="33"/>
    <x v="2"/>
    <x v="4"/>
    <x v="729"/>
  </r>
  <r>
    <x v="652"/>
    <x v="0"/>
    <x v="0"/>
    <x v="32"/>
    <x v="11"/>
    <x v="2"/>
    <x v="3"/>
    <x v="730"/>
  </r>
  <r>
    <x v="647"/>
    <x v="0"/>
    <x v="2"/>
    <x v="35"/>
    <x v="0"/>
    <x v="2"/>
    <x v="9"/>
    <x v="731"/>
  </r>
  <r>
    <x v="653"/>
    <x v="0"/>
    <x v="1"/>
    <x v="4"/>
    <x v="27"/>
    <x v="2"/>
    <x v="0"/>
    <x v="732"/>
  </r>
  <r>
    <x v="654"/>
    <x v="0"/>
    <x v="2"/>
    <x v="10"/>
    <x v="30"/>
    <x v="2"/>
    <x v="1"/>
    <x v="733"/>
  </r>
  <r>
    <x v="191"/>
    <x v="0"/>
    <x v="0"/>
    <x v="0"/>
    <x v="6"/>
    <x v="2"/>
    <x v="0"/>
    <x v="734"/>
  </r>
  <r>
    <x v="655"/>
    <x v="0"/>
    <x v="3"/>
    <x v="16"/>
    <x v="26"/>
    <x v="2"/>
    <x v="1"/>
    <x v="735"/>
  </r>
  <r>
    <x v="656"/>
    <x v="0"/>
    <x v="3"/>
    <x v="36"/>
    <x v="14"/>
    <x v="2"/>
    <x v="1"/>
    <x v="736"/>
  </r>
  <r>
    <x v="204"/>
    <x v="0"/>
    <x v="1"/>
    <x v="32"/>
    <x v="22"/>
    <x v="2"/>
    <x v="3"/>
    <x v="737"/>
  </r>
  <r>
    <x v="657"/>
    <x v="0"/>
    <x v="0"/>
    <x v="26"/>
    <x v="12"/>
    <x v="2"/>
    <x v="8"/>
    <x v="738"/>
  </r>
  <r>
    <x v="658"/>
    <x v="0"/>
    <x v="1"/>
    <x v="29"/>
    <x v="27"/>
    <x v="2"/>
    <x v="7"/>
    <x v="739"/>
  </r>
  <r>
    <x v="659"/>
    <x v="0"/>
    <x v="1"/>
    <x v="31"/>
    <x v="33"/>
    <x v="2"/>
    <x v="7"/>
    <x v="740"/>
  </r>
  <r>
    <x v="252"/>
    <x v="0"/>
    <x v="1"/>
    <x v="24"/>
    <x v="32"/>
    <x v="2"/>
    <x v="3"/>
    <x v="741"/>
  </r>
  <r>
    <x v="660"/>
    <x v="0"/>
    <x v="1"/>
    <x v="35"/>
    <x v="30"/>
    <x v="2"/>
    <x v="5"/>
    <x v="742"/>
  </r>
  <r>
    <x v="661"/>
    <x v="0"/>
    <x v="3"/>
    <x v="16"/>
    <x v="22"/>
    <x v="2"/>
    <x v="7"/>
    <x v="743"/>
  </r>
  <r>
    <x v="359"/>
    <x v="0"/>
    <x v="1"/>
    <x v="30"/>
    <x v="6"/>
    <x v="2"/>
    <x v="0"/>
    <x v="744"/>
  </r>
  <r>
    <x v="447"/>
    <x v="0"/>
    <x v="0"/>
    <x v="33"/>
    <x v="1"/>
    <x v="2"/>
    <x v="1"/>
    <x v="745"/>
  </r>
  <r>
    <x v="662"/>
    <x v="0"/>
    <x v="3"/>
    <x v="15"/>
    <x v="25"/>
    <x v="2"/>
    <x v="2"/>
    <x v="746"/>
  </r>
  <r>
    <x v="63"/>
    <x v="0"/>
    <x v="3"/>
    <x v="36"/>
    <x v="27"/>
    <x v="2"/>
    <x v="6"/>
    <x v="747"/>
  </r>
  <r>
    <x v="663"/>
    <x v="0"/>
    <x v="1"/>
    <x v="7"/>
    <x v="3"/>
    <x v="2"/>
    <x v="4"/>
    <x v="748"/>
  </r>
  <r>
    <x v="664"/>
    <x v="0"/>
    <x v="1"/>
    <x v="33"/>
    <x v="14"/>
    <x v="2"/>
    <x v="0"/>
    <x v="749"/>
  </r>
  <r>
    <x v="665"/>
    <x v="0"/>
    <x v="3"/>
    <x v="20"/>
    <x v="29"/>
    <x v="2"/>
    <x v="0"/>
    <x v="750"/>
  </r>
  <r>
    <x v="666"/>
    <x v="0"/>
    <x v="0"/>
    <x v="6"/>
    <x v="34"/>
    <x v="2"/>
    <x v="1"/>
    <x v="751"/>
  </r>
  <r>
    <x v="667"/>
    <x v="0"/>
    <x v="2"/>
    <x v="18"/>
    <x v="8"/>
    <x v="2"/>
    <x v="3"/>
    <x v="752"/>
  </r>
  <r>
    <x v="668"/>
    <x v="0"/>
    <x v="3"/>
    <x v="3"/>
    <x v="24"/>
    <x v="2"/>
    <x v="0"/>
    <x v="753"/>
  </r>
  <r>
    <x v="669"/>
    <x v="0"/>
    <x v="3"/>
    <x v="20"/>
    <x v="21"/>
    <x v="2"/>
    <x v="7"/>
    <x v="754"/>
  </r>
  <r>
    <x v="670"/>
    <x v="0"/>
    <x v="1"/>
    <x v="37"/>
    <x v="19"/>
    <x v="2"/>
    <x v="3"/>
    <x v="755"/>
  </r>
  <r>
    <x v="671"/>
    <x v="0"/>
    <x v="3"/>
    <x v="16"/>
    <x v="23"/>
    <x v="2"/>
    <x v="7"/>
    <x v="756"/>
  </r>
  <r>
    <x v="255"/>
    <x v="0"/>
    <x v="2"/>
    <x v="31"/>
    <x v="2"/>
    <x v="2"/>
    <x v="2"/>
    <x v="757"/>
  </r>
  <r>
    <x v="672"/>
    <x v="0"/>
    <x v="2"/>
    <x v="29"/>
    <x v="21"/>
    <x v="2"/>
    <x v="3"/>
    <x v="758"/>
  </r>
  <r>
    <x v="673"/>
    <x v="0"/>
    <x v="2"/>
    <x v="23"/>
    <x v="29"/>
    <x v="2"/>
    <x v="4"/>
    <x v="759"/>
  </r>
  <r>
    <x v="674"/>
    <x v="0"/>
    <x v="3"/>
    <x v="22"/>
    <x v="4"/>
    <x v="2"/>
    <x v="0"/>
    <x v="760"/>
  </r>
  <r>
    <x v="675"/>
    <x v="0"/>
    <x v="1"/>
    <x v="7"/>
    <x v="32"/>
    <x v="2"/>
    <x v="1"/>
    <x v="761"/>
  </r>
  <r>
    <x v="676"/>
    <x v="0"/>
    <x v="2"/>
    <x v="19"/>
    <x v="5"/>
    <x v="2"/>
    <x v="6"/>
    <x v="762"/>
  </r>
  <r>
    <x v="197"/>
    <x v="0"/>
    <x v="1"/>
    <x v="1"/>
    <x v="6"/>
    <x v="2"/>
    <x v="7"/>
    <x v="763"/>
  </r>
  <r>
    <x v="677"/>
    <x v="0"/>
    <x v="2"/>
    <x v="33"/>
    <x v="2"/>
    <x v="2"/>
    <x v="1"/>
    <x v="764"/>
  </r>
  <r>
    <x v="678"/>
    <x v="0"/>
    <x v="1"/>
    <x v="4"/>
    <x v="21"/>
    <x v="2"/>
    <x v="4"/>
    <x v="765"/>
  </r>
  <r>
    <x v="679"/>
    <x v="0"/>
    <x v="1"/>
    <x v="19"/>
    <x v="0"/>
    <x v="2"/>
    <x v="6"/>
    <x v="766"/>
  </r>
  <r>
    <x v="680"/>
    <x v="0"/>
    <x v="1"/>
    <x v="5"/>
    <x v="34"/>
    <x v="2"/>
    <x v="3"/>
    <x v="767"/>
  </r>
  <r>
    <x v="681"/>
    <x v="0"/>
    <x v="3"/>
    <x v="10"/>
    <x v="13"/>
    <x v="2"/>
    <x v="4"/>
    <x v="768"/>
  </r>
  <r>
    <x v="682"/>
    <x v="0"/>
    <x v="0"/>
    <x v="19"/>
    <x v="27"/>
    <x v="2"/>
    <x v="3"/>
    <x v="769"/>
  </r>
  <r>
    <x v="683"/>
    <x v="0"/>
    <x v="2"/>
    <x v="20"/>
    <x v="4"/>
    <x v="2"/>
    <x v="7"/>
    <x v="770"/>
  </r>
  <r>
    <x v="101"/>
    <x v="0"/>
    <x v="2"/>
    <x v="32"/>
    <x v="4"/>
    <x v="2"/>
    <x v="0"/>
    <x v="771"/>
  </r>
  <r>
    <x v="684"/>
    <x v="0"/>
    <x v="3"/>
    <x v="6"/>
    <x v="7"/>
    <x v="2"/>
    <x v="0"/>
    <x v="772"/>
  </r>
  <r>
    <x v="685"/>
    <x v="0"/>
    <x v="3"/>
    <x v="29"/>
    <x v="29"/>
    <x v="2"/>
    <x v="7"/>
    <x v="773"/>
  </r>
  <r>
    <x v="441"/>
    <x v="0"/>
    <x v="2"/>
    <x v="39"/>
    <x v="6"/>
    <x v="2"/>
    <x v="3"/>
    <x v="774"/>
  </r>
  <r>
    <x v="686"/>
    <x v="0"/>
    <x v="0"/>
    <x v="36"/>
    <x v="24"/>
    <x v="2"/>
    <x v="3"/>
    <x v="775"/>
  </r>
  <r>
    <x v="687"/>
    <x v="0"/>
    <x v="1"/>
    <x v="31"/>
    <x v="17"/>
    <x v="2"/>
    <x v="7"/>
    <x v="776"/>
  </r>
  <r>
    <x v="688"/>
    <x v="0"/>
    <x v="0"/>
    <x v="2"/>
    <x v="10"/>
    <x v="2"/>
    <x v="8"/>
    <x v="777"/>
  </r>
  <r>
    <x v="689"/>
    <x v="0"/>
    <x v="1"/>
    <x v="24"/>
    <x v="5"/>
    <x v="2"/>
    <x v="9"/>
    <x v="778"/>
  </r>
  <r>
    <x v="690"/>
    <x v="0"/>
    <x v="1"/>
    <x v="4"/>
    <x v="26"/>
    <x v="2"/>
    <x v="1"/>
    <x v="779"/>
  </r>
  <r>
    <x v="638"/>
    <x v="0"/>
    <x v="2"/>
    <x v="26"/>
    <x v="1"/>
    <x v="2"/>
    <x v="1"/>
    <x v="710"/>
  </r>
  <r>
    <x v="687"/>
    <x v="0"/>
    <x v="1"/>
    <x v="31"/>
    <x v="17"/>
    <x v="2"/>
    <x v="7"/>
    <x v="776"/>
  </r>
  <r>
    <x v="636"/>
    <x v="0"/>
    <x v="1"/>
    <x v="10"/>
    <x v="11"/>
    <x v="2"/>
    <x v="7"/>
    <x v="708"/>
  </r>
  <r>
    <x v="635"/>
    <x v="0"/>
    <x v="3"/>
    <x v="32"/>
    <x v="3"/>
    <x v="2"/>
    <x v="3"/>
    <x v="707"/>
  </r>
  <r>
    <x v="691"/>
    <x v="4"/>
    <x v="0"/>
    <x v="33"/>
    <x v="14"/>
    <x v="2"/>
    <x v="3"/>
    <x v="780"/>
  </r>
  <r>
    <x v="692"/>
    <x v="4"/>
    <x v="0"/>
    <x v="12"/>
    <x v="20"/>
    <x v="2"/>
    <x v="8"/>
    <x v="781"/>
  </r>
  <r>
    <x v="693"/>
    <x v="4"/>
    <x v="3"/>
    <x v="3"/>
    <x v="22"/>
    <x v="2"/>
    <x v="3"/>
    <x v="782"/>
  </r>
  <r>
    <x v="694"/>
    <x v="4"/>
    <x v="0"/>
    <x v="0"/>
    <x v="33"/>
    <x v="2"/>
    <x v="3"/>
    <x v="783"/>
  </r>
  <r>
    <x v="695"/>
    <x v="4"/>
    <x v="3"/>
    <x v="23"/>
    <x v="33"/>
    <x v="2"/>
    <x v="2"/>
    <x v="784"/>
  </r>
  <r>
    <x v="696"/>
    <x v="4"/>
    <x v="2"/>
    <x v="36"/>
    <x v="8"/>
    <x v="2"/>
    <x v="4"/>
    <x v="785"/>
  </r>
  <r>
    <x v="697"/>
    <x v="4"/>
    <x v="0"/>
    <x v="35"/>
    <x v="21"/>
    <x v="2"/>
    <x v="7"/>
    <x v="786"/>
  </r>
  <r>
    <x v="698"/>
    <x v="4"/>
    <x v="0"/>
    <x v="35"/>
    <x v="1"/>
    <x v="2"/>
    <x v="2"/>
    <x v="787"/>
  </r>
  <r>
    <x v="699"/>
    <x v="4"/>
    <x v="3"/>
    <x v="35"/>
    <x v="27"/>
    <x v="2"/>
    <x v="5"/>
    <x v="788"/>
  </r>
  <r>
    <x v="700"/>
    <x v="4"/>
    <x v="2"/>
    <x v="11"/>
    <x v="26"/>
    <x v="2"/>
    <x v="2"/>
    <x v="789"/>
  </r>
  <r>
    <x v="701"/>
    <x v="4"/>
    <x v="3"/>
    <x v="29"/>
    <x v="16"/>
    <x v="2"/>
    <x v="3"/>
    <x v="790"/>
  </r>
  <r>
    <x v="702"/>
    <x v="4"/>
    <x v="3"/>
    <x v="35"/>
    <x v="28"/>
    <x v="2"/>
    <x v="3"/>
    <x v="791"/>
  </r>
  <r>
    <x v="703"/>
    <x v="4"/>
    <x v="3"/>
    <x v="39"/>
    <x v="13"/>
    <x v="2"/>
    <x v="8"/>
    <x v="792"/>
  </r>
  <r>
    <x v="434"/>
    <x v="4"/>
    <x v="1"/>
    <x v="20"/>
    <x v="11"/>
    <x v="2"/>
    <x v="8"/>
    <x v="793"/>
  </r>
  <r>
    <x v="704"/>
    <x v="4"/>
    <x v="2"/>
    <x v="21"/>
    <x v="20"/>
    <x v="2"/>
    <x v="4"/>
    <x v="794"/>
  </r>
  <r>
    <x v="705"/>
    <x v="4"/>
    <x v="2"/>
    <x v="5"/>
    <x v="23"/>
    <x v="2"/>
    <x v="1"/>
    <x v="795"/>
  </r>
  <r>
    <x v="706"/>
    <x v="4"/>
    <x v="3"/>
    <x v="13"/>
    <x v="15"/>
    <x v="2"/>
    <x v="4"/>
    <x v="796"/>
  </r>
  <r>
    <x v="707"/>
    <x v="4"/>
    <x v="3"/>
    <x v="4"/>
    <x v="27"/>
    <x v="2"/>
    <x v="1"/>
    <x v="797"/>
  </r>
  <r>
    <x v="23"/>
    <x v="4"/>
    <x v="0"/>
    <x v="39"/>
    <x v="3"/>
    <x v="2"/>
    <x v="2"/>
    <x v="798"/>
  </r>
  <r>
    <x v="708"/>
    <x v="4"/>
    <x v="3"/>
    <x v="30"/>
    <x v="8"/>
    <x v="2"/>
    <x v="1"/>
    <x v="799"/>
  </r>
  <r>
    <x v="709"/>
    <x v="4"/>
    <x v="1"/>
    <x v="30"/>
    <x v="7"/>
    <x v="2"/>
    <x v="0"/>
    <x v="800"/>
  </r>
  <r>
    <x v="710"/>
    <x v="4"/>
    <x v="1"/>
    <x v="8"/>
    <x v="32"/>
    <x v="2"/>
    <x v="4"/>
    <x v="801"/>
  </r>
  <r>
    <x v="711"/>
    <x v="4"/>
    <x v="1"/>
    <x v="24"/>
    <x v="11"/>
    <x v="2"/>
    <x v="0"/>
    <x v="802"/>
  </r>
  <r>
    <x v="621"/>
    <x v="4"/>
    <x v="1"/>
    <x v="39"/>
    <x v="8"/>
    <x v="2"/>
    <x v="0"/>
    <x v="803"/>
  </r>
  <r>
    <x v="712"/>
    <x v="4"/>
    <x v="1"/>
    <x v="20"/>
    <x v="26"/>
    <x v="2"/>
    <x v="3"/>
    <x v="804"/>
  </r>
  <r>
    <x v="713"/>
    <x v="4"/>
    <x v="0"/>
    <x v="18"/>
    <x v="3"/>
    <x v="2"/>
    <x v="2"/>
    <x v="805"/>
  </r>
  <r>
    <x v="714"/>
    <x v="4"/>
    <x v="1"/>
    <x v="34"/>
    <x v="29"/>
    <x v="2"/>
    <x v="8"/>
    <x v="806"/>
  </r>
  <r>
    <x v="715"/>
    <x v="4"/>
    <x v="2"/>
    <x v="6"/>
    <x v="29"/>
    <x v="2"/>
    <x v="5"/>
    <x v="807"/>
  </r>
  <r>
    <x v="477"/>
    <x v="4"/>
    <x v="1"/>
    <x v="21"/>
    <x v="28"/>
    <x v="2"/>
    <x v="0"/>
    <x v="808"/>
  </r>
  <r>
    <x v="716"/>
    <x v="4"/>
    <x v="2"/>
    <x v="22"/>
    <x v="17"/>
    <x v="2"/>
    <x v="2"/>
    <x v="809"/>
  </r>
  <r>
    <x v="717"/>
    <x v="4"/>
    <x v="1"/>
    <x v="11"/>
    <x v="22"/>
    <x v="2"/>
    <x v="4"/>
    <x v="810"/>
  </r>
  <r>
    <x v="718"/>
    <x v="4"/>
    <x v="0"/>
    <x v="9"/>
    <x v="0"/>
    <x v="2"/>
    <x v="0"/>
    <x v="811"/>
  </r>
  <r>
    <x v="719"/>
    <x v="4"/>
    <x v="0"/>
    <x v="2"/>
    <x v="15"/>
    <x v="2"/>
    <x v="0"/>
    <x v="812"/>
  </r>
  <r>
    <x v="720"/>
    <x v="4"/>
    <x v="1"/>
    <x v="38"/>
    <x v="14"/>
    <x v="2"/>
    <x v="3"/>
    <x v="813"/>
  </r>
  <r>
    <x v="721"/>
    <x v="4"/>
    <x v="2"/>
    <x v="5"/>
    <x v="14"/>
    <x v="2"/>
    <x v="9"/>
    <x v="814"/>
  </r>
  <r>
    <x v="722"/>
    <x v="4"/>
    <x v="0"/>
    <x v="8"/>
    <x v="29"/>
    <x v="2"/>
    <x v="2"/>
    <x v="815"/>
  </r>
  <r>
    <x v="723"/>
    <x v="4"/>
    <x v="3"/>
    <x v="21"/>
    <x v="1"/>
    <x v="2"/>
    <x v="5"/>
    <x v="816"/>
  </r>
  <r>
    <x v="304"/>
    <x v="4"/>
    <x v="2"/>
    <x v="11"/>
    <x v="16"/>
    <x v="2"/>
    <x v="1"/>
    <x v="817"/>
  </r>
  <r>
    <x v="724"/>
    <x v="4"/>
    <x v="3"/>
    <x v="12"/>
    <x v="33"/>
    <x v="2"/>
    <x v="3"/>
    <x v="818"/>
  </r>
  <r>
    <x v="725"/>
    <x v="4"/>
    <x v="2"/>
    <x v="11"/>
    <x v="15"/>
    <x v="2"/>
    <x v="6"/>
    <x v="819"/>
  </r>
  <r>
    <x v="726"/>
    <x v="4"/>
    <x v="2"/>
    <x v="36"/>
    <x v="10"/>
    <x v="2"/>
    <x v="4"/>
    <x v="820"/>
  </r>
  <r>
    <x v="727"/>
    <x v="4"/>
    <x v="2"/>
    <x v="7"/>
    <x v="29"/>
    <x v="2"/>
    <x v="2"/>
    <x v="821"/>
  </r>
  <r>
    <x v="23"/>
    <x v="4"/>
    <x v="3"/>
    <x v="1"/>
    <x v="31"/>
    <x v="2"/>
    <x v="8"/>
    <x v="822"/>
  </r>
  <r>
    <x v="728"/>
    <x v="4"/>
    <x v="1"/>
    <x v="22"/>
    <x v="32"/>
    <x v="2"/>
    <x v="3"/>
    <x v="823"/>
  </r>
  <r>
    <x v="729"/>
    <x v="4"/>
    <x v="0"/>
    <x v="4"/>
    <x v="6"/>
    <x v="2"/>
    <x v="9"/>
    <x v="824"/>
  </r>
  <r>
    <x v="730"/>
    <x v="4"/>
    <x v="1"/>
    <x v="12"/>
    <x v="23"/>
    <x v="2"/>
    <x v="0"/>
    <x v="825"/>
  </r>
  <r>
    <x v="731"/>
    <x v="4"/>
    <x v="0"/>
    <x v="6"/>
    <x v="7"/>
    <x v="2"/>
    <x v="5"/>
    <x v="826"/>
  </r>
  <r>
    <x v="732"/>
    <x v="4"/>
    <x v="2"/>
    <x v="10"/>
    <x v="8"/>
    <x v="2"/>
    <x v="9"/>
    <x v="827"/>
  </r>
  <r>
    <x v="733"/>
    <x v="4"/>
    <x v="0"/>
    <x v="8"/>
    <x v="22"/>
    <x v="2"/>
    <x v="7"/>
    <x v="828"/>
  </r>
  <r>
    <x v="734"/>
    <x v="4"/>
    <x v="1"/>
    <x v="36"/>
    <x v="2"/>
    <x v="2"/>
    <x v="1"/>
    <x v="829"/>
  </r>
  <r>
    <x v="735"/>
    <x v="4"/>
    <x v="0"/>
    <x v="23"/>
    <x v="32"/>
    <x v="2"/>
    <x v="6"/>
    <x v="830"/>
  </r>
  <r>
    <x v="736"/>
    <x v="4"/>
    <x v="3"/>
    <x v="10"/>
    <x v="16"/>
    <x v="2"/>
    <x v="0"/>
    <x v="831"/>
  </r>
  <r>
    <x v="737"/>
    <x v="4"/>
    <x v="0"/>
    <x v="10"/>
    <x v="23"/>
    <x v="2"/>
    <x v="0"/>
    <x v="832"/>
  </r>
  <r>
    <x v="252"/>
    <x v="4"/>
    <x v="2"/>
    <x v="11"/>
    <x v="31"/>
    <x v="2"/>
    <x v="1"/>
    <x v="833"/>
  </r>
  <r>
    <x v="738"/>
    <x v="4"/>
    <x v="1"/>
    <x v="27"/>
    <x v="17"/>
    <x v="2"/>
    <x v="1"/>
    <x v="834"/>
  </r>
  <r>
    <x v="739"/>
    <x v="4"/>
    <x v="2"/>
    <x v="3"/>
    <x v="28"/>
    <x v="2"/>
    <x v="5"/>
    <x v="835"/>
  </r>
  <r>
    <x v="740"/>
    <x v="4"/>
    <x v="2"/>
    <x v="7"/>
    <x v="0"/>
    <x v="2"/>
    <x v="2"/>
    <x v="836"/>
  </r>
  <r>
    <x v="741"/>
    <x v="4"/>
    <x v="2"/>
    <x v="37"/>
    <x v="24"/>
    <x v="2"/>
    <x v="0"/>
    <x v="837"/>
  </r>
  <r>
    <x v="742"/>
    <x v="4"/>
    <x v="2"/>
    <x v="4"/>
    <x v="23"/>
    <x v="2"/>
    <x v="8"/>
    <x v="838"/>
  </r>
  <r>
    <x v="146"/>
    <x v="4"/>
    <x v="0"/>
    <x v="26"/>
    <x v="2"/>
    <x v="2"/>
    <x v="7"/>
    <x v="839"/>
  </r>
  <r>
    <x v="697"/>
    <x v="4"/>
    <x v="1"/>
    <x v="39"/>
    <x v="19"/>
    <x v="2"/>
    <x v="2"/>
    <x v="840"/>
  </r>
  <r>
    <x v="743"/>
    <x v="4"/>
    <x v="0"/>
    <x v="11"/>
    <x v="13"/>
    <x v="2"/>
    <x v="2"/>
    <x v="841"/>
  </r>
  <r>
    <x v="744"/>
    <x v="4"/>
    <x v="0"/>
    <x v="4"/>
    <x v="27"/>
    <x v="2"/>
    <x v="0"/>
    <x v="842"/>
  </r>
  <r>
    <x v="745"/>
    <x v="4"/>
    <x v="2"/>
    <x v="24"/>
    <x v="19"/>
    <x v="2"/>
    <x v="9"/>
    <x v="473"/>
  </r>
  <r>
    <x v="746"/>
    <x v="4"/>
    <x v="2"/>
    <x v="9"/>
    <x v="2"/>
    <x v="2"/>
    <x v="0"/>
    <x v="843"/>
  </r>
  <r>
    <x v="722"/>
    <x v="4"/>
    <x v="0"/>
    <x v="8"/>
    <x v="29"/>
    <x v="2"/>
    <x v="2"/>
    <x v="815"/>
  </r>
  <r>
    <x v="694"/>
    <x v="4"/>
    <x v="0"/>
    <x v="0"/>
    <x v="33"/>
    <x v="2"/>
    <x v="3"/>
    <x v="783"/>
  </r>
  <r>
    <x v="691"/>
    <x v="4"/>
    <x v="0"/>
    <x v="33"/>
    <x v="14"/>
    <x v="2"/>
    <x v="3"/>
    <x v="780"/>
  </r>
  <r>
    <x v="747"/>
    <x v="1"/>
    <x v="0"/>
    <x v="35"/>
    <x v="32"/>
    <x v="2"/>
    <x v="3"/>
    <x v="844"/>
  </r>
  <r>
    <x v="101"/>
    <x v="3"/>
    <x v="2"/>
    <x v="11"/>
    <x v="26"/>
    <x v="2"/>
    <x v="2"/>
    <x v="845"/>
  </r>
  <r>
    <x v="748"/>
    <x v="1"/>
    <x v="2"/>
    <x v="24"/>
    <x v="33"/>
    <x v="2"/>
    <x v="8"/>
    <x v="846"/>
  </r>
  <r>
    <x v="749"/>
    <x v="2"/>
    <x v="1"/>
    <x v="29"/>
    <x v="1"/>
    <x v="2"/>
    <x v="2"/>
    <x v="847"/>
  </r>
  <r>
    <x v="750"/>
    <x v="2"/>
    <x v="2"/>
    <x v="22"/>
    <x v="27"/>
    <x v="2"/>
    <x v="9"/>
    <x v="848"/>
  </r>
  <r>
    <x v="751"/>
    <x v="3"/>
    <x v="1"/>
    <x v="3"/>
    <x v="32"/>
    <x v="2"/>
    <x v="8"/>
    <x v="849"/>
  </r>
  <r>
    <x v="23"/>
    <x v="3"/>
    <x v="2"/>
    <x v="2"/>
    <x v="10"/>
    <x v="2"/>
    <x v="6"/>
    <x v="850"/>
  </r>
  <r>
    <x v="752"/>
    <x v="3"/>
    <x v="3"/>
    <x v="19"/>
    <x v="12"/>
    <x v="2"/>
    <x v="0"/>
    <x v="851"/>
  </r>
  <r>
    <x v="644"/>
    <x v="2"/>
    <x v="1"/>
    <x v="2"/>
    <x v="7"/>
    <x v="2"/>
    <x v="3"/>
    <x v="852"/>
  </r>
  <r>
    <x v="753"/>
    <x v="2"/>
    <x v="1"/>
    <x v="20"/>
    <x v="18"/>
    <x v="2"/>
    <x v="4"/>
    <x v="853"/>
  </r>
  <r>
    <x v="754"/>
    <x v="1"/>
    <x v="0"/>
    <x v="9"/>
    <x v="6"/>
    <x v="2"/>
    <x v="1"/>
    <x v="854"/>
  </r>
  <r>
    <x v="554"/>
    <x v="3"/>
    <x v="1"/>
    <x v="26"/>
    <x v="1"/>
    <x v="2"/>
    <x v="4"/>
    <x v="855"/>
  </r>
  <r>
    <x v="755"/>
    <x v="3"/>
    <x v="0"/>
    <x v="7"/>
    <x v="1"/>
    <x v="2"/>
    <x v="3"/>
    <x v="856"/>
  </r>
  <r>
    <x v="756"/>
    <x v="3"/>
    <x v="1"/>
    <x v="9"/>
    <x v="14"/>
    <x v="2"/>
    <x v="9"/>
    <x v="857"/>
  </r>
  <r>
    <x v="757"/>
    <x v="1"/>
    <x v="0"/>
    <x v="9"/>
    <x v="27"/>
    <x v="2"/>
    <x v="7"/>
    <x v="858"/>
  </r>
  <r>
    <x v="758"/>
    <x v="1"/>
    <x v="0"/>
    <x v="3"/>
    <x v="16"/>
    <x v="2"/>
    <x v="3"/>
    <x v="859"/>
  </r>
  <r>
    <x v="759"/>
    <x v="3"/>
    <x v="3"/>
    <x v="9"/>
    <x v="2"/>
    <x v="2"/>
    <x v="8"/>
    <x v="860"/>
  </r>
  <r>
    <x v="760"/>
    <x v="1"/>
    <x v="0"/>
    <x v="7"/>
    <x v="1"/>
    <x v="2"/>
    <x v="0"/>
    <x v="861"/>
  </r>
  <r>
    <x v="761"/>
    <x v="2"/>
    <x v="0"/>
    <x v="9"/>
    <x v="1"/>
    <x v="2"/>
    <x v="8"/>
    <x v="862"/>
  </r>
  <r>
    <x v="762"/>
    <x v="1"/>
    <x v="0"/>
    <x v="5"/>
    <x v="12"/>
    <x v="2"/>
    <x v="6"/>
    <x v="863"/>
  </r>
  <r>
    <x v="23"/>
    <x v="3"/>
    <x v="1"/>
    <x v="3"/>
    <x v="7"/>
    <x v="2"/>
    <x v="3"/>
    <x v="864"/>
  </r>
  <r>
    <x v="763"/>
    <x v="2"/>
    <x v="2"/>
    <x v="21"/>
    <x v="12"/>
    <x v="2"/>
    <x v="6"/>
    <x v="865"/>
  </r>
  <r>
    <x v="764"/>
    <x v="2"/>
    <x v="3"/>
    <x v="39"/>
    <x v="24"/>
    <x v="2"/>
    <x v="7"/>
    <x v="866"/>
  </r>
  <r>
    <x v="391"/>
    <x v="3"/>
    <x v="0"/>
    <x v="29"/>
    <x v="16"/>
    <x v="2"/>
    <x v="1"/>
    <x v="867"/>
  </r>
  <r>
    <x v="765"/>
    <x v="2"/>
    <x v="2"/>
    <x v="0"/>
    <x v="28"/>
    <x v="2"/>
    <x v="1"/>
    <x v="868"/>
  </r>
  <r>
    <x v="766"/>
    <x v="3"/>
    <x v="3"/>
    <x v="25"/>
    <x v="7"/>
    <x v="2"/>
    <x v="4"/>
    <x v="869"/>
  </r>
  <r>
    <x v="767"/>
    <x v="3"/>
    <x v="1"/>
    <x v="9"/>
    <x v="5"/>
    <x v="2"/>
    <x v="1"/>
    <x v="870"/>
  </r>
  <r>
    <x v="768"/>
    <x v="3"/>
    <x v="3"/>
    <x v="28"/>
    <x v="12"/>
    <x v="2"/>
    <x v="8"/>
    <x v="871"/>
  </r>
  <r>
    <x v="342"/>
    <x v="1"/>
    <x v="1"/>
    <x v="35"/>
    <x v="21"/>
    <x v="2"/>
    <x v="7"/>
    <x v="872"/>
  </r>
  <r>
    <x v="769"/>
    <x v="3"/>
    <x v="3"/>
    <x v="22"/>
    <x v="19"/>
    <x v="2"/>
    <x v="1"/>
    <x v="873"/>
  </r>
  <r>
    <x v="770"/>
    <x v="1"/>
    <x v="3"/>
    <x v="8"/>
    <x v="2"/>
    <x v="2"/>
    <x v="8"/>
    <x v="874"/>
  </r>
  <r>
    <x v="771"/>
    <x v="1"/>
    <x v="2"/>
    <x v="21"/>
    <x v="3"/>
    <x v="2"/>
    <x v="1"/>
    <x v="875"/>
  </r>
  <r>
    <x v="772"/>
    <x v="2"/>
    <x v="2"/>
    <x v="20"/>
    <x v="1"/>
    <x v="2"/>
    <x v="6"/>
    <x v="876"/>
  </r>
  <r>
    <x v="773"/>
    <x v="3"/>
    <x v="1"/>
    <x v="10"/>
    <x v="1"/>
    <x v="2"/>
    <x v="2"/>
    <x v="877"/>
  </r>
  <r>
    <x v="774"/>
    <x v="2"/>
    <x v="0"/>
    <x v="15"/>
    <x v="22"/>
    <x v="2"/>
    <x v="9"/>
    <x v="878"/>
  </r>
  <r>
    <x v="775"/>
    <x v="3"/>
    <x v="3"/>
    <x v="0"/>
    <x v="17"/>
    <x v="2"/>
    <x v="3"/>
    <x v="879"/>
  </r>
  <r>
    <x v="776"/>
    <x v="2"/>
    <x v="2"/>
    <x v="11"/>
    <x v="8"/>
    <x v="2"/>
    <x v="3"/>
    <x v="880"/>
  </r>
  <r>
    <x v="153"/>
    <x v="3"/>
    <x v="3"/>
    <x v="10"/>
    <x v="32"/>
    <x v="2"/>
    <x v="8"/>
    <x v="881"/>
  </r>
  <r>
    <x v="777"/>
    <x v="3"/>
    <x v="3"/>
    <x v="7"/>
    <x v="32"/>
    <x v="2"/>
    <x v="3"/>
    <x v="882"/>
  </r>
  <r>
    <x v="23"/>
    <x v="3"/>
    <x v="0"/>
    <x v="13"/>
    <x v="27"/>
    <x v="2"/>
    <x v="5"/>
    <x v="883"/>
  </r>
  <r>
    <x v="778"/>
    <x v="2"/>
    <x v="2"/>
    <x v="9"/>
    <x v="9"/>
    <x v="2"/>
    <x v="6"/>
    <x v="884"/>
  </r>
  <r>
    <x v="764"/>
    <x v="3"/>
    <x v="2"/>
    <x v="15"/>
    <x v="1"/>
    <x v="2"/>
    <x v="6"/>
    <x v="885"/>
  </r>
  <r>
    <x v="779"/>
    <x v="2"/>
    <x v="3"/>
    <x v="26"/>
    <x v="31"/>
    <x v="2"/>
    <x v="2"/>
    <x v="886"/>
  </r>
  <r>
    <x v="780"/>
    <x v="2"/>
    <x v="3"/>
    <x v="12"/>
    <x v="22"/>
    <x v="2"/>
    <x v="1"/>
    <x v="887"/>
  </r>
  <r>
    <x v="781"/>
    <x v="2"/>
    <x v="0"/>
    <x v="9"/>
    <x v="24"/>
    <x v="2"/>
    <x v="3"/>
    <x v="888"/>
  </r>
  <r>
    <x v="782"/>
    <x v="2"/>
    <x v="1"/>
    <x v="20"/>
    <x v="11"/>
    <x v="2"/>
    <x v="3"/>
    <x v="889"/>
  </r>
  <r>
    <x v="783"/>
    <x v="1"/>
    <x v="3"/>
    <x v="39"/>
    <x v="0"/>
    <x v="2"/>
    <x v="5"/>
    <x v="890"/>
  </r>
  <r>
    <x v="22"/>
    <x v="3"/>
    <x v="2"/>
    <x v="0"/>
    <x v="7"/>
    <x v="2"/>
    <x v="8"/>
    <x v="891"/>
  </r>
  <r>
    <x v="144"/>
    <x v="1"/>
    <x v="0"/>
    <x v="24"/>
    <x v="11"/>
    <x v="2"/>
    <x v="4"/>
    <x v="892"/>
  </r>
  <r>
    <x v="784"/>
    <x v="1"/>
    <x v="3"/>
    <x v="20"/>
    <x v="8"/>
    <x v="2"/>
    <x v="0"/>
    <x v="893"/>
  </r>
  <r>
    <x v="785"/>
    <x v="1"/>
    <x v="1"/>
    <x v="6"/>
    <x v="15"/>
    <x v="2"/>
    <x v="6"/>
    <x v="894"/>
  </r>
  <r>
    <x v="23"/>
    <x v="1"/>
    <x v="2"/>
    <x v="26"/>
    <x v="19"/>
    <x v="2"/>
    <x v="3"/>
    <x v="895"/>
  </r>
  <r>
    <x v="786"/>
    <x v="1"/>
    <x v="3"/>
    <x v="18"/>
    <x v="11"/>
    <x v="2"/>
    <x v="4"/>
    <x v="896"/>
  </r>
  <r>
    <x v="787"/>
    <x v="3"/>
    <x v="1"/>
    <x v="5"/>
    <x v="15"/>
    <x v="2"/>
    <x v="7"/>
    <x v="897"/>
  </r>
  <r>
    <x v="571"/>
    <x v="2"/>
    <x v="2"/>
    <x v="35"/>
    <x v="1"/>
    <x v="2"/>
    <x v="8"/>
    <x v="898"/>
  </r>
  <r>
    <x v="560"/>
    <x v="1"/>
    <x v="2"/>
    <x v="31"/>
    <x v="14"/>
    <x v="2"/>
    <x v="2"/>
    <x v="899"/>
  </r>
  <r>
    <x v="788"/>
    <x v="1"/>
    <x v="3"/>
    <x v="27"/>
    <x v="29"/>
    <x v="2"/>
    <x v="1"/>
    <x v="900"/>
  </r>
  <r>
    <x v="789"/>
    <x v="3"/>
    <x v="3"/>
    <x v="10"/>
    <x v="33"/>
    <x v="2"/>
    <x v="4"/>
    <x v="901"/>
  </r>
  <r>
    <x v="790"/>
    <x v="1"/>
    <x v="2"/>
    <x v="33"/>
    <x v="32"/>
    <x v="2"/>
    <x v="3"/>
    <x v="902"/>
  </r>
  <r>
    <x v="791"/>
    <x v="1"/>
    <x v="2"/>
    <x v="36"/>
    <x v="1"/>
    <x v="2"/>
    <x v="3"/>
    <x v="903"/>
  </r>
  <r>
    <x v="792"/>
    <x v="2"/>
    <x v="2"/>
    <x v="9"/>
    <x v="27"/>
    <x v="2"/>
    <x v="1"/>
    <x v="904"/>
  </r>
  <r>
    <x v="793"/>
    <x v="3"/>
    <x v="0"/>
    <x v="33"/>
    <x v="1"/>
    <x v="2"/>
    <x v="9"/>
    <x v="905"/>
  </r>
  <r>
    <x v="39"/>
    <x v="1"/>
    <x v="1"/>
    <x v="30"/>
    <x v="4"/>
    <x v="2"/>
    <x v="8"/>
    <x v="906"/>
  </r>
  <r>
    <x v="794"/>
    <x v="2"/>
    <x v="1"/>
    <x v="30"/>
    <x v="4"/>
    <x v="2"/>
    <x v="5"/>
    <x v="907"/>
  </r>
  <r>
    <x v="610"/>
    <x v="1"/>
    <x v="1"/>
    <x v="16"/>
    <x v="9"/>
    <x v="2"/>
    <x v="1"/>
    <x v="908"/>
  </r>
  <r>
    <x v="795"/>
    <x v="1"/>
    <x v="2"/>
    <x v="39"/>
    <x v="10"/>
    <x v="2"/>
    <x v="0"/>
    <x v="909"/>
  </r>
  <r>
    <x v="796"/>
    <x v="2"/>
    <x v="1"/>
    <x v="25"/>
    <x v="6"/>
    <x v="2"/>
    <x v="0"/>
    <x v="910"/>
  </r>
  <r>
    <x v="797"/>
    <x v="2"/>
    <x v="0"/>
    <x v="39"/>
    <x v="1"/>
    <x v="2"/>
    <x v="1"/>
    <x v="911"/>
  </r>
  <r>
    <x v="798"/>
    <x v="3"/>
    <x v="3"/>
    <x v="16"/>
    <x v="27"/>
    <x v="2"/>
    <x v="1"/>
    <x v="912"/>
  </r>
  <r>
    <x v="358"/>
    <x v="3"/>
    <x v="0"/>
    <x v="28"/>
    <x v="31"/>
    <x v="2"/>
    <x v="2"/>
    <x v="913"/>
  </r>
  <r>
    <x v="799"/>
    <x v="1"/>
    <x v="2"/>
    <x v="14"/>
    <x v="32"/>
    <x v="2"/>
    <x v="8"/>
    <x v="914"/>
  </r>
  <r>
    <x v="800"/>
    <x v="1"/>
    <x v="3"/>
    <x v="37"/>
    <x v="15"/>
    <x v="2"/>
    <x v="8"/>
    <x v="915"/>
  </r>
  <r>
    <x v="801"/>
    <x v="1"/>
    <x v="1"/>
    <x v="8"/>
    <x v="21"/>
    <x v="2"/>
    <x v="8"/>
    <x v="916"/>
  </r>
  <r>
    <x v="802"/>
    <x v="3"/>
    <x v="2"/>
    <x v="19"/>
    <x v="26"/>
    <x v="2"/>
    <x v="2"/>
    <x v="917"/>
  </r>
  <r>
    <x v="803"/>
    <x v="2"/>
    <x v="0"/>
    <x v="16"/>
    <x v="21"/>
    <x v="2"/>
    <x v="5"/>
    <x v="918"/>
  </r>
  <r>
    <x v="804"/>
    <x v="2"/>
    <x v="1"/>
    <x v="34"/>
    <x v="26"/>
    <x v="2"/>
    <x v="9"/>
    <x v="919"/>
  </r>
  <r>
    <x v="805"/>
    <x v="1"/>
    <x v="3"/>
    <x v="14"/>
    <x v="24"/>
    <x v="2"/>
    <x v="2"/>
    <x v="920"/>
  </r>
  <r>
    <x v="801"/>
    <x v="1"/>
    <x v="2"/>
    <x v="1"/>
    <x v="5"/>
    <x v="2"/>
    <x v="5"/>
    <x v="921"/>
  </r>
  <r>
    <x v="806"/>
    <x v="1"/>
    <x v="1"/>
    <x v="23"/>
    <x v="16"/>
    <x v="2"/>
    <x v="5"/>
    <x v="922"/>
  </r>
  <r>
    <x v="807"/>
    <x v="1"/>
    <x v="0"/>
    <x v="1"/>
    <x v="32"/>
    <x v="2"/>
    <x v="7"/>
    <x v="923"/>
  </r>
  <r>
    <x v="808"/>
    <x v="2"/>
    <x v="2"/>
    <x v="13"/>
    <x v="16"/>
    <x v="2"/>
    <x v="0"/>
    <x v="924"/>
  </r>
  <r>
    <x v="809"/>
    <x v="1"/>
    <x v="3"/>
    <x v="23"/>
    <x v="20"/>
    <x v="2"/>
    <x v="5"/>
    <x v="925"/>
  </r>
  <r>
    <x v="810"/>
    <x v="2"/>
    <x v="0"/>
    <x v="13"/>
    <x v="27"/>
    <x v="2"/>
    <x v="3"/>
    <x v="926"/>
  </r>
  <r>
    <x v="811"/>
    <x v="1"/>
    <x v="3"/>
    <x v="33"/>
    <x v="29"/>
    <x v="2"/>
    <x v="8"/>
    <x v="927"/>
  </r>
  <r>
    <x v="812"/>
    <x v="1"/>
    <x v="1"/>
    <x v="38"/>
    <x v="14"/>
    <x v="2"/>
    <x v="2"/>
    <x v="928"/>
  </r>
  <r>
    <x v="813"/>
    <x v="2"/>
    <x v="3"/>
    <x v="1"/>
    <x v="15"/>
    <x v="2"/>
    <x v="1"/>
    <x v="929"/>
  </r>
  <r>
    <x v="814"/>
    <x v="3"/>
    <x v="3"/>
    <x v="7"/>
    <x v="1"/>
    <x v="2"/>
    <x v="0"/>
    <x v="930"/>
  </r>
  <r>
    <x v="815"/>
    <x v="1"/>
    <x v="3"/>
    <x v="25"/>
    <x v="33"/>
    <x v="2"/>
    <x v="3"/>
    <x v="931"/>
  </r>
  <r>
    <x v="816"/>
    <x v="2"/>
    <x v="2"/>
    <x v="29"/>
    <x v="3"/>
    <x v="2"/>
    <x v="6"/>
    <x v="932"/>
  </r>
  <r>
    <x v="817"/>
    <x v="2"/>
    <x v="3"/>
    <x v="9"/>
    <x v="23"/>
    <x v="2"/>
    <x v="0"/>
    <x v="933"/>
  </r>
  <r>
    <x v="818"/>
    <x v="2"/>
    <x v="2"/>
    <x v="33"/>
    <x v="17"/>
    <x v="2"/>
    <x v="7"/>
    <x v="934"/>
  </r>
  <r>
    <x v="23"/>
    <x v="3"/>
    <x v="1"/>
    <x v="9"/>
    <x v="29"/>
    <x v="2"/>
    <x v="4"/>
    <x v="935"/>
  </r>
  <r>
    <x v="819"/>
    <x v="1"/>
    <x v="1"/>
    <x v="0"/>
    <x v="12"/>
    <x v="2"/>
    <x v="7"/>
    <x v="936"/>
  </r>
  <r>
    <x v="820"/>
    <x v="2"/>
    <x v="3"/>
    <x v="19"/>
    <x v="32"/>
    <x v="2"/>
    <x v="6"/>
    <x v="937"/>
  </r>
  <r>
    <x v="821"/>
    <x v="2"/>
    <x v="3"/>
    <x v="11"/>
    <x v="21"/>
    <x v="2"/>
    <x v="7"/>
    <x v="938"/>
  </r>
  <r>
    <x v="822"/>
    <x v="3"/>
    <x v="0"/>
    <x v="36"/>
    <x v="1"/>
    <x v="2"/>
    <x v="9"/>
    <x v="939"/>
  </r>
  <r>
    <x v="823"/>
    <x v="3"/>
    <x v="1"/>
    <x v="38"/>
    <x v="1"/>
    <x v="2"/>
    <x v="2"/>
    <x v="940"/>
  </r>
  <r>
    <x v="824"/>
    <x v="1"/>
    <x v="1"/>
    <x v="23"/>
    <x v="2"/>
    <x v="2"/>
    <x v="9"/>
    <x v="941"/>
  </r>
  <r>
    <x v="606"/>
    <x v="1"/>
    <x v="1"/>
    <x v="4"/>
    <x v="4"/>
    <x v="2"/>
    <x v="2"/>
    <x v="942"/>
  </r>
  <r>
    <x v="825"/>
    <x v="3"/>
    <x v="2"/>
    <x v="21"/>
    <x v="4"/>
    <x v="2"/>
    <x v="8"/>
    <x v="943"/>
  </r>
  <r>
    <x v="826"/>
    <x v="1"/>
    <x v="0"/>
    <x v="8"/>
    <x v="26"/>
    <x v="2"/>
    <x v="5"/>
    <x v="944"/>
  </r>
  <r>
    <x v="827"/>
    <x v="1"/>
    <x v="3"/>
    <x v="11"/>
    <x v="16"/>
    <x v="2"/>
    <x v="7"/>
    <x v="945"/>
  </r>
  <r>
    <x v="828"/>
    <x v="3"/>
    <x v="1"/>
    <x v="26"/>
    <x v="17"/>
    <x v="2"/>
    <x v="4"/>
    <x v="946"/>
  </r>
  <r>
    <x v="829"/>
    <x v="3"/>
    <x v="1"/>
    <x v="19"/>
    <x v="4"/>
    <x v="2"/>
    <x v="7"/>
    <x v="947"/>
  </r>
  <r>
    <x v="830"/>
    <x v="2"/>
    <x v="1"/>
    <x v="31"/>
    <x v="26"/>
    <x v="2"/>
    <x v="1"/>
    <x v="948"/>
  </r>
  <r>
    <x v="23"/>
    <x v="3"/>
    <x v="3"/>
    <x v="23"/>
    <x v="11"/>
    <x v="2"/>
    <x v="4"/>
    <x v="949"/>
  </r>
  <r>
    <x v="831"/>
    <x v="1"/>
    <x v="3"/>
    <x v="21"/>
    <x v="26"/>
    <x v="2"/>
    <x v="4"/>
    <x v="950"/>
  </r>
  <r>
    <x v="832"/>
    <x v="3"/>
    <x v="3"/>
    <x v="9"/>
    <x v="1"/>
    <x v="2"/>
    <x v="7"/>
    <x v="951"/>
  </r>
  <r>
    <x v="182"/>
    <x v="1"/>
    <x v="3"/>
    <x v="0"/>
    <x v="16"/>
    <x v="2"/>
    <x v="3"/>
    <x v="952"/>
  </r>
  <r>
    <x v="833"/>
    <x v="3"/>
    <x v="3"/>
    <x v="18"/>
    <x v="34"/>
    <x v="2"/>
    <x v="3"/>
    <x v="953"/>
  </r>
  <r>
    <x v="834"/>
    <x v="2"/>
    <x v="0"/>
    <x v="9"/>
    <x v="5"/>
    <x v="2"/>
    <x v="6"/>
    <x v="954"/>
  </r>
  <r>
    <x v="835"/>
    <x v="3"/>
    <x v="2"/>
    <x v="0"/>
    <x v="33"/>
    <x v="2"/>
    <x v="0"/>
    <x v="955"/>
  </r>
  <r>
    <x v="836"/>
    <x v="2"/>
    <x v="3"/>
    <x v="20"/>
    <x v="31"/>
    <x v="2"/>
    <x v="4"/>
    <x v="956"/>
  </r>
  <r>
    <x v="837"/>
    <x v="3"/>
    <x v="0"/>
    <x v="9"/>
    <x v="20"/>
    <x v="2"/>
    <x v="8"/>
    <x v="957"/>
  </r>
  <r>
    <x v="838"/>
    <x v="3"/>
    <x v="0"/>
    <x v="28"/>
    <x v="24"/>
    <x v="2"/>
    <x v="6"/>
    <x v="958"/>
  </r>
  <r>
    <x v="222"/>
    <x v="3"/>
    <x v="3"/>
    <x v="29"/>
    <x v="4"/>
    <x v="2"/>
    <x v="7"/>
    <x v="959"/>
  </r>
  <r>
    <x v="839"/>
    <x v="2"/>
    <x v="0"/>
    <x v="35"/>
    <x v="17"/>
    <x v="2"/>
    <x v="4"/>
    <x v="960"/>
  </r>
  <r>
    <x v="485"/>
    <x v="3"/>
    <x v="1"/>
    <x v="36"/>
    <x v="22"/>
    <x v="2"/>
    <x v="7"/>
    <x v="961"/>
  </r>
  <r>
    <x v="840"/>
    <x v="3"/>
    <x v="0"/>
    <x v="15"/>
    <x v="24"/>
    <x v="2"/>
    <x v="7"/>
    <x v="962"/>
  </r>
  <r>
    <x v="841"/>
    <x v="3"/>
    <x v="2"/>
    <x v="3"/>
    <x v="24"/>
    <x v="2"/>
    <x v="3"/>
    <x v="963"/>
  </r>
  <r>
    <x v="842"/>
    <x v="1"/>
    <x v="1"/>
    <x v="0"/>
    <x v="7"/>
    <x v="2"/>
    <x v="4"/>
    <x v="964"/>
  </r>
  <r>
    <x v="807"/>
    <x v="3"/>
    <x v="1"/>
    <x v="22"/>
    <x v="19"/>
    <x v="2"/>
    <x v="6"/>
    <x v="965"/>
  </r>
  <r>
    <x v="129"/>
    <x v="1"/>
    <x v="0"/>
    <x v="33"/>
    <x v="16"/>
    <x v="2"/>
    <x v="4"/>
    <x v="966"/>
  </r>
  <r>
    <x v="843"/>
    <x v="1"/>
    <x v="0"/>
    <x v="9"/>
    <x v="18"/>
    <x v="2"/>
    <x v="4"/>
    <x v="967"/>
  </r>
  <r>
    <x v="827"/>
    <x v="2"/>
    <x v="0"/>
    <x v="13"/>
    <x v="4"/>
    <x v="2"/>
    <x v="5"/>
    <x v="968"/>
  </r>
  <r>
    <x v="844"/>
    <x v="2"/>
    <x v="2"/>
    <x v="37"/>
    <x v="10"/>
    <x v="2"/>
    <x v="0"/>
    <x v="969"/>
  </r>
  <r>
    <x v="574"/>
    <x v="1"/>
    <x v="3"/>
    <x v="9"/>
    <x v="16"/>
    <x v="2"/>
    <x v="3"/>
    <x v="970"/>
  </r>
  <r>
    <x v="845"/>
    <x v="1"/>
    <x v="2"/>
    <x v="32"/>
    <x v="8"/>
    <x v="2"/>
    <x v="1"/>
    <x v="971"/>
  </r>
  <r>
    <x v="846"/>
    <x v="2"/>
    <x v="0"/>
    <x v="25"/>
    <x v="32"/>
    <x v="2"/>
    <x v="7"/>
    <x v="972"/>
  </r>
  <r>
    <x v="752"/>
    <x v="2"/>
    <x v="2"/>
    <x v="33"/>
    <x v="6"/>
    <x v="2"/>
    <x v="2"/>
    <x v="973"/>
  </r>
  <r>
    <x v="847"/>
    <x v="3"/>
    <x v="2"/>
    <x v="32"/>
    <x v="30"/>
    <x v="2"/>
    <x v="5"/>
    <x v="974"/>
  </r>
  <r>
    <x v="23"/>
    <x v="1"/>
    <x v="3"/>
    <x v="25"/>
    <x v="27"/>
    <x v="2"/>
    <x v="3"/>
    <x v="975"/>
  </r>
  <r>
    <x v="848"/>
    <x v="1"/>
    <x v="2"/>
    <x v="32"/>
    <x v="19"/>
    <x v="2"/>
    <x v="5"/>
    <x v="976"/>
  </r>
  <r>
    <x v="849"/>
    <x v="1"/>
    <x v="1"/>
    <x v="17"/>
    <x v="9"/>
    <x v="2"/>
    <x v="0"/>
    <x v="977"/>
  </r>
  <r>
    <x v="850"/>
    <x v="2"/>
    <x v="2"/>
    <x v="31"/>
    <x v="6"/>
    <x v="2"/>
    <x v="3"/>
    <x v="978"/>
  </r>
  <r>
    <x v="23"/>
    <x v="1"/>
    <x v="3"/>
    <x v="14"/>
    <x v="30"/>
    <x v="2"/>
    <x v="0"/>
    <x v="979"/>
  </r>
  <r>
    <x v="851"/>
    <x v="3"/>
    <x v="2"/>
    <x v="18"/>
    <x v="22"/>
    <x v="2"/>
    <x v="5"/>
    <x v="980"/>
  </r>
  <r>
    <x v="852"/>
    <x v="1"/>
    <x v="3"/>
    <x v="3"/>
    <x v="28"/>
    <x v="2"/>
    <x v="8"/>
    <x v="981"/>
  </r>
  <r>
    <x v="5"/>
    <x v="1"/>
    <x v="0"/>
    <x v="9"/>
    <x v="22"/>
    <x v="2"/>
    <x v="1"/>
    <x v="982"/>
  </r>
  <r>
    <x v="853"/>
    <x v="3"/>
    <x v="2"/>
    <x v="6"/>
    <x v="14"/>
    <x v="2"/>
    <x v="8"/>
    <x v="983"/>
  </r>
  <r>
    <x v="854"/>
    <x v="3"/>
    <x v="2"/>
    <x v="34"/>
    <x v="14"/>
    <x v="2"/>
    <x v="3"/>
    <x v="984"/>
  </r>
  <r>
    <x v="855"/>
    <x v="3"/>
    <x v="2"/>
    <x v="39"/>
    <x v="7"/>
    <x v="2"/>
    <x v="1"/>
    <x v="985"/>
  </r>
  <r>
    <x v="856"/>
    <x v="2"/>
    <x v="2"/>
    <x v="21"/>
    <x v="13"/>
    <x v="2"/>
    <x v="3"/>
    <x v="986"/>
  </r>
  <r>
    <x v="857"/>
    <x v="2"/>
    <x v="2"/>
    <x v="12"/>
    <x v="6"/>
    <x v="2"/>
    <x v="8"/>
    <x v="987"/>
  </r>
  <r>
    <x v="858"/>
    <x v="3"/>
    <x v="2"/>
    <x v="33"/>
    <x v="13"/>
    <x v="2"/>
    <x v="3"/>
    <x v="988"/>
  </r>
  <r>
    <x v="859"/>
    <x v="2"/>
    <x v="3"/>
    <x v="22"/>
    <x v="33"/>
    <x v="2"/>
    <x v="1"/>
    <x v="989"/>
  </r>
  <r>
    <x v="860"/>
    <x v="1"/>
    <x v="0"/>
    <x v="28"/>
    <x v="1"/>
    <x v="2"/>
    <x v="4"/>
    <x v="990"/>
  </r>
  <r>
    <x v="263"/>
    <x v="2"/>
    <x v="1"/>
    <x v="2"/>
    <x v="1"/>
    <x v="2"/>
    <x v="3"/>
    <x v="991"/>
  </r>
  <r>
    <x v="23"/>
    <x v="1"/>
    <x v="1"/>
    <x v="1"/>
    <x v="25"/>
    <x v="2"/>
    <x v="3"/>
    <x v="992"/>
  </r>
  <r>
    <x v="861"/>
    <x v="1"/>
    <x v="0"/>
    <x v="23"/>
    <x v="26"/>
    <x v="2"/>
    <x v="8"/>
    <x v="993"/>
  </r>
  <r>
    <x v="742"/>
    <x v="3"/>
    <x v="2"/>
    <x v="0"/>
    <x v="32"/>
    <x v="2"/>
    <x v="5"/>
    <x v="994"/>
  </r>
  <r>
    <x v="820"/>
    <x v="1"/>
    <x v="3"/>
    <x v="7"/>
    <x v="30"/>
    <x v="2"/>
    <x v="5"/>
    <x v="995"/>
  </r>
  <r>
    <x v="862"/>
    <x v="3"/>
    <x v="3"/>
    <x v="39"/>
    <x v="14"/>
    <x v="2"/>
    <x v="3"/>
    <x v="996"/>
  </r>
  <r>
    <x v="423"/>
    <x v="2"/>
    <x v="1"/>
    <x v="10"/>
    <x v="12"/>
    <x v="2"/>
    <x v="1"/>
    <x v="997"/>
  </r>
  <r>
    <x v="108"/>
    <x v="1"/>
    <x v="2"/>
    <x v="2"/>
    <x v="6"/>
    <x v="2"/>
    <x v="9"/>
    <x v="998"/>
  </r>
  <r>
    <x v="22"/>
    <x v="3"/>
    <x v="2"/>
    <x v="0"/>
    <x v="7"/>
    <x v="2"/>
    <x v="8"/>
    <x v="891"/>
  </r>
  <r>
    <x v="769"/>
    <x v="3"/>
    <x v="3"/>
    <x v="22"/>
    <x v="19"/>
    <x v="2"/>
    <x v="1"/>
    <x v="873"/>
  </r>
  <r>
    <x v="773"/>
    <x v="3"/>
    <x v="1"/>
    <x v="10"/>
    <x v="1"/>
    <x v="2"/>
    <x v="2"/>
    <x v="877"/>
  </r>
  <r>
    <x v="752"/>
    <x v="2"/>
    <x v="2"/>
    <x v="33"/>
    <x v="6"/>
    <x v="2"/>
    <x v="2"/>
    <x v="973"/>
  </r>
  <r>
    <x v="813"/>
    <x v="2"/>
    <x v="3"/>
    <x v="1"/>
    <x v="15"/>
    <x v="2"/>
    <x v="1"/>
    <x v="929"/>
  </r>
  <r>
    <x v="801"/>
    <x v="1"/>
    <x v="1"/>
    <x v="8"/>
    <x v="21"/>
    <x v="2"/>
    <x v="8"/>
    <x v="9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E9007F-18FC-4DD7-AEC5-58E6FD50AC1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8">
    <pivotField axis="axisRow" showAll="0">
      <items count="8">
        <item x="0"/>
        <item x="1"/>
        <item x="2"/>
        <item x="3"/>
        <item x="4"/>
        <item x="5"/>
        <item x="6"/>
        <item t="default"/>
      </items>
    </pivotField>
    <pivotField showAll="0"/>
    <pivotField showAll="0"/>
    <pivotField showAll="0"/>
    <pivotField showAll="0"/>
    <pivotField showAll="0"/>
    <pivotField showAll="0"/>
    <pivotField dataField="1" showAll="0"/>
  </pivotFields>
  <rowFields count="1">
    <field x="0"/>
  </rowFields>
  <rowItems count="6">
    <i>
      <x v="1"/>
    </i>
    <i>
      <x v="2"/>
    </i>
    <i>
      <x v="3"/>
    </i>
    <i>
      <x v="4"/>
    </i>
    <i>
      <x v="5"/>
    </i>
    <i t="grand">
      <x/>
    </i>
  </rowItems>
  <colItems count="1">
    <i/>
  </colItems>
  <dataFields count="1">
    <dataField name="Average of price" fld="7" subtotal="average" baseField="0" baseItem="1"/>
  </dataFields>
  <formats count="1">
    <format dxfId="16">
      <pivotArea collapsedLevelsAreSubtotals="1" fieldPosition="0">
        <references count="1">
          <reference field="0" count="5">
            <x v="1"/>
            <x v="2"/>
            <x v="3"/>
            <x v="4"/>
            <x v="5"/>
          </reference>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EC1BF2-2FFB-424A-AE32-E6E86D9FB8C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8">
    <pivotField showAll="0"/>
    <pivotField axis="axisRow" showAll="0">
      <items count="6">
        <item x="3"/>
        <item x="4"/>
        <item x="0"/>
        <item x="1"/>
        <item x="2"/>
        <item t="default"/>
      </items>
    </pivotField>
    <pivotField showAll="0"/>
    <pivotField showAll="0"/>
    <pivotField showAll="0"/>
    <pivotField showAll="0"/>
    <pivotField showAll="0"/>
    <pivotField dataField="1" showAll="0"/>
  </pivotFields>
  <rowFields count="1">
    <field x="1"/>
  </rowFields>
  <rowItems count="6">
    <i>
      <x/>
    </i>
    <i>
      <x v="1"/>
    </i>
    <i>
      <x v="2"/>
    </i>
    <i>
      <x v="3"/>
    </i>
    <i>
      <x v="4"/>
    </i>
    <i t="grand">
      <x/>
    </i>
  </rowItems>
  <colItems count="1">
    <i/>
  </colItems>
  <dataFields count="1">
    <dataField name="Average of price" fld="7" subtotal="average" baseField="1" baseItem="0"/>
  </dataFields>
  <formats count="1">
    <format dxfId="15">
      <pivotArea collapsedLevelsAreSubtotals="1" fieldPosition="0">
        <references count="1">
          <reference field="1" count="0"/>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74ED1E-6A3C-4B90-9951-D26DA613DAA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8" firstHeaderRow="1" firstDataRow="1" firstDataCol="1"/>
  <pivotFields count="8">
    <pivotField showAll="0"/>
    <pivotField showAll="0"/>
    <pivotField axis="axisRow" showAll="0">
      <items count="5">
        <item x="3"/>
        <item x="0"/>
        <item x="1"/>
        <item x="2"/>
        <item t="default"/>
      </items>
    </pivotField>
    <pivotField showAll="0"/>
    <pivotField showAll="0"/>
    <pivotField showAll="0"/>
    <pivotField showAll="0"/>
    <pivotField dataField="1" showAll="0"/>
  </pivotFields>
  <rowFields count="1">
    <field x="2"/>
  </rowFields>
  <rowItems count="5">
    <i>
      <x/>
    </i>
    <i>
      <x v="1"/>
    </i>
    <i>
      <x v="2"/>
    </i>
    <i>
      <x v="3"/>
    </i>
    <i t="grand">
      <x/>
    </i>
  </rowItems>
  <colItems count="1">
    <i/>
  </colItems>
  <dataFields count="1">
    <dataField name="Average of price" fld="7" subtotal="average" baseField="2" baseItem="0"/>
  </dataFields>
  <formats count="1">
    <format dxfId="14">
      <pivotArea collapsedLevelsAreSubtotals="1" fieldPosition="0">
        <references count="1">
          <reference field="2" count="0"/>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35BEBC9-1E04-4EAB-8DDE-59450FAC7BA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8">
    <pivotField showAll="0"/>
    <pivotField showAll="0"/>
    <pivotField showAll="0"/>
    <pivotField showAll="0"/>
    <pivotField showAll="0"/>
    <pivotField axis="axisRow" showAll="0">
      <items count="4">
        <item x="2"/>
        <item x="0"/>
        <item x="1"/>
        <item t="default"/>
      </items>
    </pivotField>
    <pivotField showAll="0"/>
    <pivotField dataField="1" showAll="0"/>
  </pivotFields>
  <rowFields count="1">
    <field x="5"/>
  </rowFields>
  <rowItems count="4">
    <i>
      <x/>
    </i>
    <i>
      <x v="1"/>
    </i>
    <i>
      <x v="2"/>
    </i>
    <i t="grand">
      <x/>
    </i>
  </rowItems>
  <colItems count="1">
    <i/>
  </colItems>
  <dataFields count="1">
    <dataField name="Average of price" fld="7" subtotal="average" baseField="5" baseItem="0"/>
  </dataFields>
  <formats count="1">
    <format dxfId="13">
      <pivotArea collapsedLevelsAreSubtotals="1" fieldPosition="0">
        <references count="1">
          <reference field="5" count="0"/>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F2540C-01D2-40B2-9813-6A69F70DEC22}"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8">
    <pivotField showAll="0"/>
    <pivotField showAll="0">
      <items count="6">
        <item x="3"/>
        <item x="4"/>
        <item x="0"/>
        <item x="1"/>
        <item x="2"/>
        <item t="default"/>
      </items>
    </pivotField>
    <pivotField showAll="0">
      <items count="5">
        <item x="3"/>
        <item x="0"/>
        <item x="1"/>
        <item x="2"/>
        <item t="default"/>
      </items>
    </pivotField>
    <pivotField showAll="0"/>
    <pivotField showAll="0"/>
    <pivotField showAll="0">
      <items count="4">
        <item x="2"/>
        <item x="0"/>
        <item x="1"/>
        <item t="default"/>
      </items>
    </pivotField>
    <pivotField axis="axisRow" showAll="0" measureFilter="1" sortType="ascending">
      <items count="11">
        <item x="9"/>
        <item x="1"/>
        <item x="4"/>
        <item x="7"/>
        <item x="3"/>
        <item x="0"/>
        <item x="5"/>
        <item x="2"/>
        <item x="8"/>
        <item x="6"/>
        <item t="default"/>
      </items>
      <autoSortScope>
        <pivotArea dataOnly="0" outline="0" fieldPosition="0">
          <references count="1">
            <reference field="4294967294" count="1" selected="0">
              <x v="0"/>
            </reference>
          </references>
        </pivotArea>
      </autoSortScope>
    </pivotField>
    <pivotField dataField="1" showAll="0"/>
  </pivotFields>
  <rowFields count="1">
    <field x="6"/>
  </rowFields>
  <rowItems count="6">
    <i>
      <x v="5"/>
    </i>
    <i>
      <x v="6"/>
    </i>
    <i>
      <x v="7"/>
    </i>
    <i>
      <x v="8"/>
    </i>
    <i>
      <x v="9"/>
    </i>
    <i t="grand">
      <x/>
    </i>
  </rowItems>
  <colItems count="1">
    <i/>
  </colItems>
  <dataFields count="1">
    <dataField name="Average of price" fld="7" subtotal="average" baseField="6" baseItem="7"/>
  </dataFields>
  <formats count="1">
    <format dxfId="12">
      <pivotArea collapsedLevelsAreSubtotals="1" fieldPosition="0">
        <references count="1">
          <reference field="6" count="5">
            <x v="5"/>
            <x v="6"/>
            <x v="7"/>
            <x v="8"/>
            <x v="9"/>
          </reference>
        </references>
      </pivotArea>
    </format>
  </format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4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70E77C-97A9-40BF-8143-693B142E114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1" firstHeaderRow="1" firstDataRow="1" firstDataCol="1"/>
  <pivotFields count="8">
    <pivotField showAll="0"/>
    <pivotField showAll="0">
      <items count="6">
        <item x="3"/>
        <item x="4"/>
        <item x="0"/>
        <item x="1"/>
        <item x="2"/>
        <item t="default"/>
      </items>
    </pivotField>
    <pivotField showAll="0">
      <items count="5">
        <item x="3"/>
        <item x="0"/>
        <item x="1"/>
        <item x="2"/>
        <item t="default"/>
      </items>
    </pivotField>
    <pivotField showAll="0"/>
    <pivotField axis="axisRow" showAll="0">
      <items count="10">
        <item x="0"/>
        <item x="1"/>
        <item x="2"/>
        <item x="3"/>
        <item x="4"/>
        <item x="5"/>
        <item x="6"/>
        <item x="7"/>
        <item x="8"/>
        <item t="default"/>
      </items>
    </pivotField>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4"/>
  </rowFields>
  <rowItems count="8">
    <i>
      <x v="1"/>
    </i>
    <i>
      <x v="2"/>
    </i>
    <i>
      <x v="3"/>
    </i>
    <i>
      <x v="4"/>
    </i>
    <i>
      <x v="5"/>
    </i>
    <i>
      <x v="6"/>
    </i>
    <i>
      <x v="7"/>
    </i>
    <i t="grand">
      <x/>
    </i>
  </rowItems>
  <colItems count="1">
    <i/>
  </colItems>
  <dataFields count="1">
    <dataField name="Average of price" fld="7" subtotal="average" baseField="4" baseItem="4"/>
  </dataFields>
  <formats count="1">
    <format dxfId="11">
      <pivotArea collapsedLevelsAreSubtotals="1" fieldPosition="0">
        <references count="1">
          <reference field="4" count="7">
            <x v="1"/>
            <x v="2"/>
            <x v="3"/>
            <x v="4"/>
            <x v="5"/>
            <x v="6"/>
            <x v="7"/>
          </reference>
        </references>
      </pivotArea>
    </format>
  </format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62D6854-7CE7-43E0-A629-469D126DA36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8">
    <pivotField showAll="0"/>
    <pivotField axis="axisRow" showAll="0">
      <items count="6">
        <item x="3"/>
        <item x="4"/>
        <item x="0"/>
        <item x="1"/>
        <item x="2"/>
        <item t="default"/>
      </items>
    </pivotField>
    <pivotField showAll="0">
      <items count="5">
        <item x="3"/>
        <item x="0"/>
        <item x="1"/>
        <item x="2"/>
        <item t="default"/>
      </items>
    </pivotField>
    <pivotField showAll="0"/>
    <pivotField showAll="0"/>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1"/>
  </rowFields>
  <rowItems count="6">
    <i>
      <x/>
    </i>
    <i>
      <x v="1"/>
    </i>
    <i>
      <x v="2"/>
    </i>
    <i>
      <x v="3"/>
    </i>
    <i>
      <x v="4"/>
    </i>
    <i t="grand">
      <x/>
    </i>
  </rowItems>
  <colItems count="1">
    <i/>
  </colItems>
  <dataFields count="1">
    <dataField name="Average of price" fld="7" subtotal="average" baseField="1" baseItem="2"/>
  </dataFields>
  <formats count="1">
    <format dxfId="10">
      <pivotArea collapsedLevelsAreSubtotals="1" fieldPosition="0">
        <references count="1">
          <reference field="1" count="0"/>
        </references>
      </pivotArea>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0"/>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1" count="1" selected="0">
            <x v="0"/>
          </reference>
        </references>
      </pivotArea>
    </chartFormat>
    <chartFormat chart="3" format="14">
      <pivotArea type="data" outline="0" fieldPosition="0">
        <references count="2">
          <reference field="4294967294" count="1" selected="0">
            <x v="0"/>
          </reference>
          <reference field="1" count="1" selected="0">
            <x v="1"/>
          </reference>
        </references>
      </pivotArea>
    </chartFormat>
    <chartFormat chart="3" format="15">
      <pivotArea type="data" outline="0" fieldPosition="0">
        <references count="2">
          <reference field="4294967294" count="1" selected="0">
            <x v="0"/>
          </reference>
          <reference field="1" count="1" selected="0">
            <x v="2"/>
          </reference>
        </references>
      </pivotArea>
    </chartFormat>
    <chartFormat chart="3" format="16">
      <pivotArea type="data" outline="0" fieldPosition="0">
        <references count="2">
          <reference field="4294967294" count="1" selected="0">
            <x v="0"/>
          </reference>
          <reference field="1" count="1" selected="0">
            <x v="3"/>
          </reference>
        </references>
      </pivotArea>
    </chartFormat>
    <chartFormat chart="3" format="17">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D730CBE-43E4-41C0-BB24-25FDE82A72F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9" firstHeaderRow="0" firstDataRow="1" firstDataCol="1"/>
  <pivotFields count="8">
    <pivotField axis="axisRow" showAll="0">
      <items count="8">
        <item x="0"/>
        <item x="1"/>
        <item x="2"/>
        <item x="3"/>
        <item x="4"/>
        <item x="5"/>
        <item x="6"/>
        <item t="default"/>
      </items>
    </pivotField>
    <pivotField showAll="0">
      <items count="6">
        <item x="3"/>
        <item x="4"/>
        <item x="0"/>
        <item x="1"/>
        <item x="2"/>
        <item t="default"/>
      </items>
    </pivotField>
    <pivotField showAll="0">
      <items count="5">
        <item x="3"/>
        <item x="0"/>
        <item x="1"/>
        <item x="2"/>
        <item t="default"/>
      </items>
    </pivotField>
    <pivotField showAll="0"/>
    <pivotField showAll="0"/>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0"/>
  </rowFields>
  <rowItems count="6">
    <i>
      <x v="1"/>
    </i>
    <i>
      <x v="2"/>
    </i>
    <i>
      <x v="3"/>
    </i>
    <i>
      <x v="4"/>
    </i>
    <i>
      <x v="5"/>
    </i>
    <i t="grand">
      <x/>
    </i>
  </rowItems>
  <colFields count="1">
    <field x="-2"/>
  </colFields>
  <colItems count="3">
    <i>
      <x/>
    </i>
    <i i="1">
      <x v="1"/>
    </i>
    <i i="2">
      <x v="2"/>
    </i>
  </colItems>
  <dataFields count="3">
    <dataField name="Average of price" fld="7" subtotal="average" baseField="0" baseItem="1"/>
    <dataField name="Count of price3" fld="7" subtotal="count" baseField="0" baseItem="1"/>
    <dataField name="Sum of price2" fld="7" showDataAs="percentOfCo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DD52122-0611-4C42-AEA9-03B63325737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8">
    <pivotField axis="axisRow" showAll="0">
      <items count="8">
        <item x="0"/>
        <item x="1"/>
        <item x="2"/>
        <item x="3"/>
        <item x="4"/>
        <item x="5"/>
        <item x="6"/>
        <item t="default"/>
      </items>
    </pivotField>
    <pivotField showAll="0"/>
    <pivotField showAll="0"/>
    <pivotField showAll="0"/>
    <pivotField showAll="0"/>
    <pivotField showAll="0"/>
    <pivotField showAll="0"/>
    <pivotField dataField="1" showAll="0"/>
  </pivotFields>
  <rowFields count="1">
    <field x="0"/>
  </rowFields>
  <rowItems count="6">
    <i>
      <x v="1"/>
    </i>
    <i>
      <x v="2"/>
    </i>
    <i>
      <x v="3"/>
    </i>
    <i>
      <x v="4"/>
    </i>
    <i>
      <x v="5"/>
    </i>
    <i t="grand">
      <x/>
    </i>
  </rowItems>
  <colItems count="1">
    <i/>
  </colItems>
  <dataFields count="1">
    <dataField name="Count of price"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ECF000E-BEA0-4C87-B6CD-47E396D61AB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8">
    <pivotField axis="axisRow" showAll="0">
      <items count="8">
        <item x="0"/>
        <item x="1"/>
        <item x="2"/>
        <item x="3"/>
        <item x="4"/>
        <item x="5"/>
        <item x="6"/>
        <item t="default"/>
      </items>
    </pivotField>
    <pivotField showAll="0">
      <items count="6">
        <item x="3"/>
        <item x="4"/>
        <item x="0"/>
        <item x="1"/>
        <item x="2"/>
        <item t="default"/>
      </items>
    </pivotField>
    <pivotField showAll="0">
      <items count="5">
        <item x="3"/>
        <item x="0"/>
        <item x="1"/>
        <item x="2"/>
        <item t="default"/>
      </items>
    </pivotField>
    <pivotField showAll="0"/>
    <pivotField showAll="0"/>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0"/>
  </rowFields>
  <rowItems count="6">
    <i>
      <x v="1"/>
    </i>
    <i>
      <x v="2"/>
    </i>
    <i>
      <x v="3"/>
    </i>
    <i>
      <x v="4"/>
    </i>
    <i>
      <x v="5"/>
    </i>
    <i t="grand">
      <x/>
    </i>
  </rowItems>
  <colItems count="1">
    <i/>
  </colItems>
  <dataFields count="1">
    <dataField name="Average of price" fld="7" subtotal="average" baseField="0" baseItem="3"/>
  </dataFields>
  <formats count="1">
    <format dxfId="9">
      <pivotArea collapsedLevelsAreSubtotals="1" fieldPosition="0">
        <references count="1">
          <reference field="0" count="5">
            <x v="1"/>
            <x v="2"/>
            <x v="3"/>
            <x v="4"/>
            <x v="5"/>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5"/>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F604C9A-7844-44BB-BF56-5973588CDD5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10" firstHeaderRow="1" firstDataRow="2" firstDataCol="1"/>
  <pivotFields count="8">
    <pivotField axis="axisCol" dataField="1" showAll="0">
      <items count="8">
        <item x="0"/>
        <item x="1"/>
        <item x="2"/>
        <item x="3"/>
        <item x="4"/>
        <item x="5"/>
        <item x="6"/>
        <item t="default"/>
      </items>
    </pivotField>
    <pivotField axis="axisRow" showAll="0">
      <items count="6">
        <item x="3"/>
        <item x="4"/>
        <item x="0"/>
        <item x="1"/>
        <item x="2"/>
        <item t="default"/>
      </items>
    </pivotField>
    <pivotField showAll="0">
      <items count="5">
        <item x="3"/>
        <item x="0"/>
        <item x="1"/>
        <item x="2"/>
        <item t="default"/>
      </items>
    </pivotField>
    <pivotField showAll="0"/>
    <pivotField showAll="0"/>
    <pivotField showAll="0">
      <items count="4">
        <item x="2"/>
        <item x="0"/>
        <item x="1"/>
        <item t="default"/>
      </items>
    </pivotField>
    <pivotField showAll="0">
      <items count="11">
        <item x="9"/>
        <item x="1"/>
        <item x="4"/>
        <item x="7"/>
        <item x="3"/>
        <item x="0"/>
        <item x="5"/>
        <item x="2"/>
        <item x="8"/>
        <item x="6"/>
        <item t="default"/>
      </items>
    </pivotField>
    <pivotField showAll="0"/>
  </pivotFields>
  <rowFields count="1">
    <field x="1"/>
  </rowFields>
  <rowItems count="6">
    <i>
      <x/>
    </i>
    <i>
      <x v="1"/>
    </i>
    <i>
      <x v="2"/>
    </i>
    <i>
      <x v="3"/>
    </i>
    <i>
      <x v="4"/>
    </i>
    <i t="grand">
      <x/>
    </i>
  </rowItems>
  <colFields count="1">
    <field x="0"/>
  </colFields>
  <colItems count="6">
    <i>
      <x v="1"/>
    </i>
    <i>
      <x v="2"/>
    </i>
    <i>
      <x v="3"/>
    </i>
    <i>
      <x v="4"/>
    </i>
    <i>
      <x v="5"/>
    </i>
    <i t="grand">
      <x/>
    </i>
  </colItems>
  <dataFields count="1">
    <dataField name="Count of area_sqft"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8B8E106-293E-4620-BCC8-35C075DB3F2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9" firstHeaderRow="0" firstDataRow="1" firstDataCol="1"/>
  <pivotFields count="8">
    <pivotField showAll="0"/>
    <pivotField axis="axisRow" showAll="0">
      <items count="6">
        <item x="3"/>
        <item x="4"/>
        <item x="0"/>
        <item x="1"/>
        <item x="2"/>
        <item t="default"/>
      </items>
    </pivotField>
    <pivotField showAll="0">
      <items count="5">
        <item x="3"/>
        <item x="0"/>
        <item x="1"/>
        <item x="2"/>
        <item t="default"/>
      </items>
    </pivotField>
    <pivotField showAll="0"/>
    <pivotField showAll="0"/>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1"/>
  </rowFields>
  <rowItems count="6">
    <i>
      <x/>
    </i>
    <i>
      <x v="1"/>
    </i>
    <i>
      <x v="2"/>
    </i>
    <i>
      <x v="3"/>
    </i>
    <i>
      <x v="4"/>
    </i>
    <i t="grand">
      <x/>
    </i>
  </rowItems>
  <colFields count="1">
    <field x="-2"/>
  </colFields>
  <colItems count="2">
    <i>
      <x/>
    </i>
    <i i="1">
      <x v="1"/>
    </i>
  </colItems>
  <dataFields count="2">
    <dataField name="Sum of price" fld="7" baseField="0" baseItem="0"/>
    <dataField name="Sum of price2" fld="7" showDataAs="percentOfCol" baseField="0" baseItem="0" numFmtId="10"/>
  </dataFields>
  <formats count="1">
    <format dxfId="8">
      <pivotArea collapsedLevelsAreSubtotals="1" fieldPosition="0">
        <references count="2">
          <reference field="4294967294" count="1" selected="0">
            <x v="1"/>
          </reference>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69930B8-C649-4C38-B8F6-01246EBE9B9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8" firstHeaderRow="0" firstDataRow="1" firstDataCol="1"/>
  <pivotFields count="8">
    <pivotField showAll="0"/>
    <pivotField showAll="0">
      <items count="6">
        <item x="3"/>
        <item x="4"/>
        <item x="0"/>
        <item x="1"/>
        <item x="2"/>
        <item t="default"/>
      </items>
    </pivotField>
    <pivotField axis="axisRow" showAll="0">
      <items count="5">
        <item x="3"/>
        <item x="0"/>
        <item x="1"/>
        <item x="2"/>
        <item t="default"/>
      </items>
    </pivotField>
    <pivotField showAll="0"/>
    <pivotField showAll="0"/>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2"/>
  </rowFields>
  <rowItems count="5">
    <i>
      <x/>
    </i>
    <i>
      <x v="1"/>
    </i>
    <i>
      <x v="2"/>
    </i>
    <i>
      <x v="3"/>
    </i>
    <i t="grand">
      <x/>
    </i>
  </rowItems>
  <colFields count="1">
    <field x="-2"/>
  </colFields>
  <colItems count="2">
    <i>
      <x/>
    </i>
    <i i="1">
      <x v="1"/>
    </i>
  </colItems>
  <dataFields count="2">
    <dataField name="Sum of price" fld="7" baseField="0" baseItem="0"/>
    <dataField name="Sum of price2" fld="7" showDataAs="percentOfCol" baseField="0" baseItem="0" numFmtId="10"/>
  </dataFields>
  <formats count="1">
    <format dxfId="7">
      <pivotArea collapsedLevelsAreSubtotals="1" fieldPosition="0">
        <references count="2">
          <reference field="4294967294" count="1" selected="0">
            <x v="1"/>
          </reference>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8B50AAF-ED38-4D25-B640-40F6F2F3BD3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 firstHeaderRow="0" firstDataRow="1" firstDataCol="1"/>
  <pivotFields count="8">
    <pivotField showAll="0"/>
    <pivotField showAll="0">
      <items count="6">
        <item x="3"/>
        <item x="4"/>
        <item x="0"/>
        <item x="1"/>
        <item x="2"/>
        <item t="default"/>
      </items>
    </pivotField>
    <pivotField showAll="0">
      <items count="5">
        <item x="3"/>
        <item x="0"/>
        <item x="1"/>
        <item x="2"/>
        <item t="default"/>
      </items>
    </pivotField>
    <pivotField axis="axisRow" showAll="0">
      <items count="11">
        <item x="0"/>
        <item x="1"/>
        <item x="2"/>
        <item x="3"/>
        <item x="4"/>
        <item x="5"/>
        <item x="6"/>
        <item x="7"/>
        <item x="8"/>
        <item x="9"/>
        <item t="default"/>
      </items>
    </pivotField>
    <pivotField showAll="0"/>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3"/>
  </rowFields>
  <rowItems count="9">
    <i>
      <x v="1"/>
    </i>
    <i>
      <x v="2"/>
    </i>
    <i>
      <x v="3"/>
    </i>
    <i>
      <x v="4"/>
    </i>
    <i>
      <x v="5"/>
    </i>
    <i>
      <x v="6"/>
    </i>
    <i>
      <x v="7"/>
    </i>
    <i>
      <x v="8"/>
    </i>
    <i t="grand">
      <x/>
    </i>
  </rowItems>
  <colFields count="1">
    <field x="-2"/>
  </colFields>
  <colItems count="2">
    <i>
      <x/>
    </i>
    <i i="1">
      <x v="1"/>
    </i>
  </colItems>
  <dataFields count="2">
    <dataField name="Sum of price" fld="7" baseField="0" baseItem="0"/>
    <dataField name="Sum of price2" fld="7" showDataAs="percentOfCol" baseField="0" baseItem="0" numFmtId="10"/>
  </dataFields>
  <formats count="1">
    <format dxfId="6">
      <pivotArea collapsedLevelsAreSubtotals="1" fieldPosition="0">
        <references count="2">
          <reference field="4294967294" count="1" selected="0">
            <x v="1"/>
          </reference>
          <reference field="3" count="8">
            <x v="1"/>
            <x v="2"/>
            <x v="3"/>
            <x v="4"/>
            <x v="5"/>
            <x v="6"/>
            <x v="7"/>
            <x v="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D8F6C4B-07C0-4E73-B5F8-A8794C3AB5A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1" firstHeaderRow="0" firstDataRow="1" firstDataCol="1"/>
  <pivotFields count="8">
    <pivotField showAll="0"/>
    <pivotField showAll="0">
      <items count="6">
        <item x="3"/>
        <item x="4"/>
        <item x="0"/>
        <item x="1"/>
        <item x="2"/>
        <item t="default"/>
      </items>
    </pivotField>
    <pivotField showAll="0">
      <items count="5">
        <item x="3"/>
        <item x="0"/>
        <item x="1"/>
        <item x="2"/>
        <item t="default"/>
      </items>
    </pivotField>
    <pivotField showAll="0"/>
    <pivotField axis="axisRow" showAll="0">
      <items count="10">
        <item x="0"/>
        <item x="1"/>
        <item x="2"/>
        <item x="3"/>
        <item x="4"/>
        <item x="5"/>
        <item x="6"/>
        <item x="7"/>
        <item x="8"/>
        <item t="default"/>
      </items>
    </pivotField>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4"/>
  </rowFields>
  <rowItems count="8">
    <i>
      <x v="1"/>
    </i>
    <i>
      <x v="2"/>
    </i>
    <i>
      <x v="3"/>
    </i>
    <i>
      <x v="4"/>
    </i>
    <i>
      <x v="5"/>
    </i>
    <i>
      <x v="6"/>
    </i>
    <i>
      <x v="7"/>
    </i>
    <i t="grand">
      <x/>
    </i>
  </rowItems>
  <colFields count="1">
    <field x="-2"/>
  </colFields>
  <colItems count="2">
    <i>
      <x/>
    </i>
    <i i="1">
      <x v="1"/>
    </i>
  </colItems>
  <dataFields count="2">
    <dataField name="Sum of price" fld="7" baseField="0" baseItem="0"/>
    <dataField name="Sum of price2" fld="7" showDataAs="percentOfCol" baseField="0" baseItem="0" numFmtId="10"/>
  </dataFields>
  <formats count="1">
    <format dxfId="5">
      <pivotArea collapsedLevelsAreSubtotals="1" fieldPosition="0">
        <references count="2">
          <reference field="4294967294" count="1" selected="0">
            <x v="1"/>
          </reference>
          <reference field="4" count="7">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5265EFF-C3A2-416B-9E90-E8F304AD4B0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7" firstHeaderRow="0" firstDataRow="1" firstDataCol="1"/>
  <pivotFields count="8">
    <pivotField showAll="0"/>
    <pivotField showAll="0">
      <items count="6">
        <item x="3"/>
        <item x="4"/>
        <item x="0"/>
        <item x="1"/>
        <item x="2"/>
        <item t="default"/>
      </items>
    </pivotField>
    <pivotField showAll="0">
      <items count="5">
        <item x="3"/>
        <item x="0"/>
        <item x="1"/>
        <item x="2"/>
        <item t="default"/>
      </items>
    </pivotField>
    <pivotField showAll="0"/>
    <pivotField showAll="0"/>
    <pivotField axis="axisRow"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5"/>
  </rowFields>
  <rowItems count="4">
    <i>
      <x/>
    </i>
    <i>
      <x v="1"/>
    </i>
    <i>
      <x v="2"/>
    </i>
    <i t="grand">
      <x/>
    </i>
  </rowItems>
  <colFields count="1">
    <field x="-2"/>
  </colFields>
  <colItems count="2">
    <i>
      <x/>
    </i>
    <i i="1">
      <x v="1"/>
    </i>
  </colItems>
  <dataFields count="2">
    <dataField name="Sum of price" fld="7" baseField="0" baseItem="0"/>
    <dataField name="Sum of price2" fld="7" showDataAs="percentOfCol" baseField="0" baseItem="0" numFmtId="10"/>
  </dataFields>
  <formats count="1">
    <format dxfId="4">
      <pivotArea collapsedLevelsAreSubtotals="1" fieldPosition="0">
        <references count="2">
          <reference field="4294967294" count="1" selected="0">
            <x v="1"/>
          </reference>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57199E7-DBDC-4A3A-B8C0-CC74A3E942E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4" firstHeaderRow="0" firstDataRow="1" firstDataCol="1"/>
  <pivotFields count="8">
    <pivotField showAll="0"/>
    <pivotField showAll="0">
      <items count="6">
        <item x="3"/>
        <item x="4"/>
        <item x="0"/>
        <item x="1"/>
        <item x="2"/>
        <item t="default"/>
      </items>
    </pivotField>
    <pivotField showAll="0">
      <items count="5">
        <item x="3"/>
        <item x="0"/>
        <item x="1"/>
        <item x="2"/>
        <item t="default"/>
      </items>
    </pivotField>
    <pivotField showAll="0"/>
    <pivotField showAll="0"/>
    <pivotField showAll="0">
      <items count="4">
        <item x="2"/>
        <item x="0"/>
        <item x="1"/>
        <item t="default"/>
      </items>
    </pivotField>
    <pivotField axis="axisRow" showAll="0">
      <items count="11">
        <item x="9"/>
        <item x="1"/>
        <item x="4"/>
        <item x="7"/>
        <item x="3"/>
        <item x="0"/>
        <item x="5"/>
        <item x="2"/>
        <item x="8"/>
        <item x="6"/>
        <item t="default"/>
      </items>
    </pivotField>
    <pivotField dataField="1" showAll="0"/>
  </pivotFields>
  <rowFields count="1">
    <field x="6"/>
  </rowFields>
  <rowItems count="11">
    <i>
      <x/>
    </i>
    <i>
      <x v="1"/>
    </i>
    <i>
      <x v="2"/>
    </i>
    <i>
      <x v="3"/>
    </i>
    <i>
      <x v="4"/>
    </i>
    <i>
      <x v="5"/>
    </i>
    <i>
      <x v="6"/>
    </i>
    <i>
      <x v="7"/>
    </i>
    <i>
      <x v="8"/>
    </i>
    <i>
      <x v="9"/>
    </i>
    <i t="grand">
      <x/>
    </i>
  </rowItems>
  <colFields count="1">
    <field x="-2"/>
  </colFields>
  <colItems count="2">
    <i>
      <x/>
    </i>
    <i i="1">
      <x v="1"/>
    </i>
  </colItems>
  <dataFields count="2">
    <dataField name="Sum of price" fld="7" baseField="0" baseItem="0"/>
    <dataField name="Sum of price2" fld="7" showDataAs="percentOfCol" baseField="0" baseItem="0" numFmtId="10"/>
  </dataFields>
  <formats count="1">
    <format dxfId="3">
      <pivotArea collapsedLevelsAreSubtotals="1" fieldPosition="0">
        <references count="2">
          <reference field="4294967294" count="1" selected="0">
            <x v="1"/>
          </reference>
          <reference field="6"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274B515-C85D-4412-AAE9-C22CABB4EFC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5" firstHeaderRow="1" firstDataRow="1" firstDataCol="1"/>
  <pivotFields count="8">
    <pivotField axis="axisRow" showAll="0">
      <items count="8">
        <item h="1" x="0"/>
        <item h="1" x="1"/>
        <item h="1" x="2"/>
        <item h="1" x="3"/>
        <item h="1" x="4"/>
        <item x="5"/>
        <item h="1" x="6"/>
        <item t="default"/>
      </items>
    </pivotField>
    <pivotField showAll="0">
      <items count="6">
        <item x="3"/>
        <item x="4"/>
        <item x="0"/>
        <item x="1"/>
        <item x="2"/>
        <item t="default"/>
      </items>
    </pivotField>
    <pivotField showAll="0"/>
    <pivotField showAll="0"/>
    <pivotField showAll="0"/>
    <pivotField showAll="0"/>
    <pivotField axis="axisRow" dataField="1" showAll="0">
      <items count="11">
        <item x="9"/>
        <item x="1"/>
        <item x="4"/>
        <item x="7"/>
        <item x="3"/>
        <item x="0"/>
        <item x="5"/>
        <item x="2"/>
        <item x="8"/>
        <item x="6"/>
        <item t="default"/>
      </items>
    </pivotField>
    <pivotField showAll="0"/>
  </pivotFields>
  <rowFields count="2">
    <field x="0"/>
    <field x="6"/>
  </rowFields>
  <rowItems count="12">
    <i>
      <x v="5"/>
    </i>
    <i r="1">
      <x/>
    </i>
    <i r="1">
      <x v="1"/>
    </i>
    <i r="1">
      <x v="2"/>
    </i>
    <i r="1">
      <x v="3"/>
    </i>
    <i r="1">
      <x v="4"/>
    </i>
    <i r="1">
      <x v="5"/>
    </i>
    <i r="1">
      <x v="6"/>
    </i>
    <i r="1">
      <x v="7"/>
    </i>
    <i r="1">
      <x v="8"/>
    </i>
    <i r="1">
      <x v="9"/>
    </i>
    <i t="grand">
      <x/>
    </i>
  </rowItems>
  <colItems count="1">
    <i/>
  </colItems>
  <dataFields count="1">
    <dataField name="Count of location_score" fld="6" subtotal="count" baseField="0" baseItem="5"/>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8FEDD0C-029D-4F31-B2C8-1A14A920C51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8">
    <pivotField axis="axisRow" showAll="0">
      <items count="8">
        <item x="0"/>
        <item x="1"/>
        <item x="2"/>
        <item x="3"/>
        <item x="4"/>
        <item x="5"/>
        <item x="6"/>
        <item t="default"/>
      </items>
    </pivotField>
    <pivotField showAll="0">
      <items count="6">
        <item x="3"/>
        <item x="4"/>
        <item x="0"/>
        <item x="1"/>
        <item x="2"/>
        <item t="default"/>
      </items>
    </pivotField>
    <pivotField showAll="0"/>
    <pivotField showAll="0"/>
    <pivotField showAll="0"/>
    <pivotField showAll="0"/>
    <pivotField showAll="0">
      <items count="11">
        <item x="9"/>
        <item x="1"/>
        <item x="4"/>
        <item x="7"/>
        <item x="3"/>
        <item x="0"/>
        <item x="5"/>
        <item x="2"/>
        <item x="8"/>
        <item x="6"/>
        <item t="default"/>
      </items>
    </pivotField>
    <pivotField dataField="1" showAll="0"/>
  </pivotFields>
  <rowFields count="1">
    <field x="0"/>
  </rowFields>
  <rowItems count="6">
    <i>
      <x v="1"/>
    </i>
    <i>
      <x v="2"/>
    </i>
    <i>
      <x v="3"/>
    </i>
    <i>
      <x v="4"/>
    </i>
    <i>
      <x v="5"/>
    </i>
    <i t="grand">
      <x/>
    </i>
  </rowItems>
  <colItems count="1">
    <i/>
  </colItems>
  <dataFields count="1">
    <dataField name="Count of price" fld="7" subtotal="count"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5"/>
          </reference>
        </references>
      </pivotArea>
    </chartFormat>
    <chartFormat chart="3" format="4">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DDD9555-BA18-48B8-A76F-372C9E92979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8">
    <pivotField axis="axisRow" showAll="0">
      <items count="8">
        <item h="1" x="0"/>
        <item h="1" x="1"/>
        <item h="1" x="2"/>
        <item h="1" x="3"/>
        <item h="1" x="4"/>
        <item x="5"/>
        <item h="1" x="6"/>
        <item t="default"/>
      </items>
    </pivotField>
    <pivotField axis="axisRow" dataField="1" showAll="0">
      <items count="6">
        <item x="3"/>
        <item x="4"/>
        <item x="0"/>
        <item x="1"/>
        <item x="2"/>
        <item t="default"/>
      </items>
    </pivotField>
    <pivotField showAll="0"/>
    <pivotField showAll="0"/>
    <pivotField showAll="0"/>
    <pivotField showAll="0"/>
    <pivotField showAll="0">
      <items count="11">
        <item x="9"/>
        <item x="1"/>
        <item x="4"/>
        <item x="7"/>
        <item x="3"/>
        <item x="0"/>
        <item x="5"/>
        <item x="2"/>
        <item x="8"/>
        <item x="6"/>
        <item t="default"/>
      </items>
    </pivotField>
    <pivotField showAll="0"/>
  </pivotFields>
  <rowFields count="2">
    <field x="0"/>
    <field x="1"/>
  </rowFields>
  <rowItems count="7">
    <i>
      <x v="5"/>
    </i>
    <i r="1">
      <x/>
    </i>
    <i r="1">
      <x v="1"/>
    </i>
    <i r="1">
      <x v="2"/>
    </i>
    <i r="1">
      <x v="3"/>
    </i>
    <i r="1">
      <x v="4"/>
    </i>
    <i t="grand">
      <x/>
    </i>
  </rowItems>
  <colItems count="1">
    <i/>
  </colItems>
  <dataFields count="1">
    <dataField name="Count of bedrooms" fld="1" subtotal="count" baseField="0" baseItem="5"/>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FDC8A5A-2443-4EB6-997E-D9AA4839A32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8">
    <pivotField showAll="0"/>
    <pivotField showAll="0">
      <items count="6">
        <item x="3"/>
        <item x="4"/>
        <item x="0"/>
        <item x="1"/>
        <item x="2"/>
        <item t="default"/>
      </items>
    </pivotField>
    <pivotField showAll="0">
      <items count="5">
        <item x="3"/>
        <item x="0"/>
        <item x="1"/>
        <item x="2"/>
        <item t="default"/>
      </items>
    </pivotField>
    <pivotField showAll="0"/>
    <pivotField showAll="0"/>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items count="11">
        <item x="9"/>
        <item x="1"/>
        <item x="4"/>
        <item x="7"/>
        <item x="3"/>
        <item x="0"/>
        <item x="5"/>
        <item x="2"/>
        <item x="8"/>
        <item x="6"/>
        <item t="default"/>
      </items>
    </pivotField>
    <pivotField dataField="1" showAll="0"/>
  </pivotFields>
  <rowFields count="1">
    <field x="5"/>
  </rowFields>
  <rowItems count="4">
    <i>
      <x v="2"/>
    </i>
    <i>
      <x v="1"/>
    </i>
    <i>
      <x/>
    </i>
    <i t="grand">
      <x/>
    </i>
  </rowItems>
  <colItems count="1">
    <i/>
  </colItems>
  <dataFields count="1">
    <dataField name="Average of price" fld="7" subtotal="average" baseField="5" baseItem="1"/>
  </dataFields>
  <formats count="1">
    <format dxfId="2">
      <pivotArea collapsedLevelsAreSubtotals="1" fieldPosition="0">
        <references count="1">
          <reference field="5" count="0"/>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E13396E-DF0F-49FD-AA50-87661C2C92F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2" firstHeaderRow="1" firstDataRow="1" firstDataCol="1"/>
  <pivotFields count="8">
    <pivotField showAll="0"/>
    <pivotField showAll="0">
      <items count="6">
        <item x="3"/>
        <item x="4"/>
        <item x="0"/>
        <item x="1"/>
        <item x="2"/>
        <item t="default"/>
      </items>
    </pivotField>
    <pivotField showAll="0">
      <items count="5">
        <item x="3"/>
        <item x="0"/>
        <item x="1"/>
        <item x="2"/>
        <item t="default"/>
      </items>
    </pivotField>
    <pivotField axis="axisRow" showAll="0">
      <items count="11">
        <item x="0"/>
        <item x="1"/>
        <item x="2"/>
        <item x="3"/>
        <item x="4"/>
        <item x="5"/>
        <item x="6"/>
        <item x="7"/>
        <item x="8"/>
        <item x="9"/>
        <item t="default"/>
      </items>
    </pivotField>
    <pivotField showAll="0"/>
    <pivotField showAll="0">
      <items count="4">
        <item x="2"/>
        <item x="0"/>
        <item x="1"/>
        <item t="default"/>
      </items>
    </pivotField>
    <pivotField showAll="0">
      <items count="11">
        <item x="9"/>
        <item x="1"/>
        <item x="4"/>
        <item x="7"/>
        <item x="3"/>
        <item x="0"/>
        <item x="5"/>
        <item x="2"/>
        <item x="8"/>
        <item x="6"/>
        <item t="default"/>
      </items>
    </pivotField>
    <pivotField dataField="1" showAll="0"/>
  </pivotFields>
  <rowFields count="1">
    <field x="3"/>
  </rowFields>
  <rowItems count="9">
    <i>
      <x v="1"/>
    </i>
    <i>
      <x v="2"/>
    </i>
    <i>
      <x v="3"/>
    </i>
    <i>
      <x v="4"/>
    </i>
    <i>
      <x v="5"/>
    </i>
    <i>
      <x v="6"/>
    </i>
    <i>
      <x v="7"/>
    </i>
    <i>
      <x v="8"/>
    </i>
    <i t="grand">
      <x/>
    </i>
  </rowItems>
  <colItems count="1">
    <i/>
  </colItems>
  <dataFields count="1">
    <dataField name="Average of price" fld="7" subtotal="average" baseField="3" baseItem="2"/>
  </dataFields>
  <formats count="1">
    <format dxfId="1">
      <pivotArea collapsedLevelsAreSubtotals="1" fieldPosition="0">
        <references count="1">
          <reference field="3" count="8">
            <x v="1"/>
            <x v="2"/>
            <x v="3"/>
            <x v="4"/>
            <x v="5"/>
            <x v="6"/>
            <x v="7"/>
            <x v="8"/>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4"/>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3" count="1" selected="0">
            <x v="4"/>
          </reference>
        </references>
      </pivotArea>
    </chartFormat>
    <chartFormat chart="3" format="6">
      <pivotArea type="data" outline="0" fieldPosition="0">
        <references count="2">
          <reference field="4294967294" count="1" selected="0">
            <x v="0"/>
          </reference>
          <reference field="3" count="1" selected="0">
            <x v="3"/>
          </reference>
        </references>
      </pivotArea>
    </chartFormat>
    <chartFormat chart="3" format="7">
      <pivotArea type="data" outline="0" fieldPosition="0">
        <references count="2">
          <reference field="4294967294" count="1" selected="0">
            <x v="0"/>
          </reference>
          <reference field="3" count="1" selected="0">
            <x v="6"/>
          </reference>
        </references>
      </pivotArea>
    </chartFormat>
    <chartFormat chart="3" format="8">
      <pivotArea type="data" outline="0" fieldPosition="0">
        <references count="2">
          <reference field="4294967294" count="1" selected="0">
            <x v="0"/>
          </reference>
          <reference field="3" count="1" selected="0">
            <x v="8"/>
          </reference>
        </references>
      </pivotArea>
    </chartFormat>
    <chartFormat chart="3" format="9">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AFD2496-AE2F-45F2-B958-5CE841799A7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8">
    <pivotField axis="axisRow" showAll="0">
      <items count="8">
        <item x="0"/>
        <item x="1"/>
        <item x="2"/>
        <item x="3"/>
        <item x="4"/>
        <item x="5"/>
        <item x="6"/>
        <item t="default"/>
      </items>
    </pivotField>
    <pivotField showAll="0">
      <items count="6">
        <item x="3"/>
        <item x="4"/>
        <item x="0"/>
        <item x="1"/>
        <item x="2"/>
        <item t="default"/>
      </items>
    </pivotField>
    <pivotField showAll="0"/>
    <pivotField showAll="0"/>
    <pivotField showAll="0"/>
    <pivotField showAll="0"/>
    <pivotField showAll="0">
      <items count="11">
        <item x="9"/>
        <item x="1"/>
        <item x="4"/>
        <item x="7"/>
        <item x="3"/>
        <item x="0"/>
        <item x="5"/>
        <item x="2"/>
        <item x="8"/>
        <item x="6"/>
        <item t="default"/>
      </items>
    </pivotField>
    <pivotField dataField="1" showAll="0"/>
  </pivotFields>
  <rowFields count="1">
    <field x="0"/>
  </rowFields>
  <rowItems count="6">
    <i>
      <x v="1"/>
    </i>
    <i>
      <x v="2"/>
    </i>
    <i>
      <x v="3"/>
    </i>
    <i>
      <x v="4"/>
    </i>
    <i>
      <x v="5"/>
    </i>
    <i t="grand">
      <x/>
    </i>
  </rowItems>
  <colItems count="1">
    <i/>
  </colItems>
  <dataFields count="1">
    <dataField name="Average of price" fld="7" subtotal="average" baseField="0" baseItem="1"/>
  </dataFields>
  <formats count="1">
    <format dxfId="0">
      <pivotArea collapsedLevelsAreSubtotals="1" fieldPosition="0">
        <references count="1">
          <reference field="0" count="5">
            <x v="1"/>
            <x v="2"/>
            <x v="3"/>
            <x v="4"/>
            <x v="5"/>
          </reference>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04BBA5C-975F-4985-86B0-2F26D170A4F8}" autoFormatId="16" applyNumberFormats="0" applyBorderFormats="0" applyFontFormats="0" applyPatternFormats="0" applyAlignmentFormats="0" applyWidthHeightFormats="0">
  <queryTableRefresh nextId="9">
    <queryTableFields count="8">
      <queryTableField id="1" name="area_sqft" tableColumnId="1"/>
      <queryTableField id="2" name="bedrooms" tableColumnId="2"/>
      <queryTableField id="3" name="bathrooms" tableColumnId="3"/>
      <queryTableField id="4" name="age" tableColumnId="4"/>
      <queryTableField id="5" name="distance_city_km" tableColumnId="5"/>
      <queryTableField id="6" name="parking" tableColumnId="6"/>
      <queryTableField id="7" name="location_score" tableColumnId="7"/>
      <queryTableField id="8" name="price" tableColumnId="8"/>
    </queryTableFields>
  </queryTableRefresh>
  <extLst>
    <ext xmlns:x15="http://schemas.microsoft.com/office/spreadsheetml/2010/11/main" uri="{883FBD77-0823-4a55-B5E3-86C4891E6966}">
      <x15:queryTable sourceDataName="Query - Table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drooms" xr10:uid="{8DEC58F0-ACCD-444A-801F-4314F9306FD5}" sourceName="bedrooms">
  <pivotTables>
    <pivotTable tabId="4" name="PivotTable2"/>
    <pivotTable tabId="6" name="PivotTable4"/>
    <pivotTable tabId="25" name="PivotTable1"/>
    <pivotTable tabId="3" name="PivotTable1"/>
    <pivotTable tabId="20" name="PivotTable1"/>
    <pivotTable tabId="5" name="PivotTable3"/>
    <pivotTable tabId="21" name="PivotTable2"/>
    <pivotTable tabId="22" name="PivotTable3"/>
    <pivotTable tabId="7" name="PivotTable5"/>
    <pivotTable tabId="9" name="PivotTable7"/>
    <pivotTable tabId="23" name="PivotTable14"/>
    <pivotTable tabId="8" name="PivotTable6"/>
    <pivotTable tabId="24" name="PivotTable5"/>
    <pivotTable tabId="16" name="PivotTable1"/>
  </pivotTables>
  <data>
    <tabular pivotCacheId="111409897">
      <items count="5">
        <i x="3" s="1"/>
        <i x="4" s="1"/>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throoms" xr10:uid="{30321CAF-7161-4623-94B1-EBBEC7D6A9DC}" sourceName="bathrooms">
  <pivotTables>
    <pivotTable tabId="4" name="PivotTable2"/>
    <pivotTable tabId="6" name="PivotTable4"/>
    <pivotTable tabId="25" name="PivotTable1"/>
    <pivotTable tabId="3" name="PivotTable1"/>
    <pivotTable tabId="20" name="PivotTable1"/>
    <pivotTable tabId="5" name="PivotTable3"/>
    <pivotTable tabId="21" name="PivotTable2"/>
    <pivotTable tabId="22" name="PivotTable3"/>
    <pivotTable tabId="7" name="PivotTable5"/>
    <pivotTable tabId="9" name="PivotTable7"/>
    <pivotTable tabId="23" name="PivotTable14"/>
    <pivotTable tabId="8" name="PivotTable6"/>
    <pivotTable tabId="24" name="PivotTable5"/>
    <pivotTable tabId="16" name="PivotTable1"/>
  </pivotTables>
  <data>
    <tabular pivotCacheId="111409897">
      <items count="4">
        <i x="3" s="1"/>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king" xr10:uid="{DEDD13A1-D3CB-4557-ABFB-CC1711E75FE4}" sourceName="parking">
  <pivotTables>
    <pivotTable tabId="4" name="PivotTable2"/>
    <pivotTable tabId="6" name="PivotTable4"/>
    <pivotTable tabId="25" name="PivotTable1"/>
    <pivotTable tabId="3" name="PivotTable1"/>
    <pivotTable tabId="20" name="PivotTable1"/>
    <pivotTable tabId="5" name="PivotTable3"/>
    <pivotTable tabId="21" name="PivotTable2"/>
    <pivotTable tabId="22" name="PivotTable3"/>
    <pivotTable tabId="7" name="PivotTable5"/>
    <pivotTable tabId="9" name="PivotTable7"/>
    <pivotTable tabId="23" name="PivotTable14"/>
    <pivotTable tabId="8" name="PivotTable6"/>
    <pivotTable tabId="24" name="PivotTable5"/>
    <pivotTable tabId="16" name="PivotTable1"/>
  </pivotTables>
  <data>
    <tabular pivotCacheId="111409897">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_score" xr10:uid="{7C9F54A2-26AF-43BA-A777-69734BA336DE}" sourceName="location_score">
  <pivotTables>
    <pivotTable tabId="4" name="PivotTable2"/>
    <pivotTable tabId="6" name="PivotTable4"/>
    <pivotTable tabId="25" name="PivotTable1"/>
    <pivotTable tabId="3" name="PivotTable1"/>
    <pivotTable tabId="20" name="PivotTable1"/>
    <pivotTable tabId="5" name="PivotTable3"/>
    <pivotTable tabId="21" name="PivotTable2"/>
    <pivotTable tabId="22" name="PivotTable3"/>
    <pivotTable tabId="7" name="PivotTable5"/>
    <pivotTable tabId="9" name="PivotTable7"/>
    <pivotTable tabId="23" name="PivotTable14"/>
    <pivotTable tabId="8" name="PivotTable6"/>
    <pivotTable tabId="24" name="PivotTable5"/>
    <pivotTable tabId="16" name="PivotTable1"/>
  </pivotTables>
  <data>
    <tabular pivotCacheId="111409897">
      <items count="10">
        <i x="9" s="1"/>
        <i x="1" s="1"/>
        <i x="4" s="1"/>
        <i x="7" s="1"/>
        <i x="3" s="1"/>
        <i x="0" s="1"/>
        <i x="5" s="1"/>
        <i x="2" s="1"/>
        <i x="8" s="1"/>
        <i x="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drooms1" xr10:uid="{3A5924C9-BA80-4269-8A1C-6FA371DF053D}" sourceName="bedrooms">
  <pivotTables>
    <pivotTable tabId="31" name="PivotTable3"/>
    <pivotTable tabId="28" name="PivotTable1"/>
    <pivotTable tabId="32" name="PivotTable4"/>
    <pivotTable tabId="30" name="PivotTable2"/>
  </pivotTables>
  <data>
    <tabular pivotCacheId="111409897">
      <items count="5">
        <i x="3" s="1"/>
        <i x="4" s="1"/>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_score1" xr10:uid="{AF1055F8-4479-4C73-A75C-44DC74C9563E}" sourceName="location_score">
  <pivotTables>
    <pivotTable tabId="32" name="PivotTable4"/>
    <pivotTable tabId="28" name="PivotTable1"/>
    <pivotTable tabId="31" name="PivotTable3"/>
    <pivotTable tabId="30" name="PivotTable2"/>
  </pivotTables>
  <data>
    <tabular pivotCacheId="111409897">
      <items count="10">
        <i x="9" s="1"/>
        <i x="1" s="1"/>
        <i x="4" s="1"/>
        <i x="7" s="1"/>
        <i x="3" s="1"/>
        <i x="0" s="1"/>
        <i x="5" s="1"/>
        <i x="2" s="1"/>
        <i x="8"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edrooms" xr10:uid="{63EB5785-44AD-4280-B74B-31E3429BFFDB}" cache="Slicer_bedrooms" caption="bedrooms" rowHeight="241300"/>
  <slicer name="bathrooms" xr10:uid="{0AECA7F7-D04D-4CEB-B52F-0740548C97C4}" cache="Slicer_bathrooms" caption="bathrooms" rowHeight="241300"/>
  <slicer name="parking" xr10:uid="{F2B128EB-9AD7-457A-A65A-B94B466A9C62}" cache="Slicer_parking" caption="parking" rowHeight="241300"/>
  <slicer name="location_score" xr10:uid="{EE31D9D3-66DE-4F6D-9E8B-F1B5D1B1DE19}" cache="Slicer_location_score" caption="location_scor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edrooms 1" xr10:uid="{B940730C-3E2D-481F-B17F-BDF63C4C7F99}" cache="Slicer_bedrooms" caption="bedrooms" showCaption="0" style="SlicerStyleLight6" rowHeight="252000"/>
  <slicer name="bathrooms 1" xr10:uid="{1D7D13DE-D3ED-44D9-81AE-127CB8870258}" cache="Slicer_bathrooms" caption="bathrooms" showCaption="0" style="SlicerStyleLight6" rowHeight="241300"/>
  <slicer name="parking 1" xr10:uid="{4E4DA980-E101-4112-B418-EC9E7F320DE4}" cache="Slicer_parking" caption="parking" showCaption="0" style="SlicerStyleLight6" rowHeight="241300"/>
  <slicer name="location_score 1" xr10:uid="{AA0F846A-E61D-4341-B42E-C841C2CF716F}" cache="Slicer_location_score" caption="location_score" showCaption="0"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edrooms 2" xr10:uid="{C8492794-D011-44D3-9E53-8BA3027277BC}" cache="Slicer_bedrooms" caption="bedrooms" showCaption="0" style="SlicerStyleLight6" rowHeight="241300"/>
  <slicer name="bathrooms 2" xr10:uid="{C6C44C57-231D-483C-ADEA-08816FD33FEF}" cache="Slicer_bathrooms" caption="bathrooms" showCaption="0" style="SlicerStyleLight6" rowHeight="241300"/>
  <slicer name="parking 2" xr10:uid="{C4253202-B91C-4A55-B7C8-2236147AF509}" cache="Slicer_parking" caption="parking" startItem="2" showCaption="0" style="SlicerStyleLight6" rowHeight="241300"/>
  <slicer name="location_score 2" xr10:uid="{08407E2A-FDA5-4CCE-81ED-CEB2162F0BC9}" cache="Slicer_location_score" caption="location_score" startItem="2" showCaption="0" style="SlicerStyleLight6"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edrooms 4" xr10:uid="{3D243C0E-BBC3-4101-A7C1-E61A2F4A4312}" cache="Slicer_bedrooms1" caption="bedrooms" style="SlicerStyleLight6" rowHeight="241300"/>
  <slicer name="location_score 4" xr10:uid="{051396AB-8812-46D9-840D-1648541C29BC}" cache="Slicer_location_score1" caption="location_score" style="SlicerStyleLight6"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_score 3" xr10:uid="{50DBE593-3CB3-4018-92C4-3A81B6628A85}" cache="Slicer_location_score1" caption="location_score"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edrooms 3" xr10:uid="{83894A81-456F-4C6A-B6E1-633DA1EF9BF7}" cache="Slicer_bedrooms1" caption="bedrooms"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EEC4E4-3B2C-464F-ADB1-FF0F72B6990B}" name="Table1" displayName="Table1" ref="A1:H1021" totalsRowShown="0">
  <autoFilter ref="A1:H1021" xr:uid="{F0EEC4E4-3B2C-464F-ADB1-FF0F72B6990B}"/>
  <tableColumns count="8">
    <tableColumn id="1" xr3:uid="{A6CAEF89-5110-4166-9AB1-6D1B613B9049}" name="area_sqft"/>
    <tableColumn id="2" xr3:uid="{2C1DF0D2-1217-42D9-91CD-1866A39E3336}" name="bedrooms"/>
    <tableColumn id="3" xr3:uid="{EDA7AC16-5E69-422E-AFC8-0A6A7D746EAB}" name="bathrooms"/>
    <tableColumn id="4" xr3:uid="{91613310-7065-4713-904A-28051667403A}" name="age"/>
    <tableColumn id="5" xr3:uid="{EDEC19E6-0119-442C-944B-B2EF5A6EE03D}" name="distance_city_km" dataDxfId="19"/>
    <tableColumn id="6" xr3:uid="{96CBAC81-F692-4635-AA60-4FA91A7DF01C}" name="parking"/>
    <tableColumn id="7" xr3:uid="{D7F52E3A-520E-4B6E-9DF7-0E78FA8EDBFB}" name="location_score" dataDxfId="18"/>
    <tableColumn id="8" xr3:uid="{FC7CF0B7-71CE-4EDA-9983-326E9D5B9833}" name="price" dataDxfId="17"/>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8450574-D43B-4803-AE44-E8C61800350B}" name="Table2" displayName="Table2" ref="A1:H1021" tableType="queryTable" totalsRowShown="0">
  <autoFilter ref="A1:H1021" xr:uid="{28450574-D43B-4803-AE44-E8C61800350B}"/>
  <tableColumns count="8">
    <tableColumn id="1" xr3:uid="{4D68BEF7-FA0E-4CB7-89EF-9959FD8E2366}" uniqueName="1" name="area_sqft" queryTableFieldId="1"/>
    <tableColumn id="2" xr3:uid="{762F6C29-8676-4459-B5A2-9F2ACB23A509}" uniqueName="2" name="bedrooms" queryTableFieldId="2"/>
    <tableColumn id="3" xr3:uid="{0D445E98-0C90-4175-A890-D5C4566DBFEC}" uniqueName="3" name="bathrooms" queryTableFieldId="3"/>
    <tableColumn id="4" xr3:uid="{C011FE26-BD54-43B4-AC3F-E5E0ED2D8D44}" uniqueName="4" name="age" queryTableFieldId="4"/>
    <tableColumn id="5" xr3:uid="{B78B2399-0532-4749-8C58-1703D2AAC968}" uniqueName="5" name="distance_city_km" queryTableFieldId="5"/>
    <tableColumn id="6" xr3:uid="{F2975A62-FADB-4D5A-A5C8-760548CD60CA}" uniqueName="6" name="parking" queryTableFieldId="6"/>
    <tableColumn id="7" xr3:uid="{5B9BB3B6-0157-431A-AB6F-369D7F4C246F}" uniqueName="7" name="location_score" queryTableFieldId="7"/>
    <tableColumn id="8" xr3:uid="{50FB9220-6EB0-4BC9-8114-89D058237122}" uniqueName="8" name="price" queryTableField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56EE62-B0A1-4807-A72C-0AF9F4B32FB0}" name="Table4" displayName="Table4" ref="A7:C23" totalsRowShown="0" headerRowDxfId="24" dataDxfId="23">
  <autoFilter ref="A7:C23" xr:uid="{5F56EE62-B0A1-4807-A72C-0AF9F4B32FB0}"/>
  <tableColumns count="3">
    <tableColumn id="1" xr3:uid="{EA49173E-C43B-467A-BC1E-DB6C57CC0EAA}" name="Variable" dataDxfId="22"/>
    <tableColumn id="2" xr3:uid="{57D7A538-E27B-49BE-B354-6CF868D097AB}" name="Description" dataDxfId="21"/>
    <tableColumn id="3" xr3:uid="{7D8BC44F-711D-4A4C-A229-415590FBD9ED}" name="Value" dataDxfId="2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10.xml"/></Relationships>
</file>

<file path=xl/worksheets/_rels/sheet2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12.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5.xml"/></Relationships>
</file>

<file path=xl/worksheets/_rels/sheet3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9.xml"/></Relationships>
</file>

<file path=xl/worksheets/_rels/sheet34.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8.xml"/><Relationship Id="rId1" Type="http://schemas.openxmlformats.org/officeDocument/2006/relationships/pivotTable" Target="../pivotTables/pivotTable20.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21.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ivotTable" Target="../pivotTables/pivotTable22.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942D8-45EF-49A3-9E42-A942A580AEFB}">
  <sheetPr codeName="Sheet1"/>
  <dimension ref="A1:K1021"/>
  <sheetViews>
    <sheetView workbookViewId="0">
      <selection activeCell="D9" sqref="D9"/>
    </sheetView>
  </sheetViews>
  <sheetFormatPr defaultRowHeight="15" x14ac:dyDescent="0.25"/>
  <cols>
    <col min="1" max="1" width="11.42578125" customWidth="1"/>
    <col min="2" max="2" width="12.140625" customWidth="1"/>
    <col min="3" max="3" width="12.7109375" customWidth="1"/>
    <col min="4" max="4" width="13.140625" customWidth="1"/>
    <col min="5" max="5" width="18.42578125" customWidth="1"/>
    <col min="6" max="6" width="19.140625" customWidth="1"/>
    <col min="7" max="7" width="21.7109375" customWidth="1"/>
    <col min="8" max="8" width="13.7109375" customWidth="1"/>
    <col min="11" max="11" width="15.85546875" customWidth="1"/>
  </cols>
  <sheetData>
    <row r="1" spans="1:11" x14ac:dyDescent="0.25">
      <c r="A1" t="s">
        <v>0</v>
      </c>
      <c r="B1" t="s">
        <v>1</v>
      </c>
      <c r="C1" t="s">
        <v>2</v>
      </c>
      <c r="D1" t="s">
        <v>3</v>
      </c>
      <c r="E1" t="s">
        <v>4</v>
      </c>
      <c r="F1" t="s">
        <v>5</v>
      </c>
      <c r="G1" t="s">
        <v>6</v>
      </c>
      <c r="H1" t="s">
        <v>7</v>
      </c>
    </row>
    <row r="2" spans="1:11" x14ac:dyDescent="0.25">
      <c r="A2">
        <v>1260</v>
      </c>
      <c r="B2">
        <v>5</v>
      </c>
      <c r="C2">
        <v>3</v>
      </c>
      <c r="D2">
        <v>20</v>
      </c>
      <c r="E2" s="1">
        <v>33.672210190000001</v>
      </c>
      <c r="F2">
        <v>1</v>
      </c>
      <c r="G2" s="1">
        <v>8.5279797320000004</v>
      </c>
      <c r="H2" s="1">
        <v>776314.8406</v>
      </c>
    </row>
    <row r="3" spans="1:11" x14ac:dyDescent="0.25">
      <c r="A3">
        <v>4172</v>
      </c>
      <c r="B3">
        <v>3</v>
      </c>
      <c r="C3">
        <v>2</v>
      </c>
      <c r="D3">
        <v>37</v>
      </c>
      <c r="E3" s="1">
        <v>25.147171350000001</v>
      </c>
      <c r="F3">
        <v>1</v>
      </c>
      <c r="G3" s="1">
        <v>5.9401866849999996</v>
      </c>
      <c r="H3" s="1">
        <v>857410.74800000002</v>
      </c>
      <c r="K3" s="1"/>
    </row>
    <row r="4" spans="1:11" x14ac:dyDescent="0.25">
      <c r="A4">
        <v>3492</v>
      </c>
      <c r="B4">
        <v>4</v>
      </c>
      <c r="C4">
        <v>3</v>
      </c>
      <c r="D4">
        <v>14</v>
      </c>
      <c r="E4" s="1">
        <v>33.360115530000002</v>
      </c>
      <c r="F4">
        <v>1</v>
      </c>
      <c r="G4" s="1">
        <v>2.7027621320000002</v>
      </c>
      <c r="H4" s="1">
        <v>744482.5307</v>
      </c>
      <c r="K4" s="1"/>
    </row>
    <row r="5" spans="1:11" x14ac:dyDescent="0.25">
      <c r="A5">
        <v>866</v>
      </c>
      <c r="B5">
        <v>5</v>
      </c>
      <c r="C5">
        <v>2</v>
      </c>
      <c r="D5">
        <v>20</v>
      </c>
      <c r="E5" s="1">
        <v>8.3220946900000001</v>
      </c>
      <c r="F5">
        <v>2</v>
      </c>
      <c r="G5" s="1">
        <v>7.4834559870000001</v>
      </c>
      <c r="H5" s="1">
        <v>680143.67150000005</v>
      </c>
    </row>
    <row r="6" spans="1:11" x14ac:dyDescent="0.25">
      <c r="A6">
        <v>4826</v>
      </c>
      <c r="B6">
        <v>4</v>
      </c>
      <c r="C6">
        <v>2</v>
      </c>
      <c r="D6">
        <v>34</v>
      </c>
      <c r="E6" s="1">
        <v>30.837265200000001</v>
      </c>
      <c r="F6">
        <v>0</v>
      </c>
      <c r="G6" s="1">
        <v>5</v>
      </c>
      <c r="H6" s="1">
        <v>965024.28619999997</v>
      </c>
    </row>
    <row r="7" spans="1:11" x14ac:dyDescent="0.25">
      <c r="A7">
        <v>3844</v>
      </c>
      <c r="B7">
        <v>2</v>
      </c>
      <c r="C7">
        <v>4</v>
      </c>
      <c r="D7">
        <v>13</v>
      </c>
      <c r="E7" s="1">
        <v>28.40325447</v>
      </c>
      <c r="F7">
        <v>1</v>
      </c>
      <c r="G7" s="1">
        <v>6.4388168400000003</v>
      </c>
      <c r="H7" s="1">
        <v>934418.63489999995</v>
      </c>
    </row>
    <row r="8" spans="1:11" x14ac:dyDescent="0.25">
      <c r="A8">
        <v>3571</v>
      </c>
      <c r="B8">
        <v>2</v>
      </c>
      <c r="C8">
        <v>2</v>
      </c>
      <c r="D8">
        <v>35</v>
      </c>
      <c r="E8" s="1">
        <v>23.86175823</v>
      </c>
      <c r="F8">
        <v>0</v>
      </c>
      <c r="G8" s="1">
        <v>5</v>
      </c>
      <c r="H8" s="1">
        <v>753400.04370000004</v>
      </c>
    </row>
    <row r="9" spans="1:11" x14ac:dyDescent="0.25">
      <c r="A9">
        <v>3319</v>
      </c>
      <c r="B9">
        <v>1</v>
      </c>
      <c r="C9">
        <v>4</v>
      </c>
      <c r="D9">
        <v>11</v>
      </c>
      <c r="E9" s="1">
        <v>22.063506919999998</v>
      </c>
      <c r="F9">
        <v>0</v>
      </c>
      <c r="G9" s="1">
        <v>8.4583808539999996</v>
      </c>
      <c r="H9" s="1">
        <v>878730.99140000006</v>
      </c>
    </row>
    <row r="10" spans="1:11" x14ac:dyDescent="0.25">
      <c r="A10">
        <v>530</v>
      </c>
      <c r="B10">
        <v>5</v>
      </c>
      <c r="C10">
        <v>2</v>
      </c>
      <c r="D10">
        <v>16</v>
      </c>
      <c r="E10" s="1">
        <v>11.42096345</v>
      </c>
      <c r="F10">
        <v>2</v>
      </c>
      <c r="G10" s="1">
        <v>8.4660644410000003</v>
      </c>
      <c r="H10" s="1">
        <v>705401.27610000002</v>
      </c>
    </row>
    <row r="11" spans="1:11" x14ac:dyDescent="0.25">
      <c r="A11">
        <v>2085</v>
      </c>
      <c r="B11">
        <v>4</v>
      </c>
      <c r="C11">
        <v>1</v>
      </c>
      <c r="D11">
        <v>38</v>
      </c>
      <c r="E11" s="1">
        <v>28.666172079999999</v>
      </c>
      <c r="F11">
        <v>2</v>
      </c>
      <c r="G11" s="1">
        <v>7.3844993959999998</v>
      </c>
      <c r="H11" s="1">
        <v>682283.84539999999</v>
      </c>
    </row>
    <row r="12" spans="1:11" x14ac:dyDescent="0.25">
      <c r="A12">
        <v>1169</v>
      </c>
      <c r="B12">
        <v>3</v>
      </c>
      <c r="C12">
        <v>2</v>
      </c>
      <c r="D12">
        <v>8</v>
      </c>
      <c r="E12" s="1">
        <v>17.802283419999998</v>
      </c>
      <c r="F12">
        <v>1</v>
      </c>
      <c r="G12" s="1">
        <v>1.948612397</v>
      </c>
      <c r="H12" s="1">
        <v>362462.58409999998</v>
      </c>
    </row>
    <row r="13" spans="1:11" x14ac:dyDescent="0.25">
      <c r="A13">
        <v>2791</v>
      </c>
      <c r="B13">
        <v>2</v>
      </c>
      <c r="C13">
        <v>1</v>
      </c>
      <c r="D13">
        <v>34</v>
      </c>
      <c r="E13" s="1">
        <v>2.945759368</v>
      </c>
      <c r="F13">
        <v>1</v>
      </c>
      <c r="G13" s="1">
        <v>8.5496847569999996</v>
      </c>
      <c r="H13" s="1">
        <v>772316.98499999999</v>
      </c>
    </row>
    <row r="14" spans="1:11" x14ac:dyDescent="0.25">
      <c r="A14">
        <v>2833</v>
      </c>
      <c r="B14">
        <v>2</v>
      </c>
      <c r="C14">
        <v>1</v>
      </c>
      <c r="D14">
        <v>12</v>
      </c>
      <c r="E14" s="1">
        <v>11.293779049999999</v>
      </c>
      <c r="F14">
        <v>2</v>
      </c>
      <c r="G14" s="1">
        <v>7.0391168249999998</v>
      </c>
      <c r="H14" s="1">
        <v>640859.25100000005</v>
      </c>
    </row>
    <row r="15" spans="1:11" x14ac:dyDescent="0.25">
      <c r="A15">
        <v>1584</v>
      </c>
      <c r="B15">
        <v>3</v>
      </c>
      <c r="C15">
        <v>2</v>
      </c>
      <c r="D15">
        <v>14</v>
      </c>
      <c r="E15" s="1">
        <v>32.767749899999998</v>
      </c>
      <c r="F15">
        <v>0</v>
      </c>
      <c r="G15" s="1">
        <v>7.2732174939999998</v>
      </c>
      <c r="H15" s="1">
        <v>666551.65249999997</v>
      </c>
    </row>
    <row r="16" spans="1:11" x14ac:dyDescent="0.25">
      <c r="A16">
        <v>4955</v>
      </c>
      <c r="B16">
        <v>4</v>
      </c>
      <c r="C16">
        <v>1</v>
      </c>
      <c r="D16">
        <v>17</v>
      </c>
      <c r="E16" s="1">
        <v>29.848468990000001</v>
      </c>
      <c r="F16">
        <v>1</v>
      </c>
      <c r="G16" s="1">
        <v>4.2668455639999996</v>
      </c>
      <c r="H16" s="1">
        <v>856774.97210000001</v>
      </c>
    </row>
    <row r="17" spans="1:8" x14ac:dyDescent="0.25">
      <c r="A17">
        <v>3785</v>
      </c>
      <c r="B17">
        <v>4</v>
      </c>
      <c r="C17">
        <v>4</v>
      </c>
      <c r="D17">
        <v>32</v>
      </c>
      <c r="E17" s="1">
        <v>34.375746579999998</v>
      </c>
      <c r="F17">
        <v>0</v>
      </c>
      <c r="G17" s="1">
        <v>8.913516005</v>
      </c>
      <c r="H17" s="1">
        <v>1029467.1850000001</v>
      </c>
    </row>
    <row r="18" spans="1:8" x14ac:dyDescent="0.25">
      <c r="A18">
        <v>4517</v>
      </c>
      <c r="B18">
        <v>5</v>
      </c>
      <c r="C18">
        <v>3</v>
      </c>
      <c r="D18">
        <v>5</v>
      </c>
      <c r="E18" s="1">
        <v>18</v>
      </c>
      <c r="F18">
        <v>0</v>
      </c>
      <c r="G18" s="1">
        <v>7.5283444020000001</v>
      </c>
      <c r="H18" s="1">
        <v>1097667.4210000001</v>
      </c>
    </row>
    <row r="19" spans="1:8" x14ac:dyDescent="0.25">
      <c r="A19">
        <v>3304</v>
      </c>
      <c r="B19">
        <v>5</v>
      </c>
      <c r="C19">
        <v>2</v>
      </c>
      <c r="D19">
        <v>26</v>
      </c>
      <c r="E19" s="1">
        <v>9.0390975230000006</v>
      </c>
      <c r="F19">
        <v>2</v>
      </c>
      <c r="G19" s="1">
        <v>2.0133141989999999</v>
      </c>
      <c r="H19" s="1">
        <v>749123.37080000003</v>
      </c>
    </row>
    <row r="20" spans="1:8" x14ac:dyDescent="0.25">
      <c r="A20">
        <v>874</v>
      </c>
      <c r="B20">
        <v>1</v>
      </c>
      <c r="C20">
        <v>1</v>
      </c>
      <c r="D20">
        <v>22</v>
      </c>
      <c r="E20" s="1">
        <v>6.1171192139999997</v>
      </c>
      <c r="F20">
        <v>2</v>
      </c>
      <c r="G20" s="1">
        <v>4.6700023100000001</v>
      </c>
      <c r="H20" s="1">
        <v>316808.15230000002</v>
      </c>
    </row>
    <row r="21" spans="1:8" x14ac:dyDescent="0.25">
      <c r="A21">
        <v>1482</v>
      </c>
      <c r="B21">
        <v>2</v>
      </c>
      <c r="C21">
        <v>2</v>
      </c>
      <c r="D21">
        <v>26</v>
      </c>
      <c r="E21" s="1">
        <v>6.9485482010000004</v>
      </c>
      <c r="F21">
        <v>0</v>
      </c>
      <c r="G21" s="1">
        <v>8.977423258</v>
      </c>
      <c r="H21" s="1">
        <v>554776.3101</v>
      </c>
    </row>
    <row r="22" spans="1:8" x14ac:dyDescent="0.25">
      <c r="A22">
        <v>2958</v>
      </c>
      <c r="B22">
        <v>5</v>
      </c>
      <c r="C22">
        <v>4</v>
      </c>
      <c r="D22">
        <v>33</v>
      </c>
      <c r="E22" s="1">
        <v>1.182950213</v>
      </c>
      <c r="F22">
        <v>0</v>
      </c>
      <c r="G22" s="1">
        <v>1.424770315</v>
      </c>
      <c r="H22" s="1">
        <v>735211.36880000005</v>
      </c>
    </row>
    <row r="23" spans="1:8" x14ac:dyDescent="0.25">
      <c r="A23">
        <v>2447</v>
      </c>
      <c r="B23">
        <v>4</v>
      </c>
      <c r="C23">
        <v>2</v>
      </c>
      <c r="D23">
        <v>37</v>
      </c>
      <c r="E23" s="1">
        <v>13.978532830000001</v>
      </c>
      <c r="F23">
        <v>1</v>
      </c>
      <c r="G23" s="1">
        <v>9.6527495769999998</v>
      </c>
      <c r="H23" s="1">
        <v>815886.14500000002</v>
      </c>
    </row>
    <row r="24" spans="1:8" x14ac:dyDescent="0.25">
      <c r="A24">
        <v>3147</v>
      </c>
      <c r="B24">
        <v>3</v>
      </c>
      <c r="C24">
        <v>2</v>
      </c>
      <c r="D24">
        <v>13</v>
      </c>
      <c r="E24" s="1">
        <v>7.1042549770000001</v>
      </c>
      <c r="F24">
        <v>2</v>
      </c>
      <c r="G24" s="1">
        <v>7.1124631149999997</v>
      </c>
      <c r="H24" s="1">
        <v>879539.47820000001</v>
      </c>
    </row>
    <row r="25" spans="1:8" x14ac:dyDescent="0.25">
      <c r="A25">
        <v>2773</v>
      </c>
      <c r="B25">
        <v>4</v>
      </c>
      <c r="C25">
        <v>1</v>
      </c>
      <c r="D25">
        <v>35</v>
      </c>
      <c r="E25" s="1">
        <v>14.702113389999999</v>
      </c>
      <c r="F25">
        <v>1</v>
      </c>
      <c r="G25" s="1">
        <v>6.6823837990000001</v>
      </c>
      <c r="H25" s="1">
        <v>570308.46629999997</v>
      </c>
    </row>
    <row r="26" spans="1:8" x14ac:dyDescent="0.25">
      <c r="A26">
        <v>2206</v>
      </c>
      <c r="B26">
        <v>2</v>
      </c>
      <c r="C26">
        <v>4</v>
      </c>
      <c r="D26">
        <v>7</v>
      </c>
      <c r="E26" s="1">
        <v>32.757307900000001</v>
      </c>
      <c r="F26">
        <v>1</v>
      </c>
      <c r="G26" s="1">
        <v>3.435033308</v>
      </c>
      <c r="H26" s="1">
        <v>578756.41980000003</v>
      </c>
    </row>
    <row r="27" spans="1:8" x14ac:dyDescent="0.25">
      <c r="A27">
        <v>589</v>
      </c>
      <c r="B27">
        <v>4</v>
      </c>
      <c r="C27">
        <v>3</v>
      </c>
      <c r="D27">
        <v>34</v>
      </c>
      <c r="E27" s="1">
        <v>15.35363723</v>
      </c>
      <c r="F27">
        <v>1</v>
      </c>
      <c r="G27" s="1">
        <v>3.2391260989999999</v>
      </c>
      <c r="H27" s="1">
        <v>351336.14039999997</v>
      </c>
    </row>
    <row r="28" spans="1:8" x14ac:dyDescent="0.25">
      <c r="A28">
        <v>3134</v>
      </c>
      <c r="B28">
        <v>1</v>
      </c>
      <c r="C28">
        <v>3</v>
      </c>
      <c r="D28">
        <v>18</v>
      </c>
      <c r="E28" s="1">
        <v>30.790465149999999</v>
      </c>
      <c r="F28">
        <v>0</v>
      </c>
      <c r="G28" s="1">
        <v>9.4785239749999999</v>
      </c>
      <c r="H28" s="1">
        <v>783568.64969999995</v>
      </c>
    </row>
    <row r="29" spans="1:8" x14ac:dyDescent="0.25">
      <c r="A29">
        <v>3405</v>
      </c>
      <c r="B29">
        <v>2</v>
      </c>
      <c r="C29">
        <v>1</v>
      </c>
      <c r="D29">
        <v>29</v>
      </c>
      <c r="E29" s="1">
        <v>21.389914449999999</v>
      </c>
      <c r="F29">
        <v>1</v>
      </c>
      <c r="G29" s="1">
        <v>3.684452088</v>
      </c>
      <c r="H29" s="1">
        <v>572961.28000000003</v>
      </c>
    </row>
    <row r="30" spans="1:8" x14ac:dyDescent="0.25">
      <c r="A30">
        <v>2299</v>
      </c>
      <c r="B30">
        <v>3</v>
      </c>
      <c r="C30">
        <v>2</v>
      </c>
      <c r="D30">
        <v>13</v>
      </c>
      <c r="E30" s="1">
        <v>9.0260386359999991</v>
      </c>
      <c r="F30">
        <v>1</v>
      </c>
      <c r="G30" s="1">
        <v>7.9795476699999996</v>
      </c>
      <c r="H30" s="1">
        <v>808357.97290000005</v>
      </c>
    </row>
    <row r="31" spans="1:8" x14ac:dyDescent="0.25">
      <c r="A31">
        <v>1667</v>
      </c>
      <c r="B31">
        <v>3</v>
      </c>
      <c r="C31">
        <v>1</v>
      </c>
      <c r="D31">
        <v>19</v>
      </c>
      <c r="E31" s="1">
        <v>12.77698919</v>
      </c>
      <c r="F31">
        <v>0</v>
      </c>
      <c r="G31" s="1">
        <v>4.5380961839999996</v>
      </c>
      <c r="H31" s="1">
        <v>488267.21799999999</v>
      </c>
    </row>
    <row r="32" spans="1:8" x14ac:dyDescent="0.25">
      <c r="A32">
        <v>1928</v>
      </c>
      <c r="B32">
        <v>2</v>
      </c>
      <c r="C32">
        <v>1</v>
      </c>
      <c r="D32">
        <v>24</v>
      </c>
      <c r="E32" s="1">
        <v>3.395223986</v>
      </c>
      <c r="F32">
        <v>2</v>
      </c>
      <c r="G32" s="1">
        <v>2.253286637</v>
      </c>
      <c r="H32" s="1">
        <v>358140.04190000001</v>
      </c>
    </row>
    <row r="33" spans="1:8" x14ac:dyDescent="0.25">
      <c r="A33">
        <v>3602</v>
      </c>
      <c r="B33">
        <v>3</v>
      </c>
      <c r="C33">
        <v>1</v>
      </c>
      <c r="D33">
        <v>39</v>
      </c>
      <c r="E33" s="1">
        <v>12.00445948</v>
      </c>
      <c r="F33">
        <v>2</v>
      </c>
      <c r="G33" s="1">
        <v>1.0964376790000001</v>
      </c>
      <c r="H33" s="1">
        <v>613933.22519999999</v>
      </c>
    </row>
    <row r="34" spans="1:8" x14ac:dyDescent="0.25">
      <c r="A34">
        <v>3956</v>
      </c>
      <c r="B34">
        <v>1</v>
      </c>
      <c r="C34">
        <v>2</v>
      </c>
      <c r="D34">
        <v>23</v>
      </c>
      <c r="E34" s="1">
        <v>23.875162620000001</v>
      </c>
      <c r="F34">
        <v>1</v>
      </c>
      <c r="G34" s="1">
        <v>5</v>
      </c>
      <c r="H34" s="1">
        <v>630356.02650000004</v>
      </c>
    </row>
    <row r="35" spans="1:8" x14ac:dyDescent="0.25">
      <c r="A35">
        <v>2773</v>
      </c>
      <c r="B35">
        <v>1</v>
      </c>
      <c r="C35">
        <v>4</v>
      </c>
      <c r="D35">
        <v>13</v>
      </c>
      <c r="E35" s="1">
        <v>2.9878327059999998</v>
      </c>
      <c r="F35">
        <v>0</v>
      </c>
      <c r="G35" s="1">
        <v>9.7820093670000006</v>
      </c>
      <c r="H35" s="1">
        <v>985889.15560000006</v>
      </c>
    </row>
    <row r="36" spans="1:8" x14ac:dyDescent="0.25">
      <c r="A36">
        <v>1046</v>
      </c>
      <c r="B36">
        <v>2</v>
      </c>
      <c r="C36">
        <v>1</v>
      </c>
      <c r="D36">
        <v>25</v>
      </c>
      <c r="E36" s="1">
        <v>7.5863485920000002</v>
      </c>
      <c r="F36">
        <v>2</v>
      </c>
      <c r="G36" s="1">
        <v>4.3222257439999998</v>
      </c>
      <c r="H36" s="1">
        <v>319090.58409999998</v>
      </c>
    </row>
    <row r="37" spans="1:8" x14ac:dyDescent="0.25">
      <c r="A37">
        <v>2773</v>
      </c>
      <c r="B37">
        <v>5</v>
      </c>
      <c r="C37">
        <v>2</v>
      </c>
      <c r="D37">
        <v>37</v>
      </c>
      <c r="E37" s="1">
        <v>13.659715930000001</v>
      </c>
      <c r="F37">
        <v>1</v>
      </c>
      <c r="G37" s="1">
        <v>4.2147310060000001</v>
      </c>
      <c r="H37" s="1">
        <v>711034.23190000001</v>
      </c>
    </row>
    <row r="38" spans="1:8" x14ac:dyDescent="0.25">
      <c r="A38">
        <v>2835</v>
      </c>
      <c r="B38">
        <v>1</v>
      </c>
      <c r="C38">
        <v>4</v>
      </c>
      <c r="D38">
        <v>22</v>
      </c>
      <c r="E38" s="1">
        <v>34.380709029999998</v>
      </c>
      <c r="F38">
        <v>1</v>
      </c>
      <c r="G38" s="1">
        <v>4.096824561</v>
      </c>
      <c r="H38" s="1">
        <v>499322.49939999997</v>
      </c>
    </row>
    <row r="39" spans="1:8" x14ac:dyDescent="0.25">
      <c r="A39">
        <v>1000</v>
      </c>
      <c r="B39">
        <v>1</v>
      </c>
      <c r="C39">
        <v>1</v>
      </c>
      <c r="D39">
        <v>21</v>
      </c>
      <c r="E39" s="1">
        <v>27.57773289</v>
      </c>
      <c r="F39">
        <v>0</v>
      </c>
      <c r="G39" s="1">
        <v>5.6848945359999998</v>
      </c>
      <c r="H39" s="1">
        <v>364679.12770000001</v>
      </c>
    </row>
    <row r="40" spans="1:8" x14ac:dyDescent="0.25">
      <c r="A40">
        <v>2763</v>
      </c>
      <c r="B40">
        <v>3</v>
      </c>
      <c r="C40">
        <v>3</v>
      </c>
      <c r="D40">
        <v>18</v>
      </c>
      <c r="E40" s="1">
        <v>25.80529275</v>
      </c>
      <c r="F40">
        <v>1</v>
      </c>
      <c r="G40" s="1">
        <v>4.9659839510000001</v>
      </c>
      <c r="H40" s="1">
        <v>684788.03399999999</v>
      </c>
    </row>
    <row r="41" spans="1:8" x14ac:dyDescent="0.25">
      <c r="A41">
        <v>2461</v>
      </c>
      <c r="B41">
        <v>4</v>
      </c>
      <c r="C41">
        <v>4</v>
      </c>
      <c r="D41">
        <v>2</v>
      </c>
      <c r="E41" s="1">
        <v>4.5085879999999996</v>
      </c>
      <c r="F41">
        <v>2</v>
      </c>
      <c r="G41" s="1">
        <v>8.9192316409999997</v>
      </c>
      <c r="H41" s="1">
        <v>980296.65350000001</v>
      </c>
    </row>
    <row r="42" spans="1:8" x14ac:dyDescent="0.25">
      <c r="A42">
        <v>641</v>
      </c>
      <c r="B42">
        <v>2</v>
      </c>
      <c r="C42">
        <v>1</v>
      </c>
      <c r="D42">
        <v>18</v>
      </c>
      <c r="E42" s="1">
        <v>27.44435833</v>
      </c>
      <c r="F42">
        <v>0</v>
      </c>
      <c r="G42" s="1">
        <v>5</v>
      </c>
      <c r="H42" s="1">
        <v>386264.58179999999</v>
      </c>
    </row>
    <row r="43" spans="1:8" x14ac:dyDescent="0.25">
      <c r="A43">
        <v>2441</v>
      </c>
      <c r="B43">
        <v>2</v>
      </c>
      <c r="C43">
        <v>4</v>
      </c>
      <c r="D43">
        <v>8</v>
      </c>
      <c r="E43" s="1">
        <v>27.591774000000001</v>
      </c>
      <c r="F43">
        <v>2</v>
      </c>
      <c r="G43" s="1">
        <v>5.5698205439999997</v>
      </c>
      <c r="H43" s="1">
        <v>691606.01040000003</v>
      </c>
    </row>
    <row r="44" spans="1:8" x14ac:dyDescent="0.25">
      <c r="A44">
        <v>3224</v>
      </c>
      <c r="B44">
        <v>3</v>
      </c>
      <c r="C44">
        <v>4</v>
      </c>
      <c r="D44">
        <v>27</v>
      </c>
      <c r="E44" s="1">
        <v>21.238043000000001</v>
      </c>
      <c r="F44">
        <v>2</v>
      </c>
      <c r="G44" s="1">
        <v>2.245344352</v>
      </c>
      <c r="H44" s="1">
        <v>793724.86840000004</v>
      </c>
    </row>
    <row r="45" spans="1:8" x14ac:dyDescent="0.25">
      <c r="A45">
        <v>3012</v>
      </c>
      <c r="B45">
        <v>5</v>
      </c>
      <c r="C45">
        <v>4</v>
      </c>
      <c r="D45">
        <v>19</v>
      </c>
      <c r="E45" s="1">
        <v>34.667481479999999</v>
      </c>
      <c r="F45">
        <v>2</v>
      </c>
      <c r="G45" s="1">
        <v>9.8446558680000003</v>
      </c>
      <c r="H45" s="1">
        <v>1031748.398</v>
      </c>
    </row>
    <row r="46" spans="1:8" x14ac:dyDescent="0.25">
      <c r="A46">
        <v>1763</v>
      </c>
      <c r="B46">
        <v>2</v>
      </c>
      <c r="C46">
        <v>4</v>
      </c>
      <c r="D46">
        <v>6</v>
      </c>
      <c r="E46" s="1">
        <v>11.72125975</v>
      </c>
      <c r="F46">
        <v>1</v>
      </c>
      <c r="G46" s="1">
        <v>3.2497560179999998</v>
      </c>
      <c r="H46" s="1">
        <v>472618.68170000002</v>
      </c>
    </row>
    <row r="47" spans="1:8" x14ac:dyDescent="0.25">
      <c r="A47">
        <v>1878</v>
      </c>
      <c r="B47">
        <v>3</v>
      </c>
      <c r="C47">
        <v>4</v>
      </c>
      <c r="D47">
        <v>13</v>
      </c>
      <c r="E47" s="1">
        <v>32.973899459999998</v>
      </c>
      <c r="F47">
        <v>1</v>
      </c>
      <c r="G47" s="1">
        <v>1.6602766069999999</v>
      </c>
      <c r="H47" s="1">
        <v>639200.92409999995</v>
      </c>
    </row>
    <row r="48" spans="1:8" x14ac:dyDescent="0.25">
      <c r="A48">
        <v>2956</v>
      </c>
      <c r="B48">
        <v>3</v>
      </c>
      <c r="C48">
        <v>4</v>
      </c>
      <c r="D48">
        <v>8</v>
      </c>
      <c r="E48" s="1">
        <v>32.058223470000001</v>
      </c>
      <c r="F48">
        <v>2</v>
      </c>
      <c r="G48" s="1">
        <v>6.9683162410000001</v>
      </c>
      <c r="H48" s="1">
        <v>809909.70779999997</v>
      </c>
    </row>
    <row r="49" spans="1:8" x14ac:dyDescent="0.25">
      <c r="A49">
        <v>1175</v>
      </c>
      <c r="B49">
        <v>2</v>
      </c>
      <c r="C49">
        <v>1</v>
      </c>
      <c r="D49">
        <v>18</v>
      </c>
      <c r="E49" s="1">
        <v>0.89608276099999995</v>
      </c>
      <c r="F49">
        <v>2</v>
      </c>
      <c r="G49" s="1">
        <v>5</v>
      </c>
      <c r="H49" s="1">
        <v>441207.95419999998</v>
      </c>
    </row>
    <row r="50" spans="1:8" x14ac:dyDescent="0.25">
      <c r="A50">
        <v>4414</v>
      </c>
      <c r="B50">
        <v>5</v>
      </c>
      <c r="C50">
        <v>3</v>
      </c>
      <c r="D50">
        <v>13</v>
      </c>
      <c r="E50" s="1">
        <v>16.029020160000002</v>
      </c>
      <c r="F50">
        <v>0</v>
      </c>
      <c r="G50" s="1">
        <v>4.7363108860000001</v>
      </c>
      <c r="H50" s="1">
        <v>1000193.0110000001</v>
      </c>
    </row>
    <row r="51" spans="1:8" x14ac:dyDescent="0.25">
      <c r="A51">
        <v>434</v>
      </c>
      <c r="B51">
        <v>2</v>
      </c>
      <c r="C51">
        <v>2</v>
      </c>
      <c r="D51">
        <v>37</v>
      </c>
      <c r="E51" s="1">
        <v>34.210096040000003</v>
      </c>
      <c r="F51">
        <v>0</v>
      </c>
      <c r="G51" s="1">
        <v>4.7997301050000001</v>
      </c>
      <c r="H51" s="1">
        <v>233113.51420000001</v>
      </c>
    </row>
    <row r="52" spans="1:8" x14ac:dyDescent="0.25">
      <c r="A52">
        <v>3552</v>
      </c>
      <c r="B52">
        <v>4</v>
      </c>
      <c r="C52">
        <v>4</v>
      </c>
      <c r="D52">
        <v>35</v>
      </c>
      <c r="E52" s="1">
        <v>4.0576870029999998</v>
      </c>
      <c r="F52">
        <v>1</v>
      </c>
      <c r="G52" s="1">
        <v>8.0655752889999999</v>
      </c>
      <c r="H52" s="1">
        <v>971904.96200000006</v>
      </c>
    </row>
    <row r="53" spans="1:8" x14ac:dyDescent="0.25">
      <c r="A53">
        <v>2355</v>
      </c>
      <c r="B53">
        <v>3</v>
      </c>
      <c r="C53">
        <v>2</v>
      </c>
      <c r="D53">
        <v>39</v>
      </c>
      <c r="E53" s="1">
        <v>19.398571960000002</v>
      </c>
      <c r="F53">
        <v>1</v>
      </c>
      <c r="G53" s="1">
        <v>2.761413761</v>
      </c>
      <c r="H53" s="1">
        <v>413161.38860000001</v>
      </c>
    </row>
    <row r="54" spans="1:8" x14ac:dyDescent="0.25">
      <c r="A54">
        <v>1985</v>
      </c>
      <c r="B54">
        <v>2</v>
      </c>
      <c r="C54">
        <v>1</v>
      </c>
      <c r="D54">
        <v>16</v>
      </c>
      <c r="E54" s="1">
        <v>34.27403399</v>
      </c>
      <c r="F54">
        <v>0</v>
      </c>
      <c r="G54" s="1">
        <v>8.3822798709999997</v>
      </c>
      <c r="H54" s="1">
        <v>637497.23080000002</v>
      </c>
    </row>
    <row r="55" spans="1:8" x14ac:dyDescent="0.25">
      <c r="A55">
        <v>4343</v>
      </c>
      <c r="B55">
        <v>3</v>
      </c>
      <c r="C55">
        <v>4</v>
      </c>
      <c r="D55">
        <v>29</v>
      </c>
      <c r="E55" s="1">
        <v>19.664592129999999</v>
      </c>
      <c r="F55">
        <v>1</v>
      </c>
      <c r="G55" s="1">
        <v>6.8387240250000003</v>
      </c>
      <c r="H55" s="1">
        <v>832320.56949999998</v>
      </c>
    </row>
    <row r="56" spans="1:8" x14ac:dyDescent="0.25">
      <c r="A56">
        <v>3473</v>
      </c>
      <c r="B56">
        <v>5</v>
      </c>
      <c r="C56">
        <v>3</v>
      </c>
      <c r="D56">
        <v>8</v>
      </c>
      <c r="E56" s="1">
        <v>7.0486279529999996</v>
      </c>
      <c r="F56">
        <v>1</v>
      </c>
      <c r="G56" s="1">
        <v>4.7707279639999998</v>
      </c>
      <c r="H56" s="1">
        <v>896630.90800000005</v>
      </c>
    </row>
    <row r="57" spans="1:8" x14ac:dyDescent="0.25">
      <c r="A57">
        <v>1421</v>
      </c>
      <c r="B57">
        <v>1</v>
      </c>
      <c r="C57">
        <v>2</v>
      </c>
      <c r="D57">
        <v>32</v>
      </c>
      <c r="E57" s="1">
        <v>20.585321440000001</v>
      </c>
      <c r="F57">
        <v>2</v>
      </c>
      <c r="G57" s="1">
        <v>5.1222575490000004</v>
      </c>
      <c r="H57" s="1">
        <v>444248.97009999998</v>
      </c>
    </row>
    <row r="58" spans="1:8" x14ac:dyDescent="0.25">
      <c r="A58">
        <v>3861</v>
      </c>
      <c r="B58">
        <v>2</v>
      </c>
      <c r="C58">
        <v>4</v>
      </c>
      <c r="D58">
        <v>24</v>
      </c>
      <c r="E58" s="1">
        <v>7.5531998009999999</v>
      </c>
      <c r="F58">
        <v>0</v>
      </c>
      <c r="G58" s="1">
        <v>3.3098248649999999</v>
      </c>
      <c r="H58" s="1">
        <v>781203.20079999999</v>
      </c>
    </row>
    <row r="59" spans="1:8" x14ac:dyDescent="0.25">
      <c r="A59">
        <v>3013</v>
      </c>
      <c r="B59">
        <v>4</v>
      </c>
      <c r="C59">
        <v>1</v>
      </c>
      <c r="D59">
        <v>13</v>
      </c>
      <c r="E59" s="1">
        <v>18.429797069999999</v>
      </c>
      <c r="F59">
        <v>1</v>
      </c>
      <c r="G59" s="1">
        <v>7.7690289940000001</v>
      </c>
      <c r="H59" s="1">
        <v>952429.71609999996</v>
      </c>
    </row>
    <row r="60" spans="1:8" x14ac:dyDescent="0.25">
      <c r="A60">
        <v>4243</v>
      </c>
      <c r="B60">
        <v>5</v>
      </c>
      <c r="C60">
        <v>3</v>
      </c>
      <c r="D60">
        <v>10</v>
      </c>
      <c r="E60" s="1">
        <v>3.0544565179999998</v>
      </c>
      <c r="F60">
        <v>1</v>
      </c>
      <c r="G60" s="1">
        <v>5.6158726809999999</v>
      </c>
      <c r="H60" s="1">
        <v>1108219.6310000001</v>
      </c>
    </row>
    <row r="61" spans="1:8" x14ac:dyDescent="0.25">
      <c r="A61">
        <v>1900</v>
      </c>
      <c r="B61">
        <v>2</v>
      </c>
      <c r="C61">
        <v>2</v>
      </c>
      <c r="D61">
        <v>34</v>
      </c>
      <c r="E61" s="1">
        <v>21.38915209</v>
      </c>
      <c r="F61">
        <v>0</v>
      </c>
      <c r="G61" s="1">
        <v>3.887690885</v>
      </c>
      <c r="H61" s="1">
        <v>500638.56069999997</v>
      </c>
    </row>
    <row r="62" spans="1:8" x14ac:dyDescent="0.25">
      <c r="A62">
        <v>561</v>
      </c>
      <c r="B62">
        <v>5</v>
      </c>
      <c r="C62">
        <v>2</v>
      </c>
      <c r="D62">
        <v>13</v>
      </c>
      <c r="E62" s="1">
        <v>18.3292529</v>
      </c>
      <c r="F62">
        <v>1</v>
      </c>
      <c r="G62" s="1">
        <v>6.3644510419999998</v>
      </c>
      <c r="H62" s="1">
        <v>509010.73479999998</v>
      </c>
    </row>
    <row r="63" spans="1:8" x14ac:dyDescent="0.25">
      <c r="A63">
        <v>4697</v>
      </c>
      <c r="B63">
        <v>3</v>
      </c>
      <c r="C63">
        <v>4</v>
      </c>
      <c r="D63">
        <v>29</v>
      </c>
      <c r="E63" s="1">
        <v>26.035567220000001</v>
      </c>
      <c r="F63">
        <v>0</v>
      </c>
      <c r="G63" s="1">
        <v>5</v>
      </c>
      <c r="H63" s="1">
        <v>1173244.0689999999</v>
      </c>
    </row>
    <row r="64" spans="1:8" x14ac:dyDescent="0.25">
      <c r="A64">
        <v>2381</v>
      </c>
      <c r="B64">
        <v>1</v>
      </c>
      <c r="C64">
        <v>3</v>
      </c>
      <c r="D64">
        <v>3</v>
      </c>
      <c r="E64" s="1">
        <v>22.25916625</v>
      </c>
      <c r="F64">
        <v>1</v>
      </c>
      <c r="G64" s="1">
        <v>4.9173605169999997</v>
      </c>
      <c r="H64" s="1">
        <v>580370.33120000002</v>
      </c>
    </row>
    <row r="65" spans="1:8" x14ac:dyDescent="0.25">
      <c r="A65">
        <v>1395</v>
      </c>
      <c r="B65">
        <v>3</v>
      </c>
      <c r="C65">
        <v>3</v>
      </c>
      <c r="D65">
        <v>3</v>
      </c>
      <c r="E65" s="1">
        <v>19.46141626</v>
      </c>
      <c r="F65">
        <v>0</v>
      </c>
      <c r="G65" s="1">
        <v>9.2862226069999991</v>
      </c>
      <c r="H65" s="1">
        <v>716107.68969999999</v>
      </c>
    </row>
    <row r="66" spans="1:8" x14ac:dyDescent="0.25">
      <c r="A66">
        <v>3742</v>
      </c>
      <c r="B66">
        <v>2</v>
      </c>
      <c r="C66">
        <v>3</v>
      </c>
      <c r="D66">
        <v>27</v>
      </c>
      <c r="E66" s="1">
        <v>24.297370300000001</v>
      </c>
      <c r="F66">
        <v>1</v>
      </c>
      <c r="G66" s="1">
        <v>4.1051515590000003</v>
      </c>
      <c r="H66" s="1">
        <v>721200.77399999998</v>
      </c>
    </row>
    <row r="67" spans="1:8" x14ac:dyDescent="0.25">
      <c r="A67">
        <v>4951</v>
      </c>
      <c r="B67">
        <v>4</v>
      </c>
      <c r="C67">
        <v>3</v>
      </c>
      <c r="D67">
        <v>7</v>
      </c>
      <c r="E67" s="1">
        <v>5.4659960180000002</v>
      </c>
      <c r="F67">
        <v>2</v>
      </c>
      <c r="G67" s="1">
        <v>1.492594362</v>
      </c>
      <c r="H67" s="1">
        <v>968885.35719999997</v>
      </c>
    </row>
    <row r="68" spans="1:8" x14ac:dyDescent="0.25">
      <c r="A68">
        <v>4198</v>
      </c>
      <c r="B68">
        <v>5</v>
      </c>
      <c r="C68">
        <v>1</v>
      </c>
      <c r="D68">
        <v>1</v>
      </c>
      <c r="E68" s="1">
        <v>21.039908310000001</v>
      </c>
      <c r="F68">
        <v>2</v>
      </c>
      <c r="G68" s="1">
        <v>2.8381789569999998</v>
      </c>
      <c r="H68" s="1">
        <v>888768.87540000002</v>
      </c>
    </row>
    <row r="69" spans="1:8" x14ac:dyDescent="0.25">
      <c r="A69">
        <v>1675</v>
      </c>
      <c r="B69">
        <v>1</v>
      </c>
      <c r="C69">
        <v>3</v>
      </c>
      <c r="D69">
        <v>21</v>
      </c>
      <c r="E69" s="1">
        <v>6.4378157969999998</v>
      </c>
      <c r="F69">
        <v>2</v>
      </c>
      <c r="G69" s="1">
        <v>4.7682562900000001</v>
      </c>
      <c r="H69" s="1">
        <v>436149.83779999998</v>
      </c>
    </row>
    <row r="70" spans="1:8" x14ac:dyDescent="0.25">
      <c r="A70">
        <v>1416</v>
      </c>
      <c r="B70">
        <v>5</v>
      </c>
      <c r="C70">
        <v>2</v>
      </c>
      <c r="D70">
        <v>15</v>
      </c>
      <c r="E70" s="1">
        <v>32.430516169999997</v>
      </c>
      <c r="F70">
        <v>1</v>
      </c>
      <c r="G70" s="1">
        <v>2.9767143570000001</v>
      </c>
      <c r="H70" s="1">
        <v>557465.74569999997</v>
      </c>
    </row>
    <row r="71" spans="1:8" x14ac:dyDescent="0.25">
      <c r="A71">
        <v>737</v>
      </c>
      <c r="B71">
        <v>2</v>
      </c>
      <c r="C71">
        <v>2</v>
      </c>
      <c r="D71">
        <v>28</v>
      </c>
      <c r="E71" s="1">
        <v>2.857526617</v>
      </c>
      <c r="F71">
        <v>1</v>
      </c>
      <c r="G71" s="1">
        <v>1.0020433440000001</v>
      </c>
      <c r="H71" s="1">
        <v>196356.0667</v>
      </c>
    </row>
    <row r="72" spans="1:8" x14ac:dyDescent="0.25">
      <c r="A72">
        <v>1278</v>
      </c>
      <c r="B72">
        <v>5</v>
      </c>
      <c r="C72">
        <v>1</v>
      </c>
      <c r="D72">
        <v>29</v>
      </c>
      <c r="E72" s="1">
        <v>15.34792886</v>
      </c>
      <c r="F72">
        <v>2</v>
      </c>
      <c r="G72" s="1">
        <v>9.2350138400000006</v>
      </c>
      <c r="H72" s="1">
        <v>732572.8162</v>
      </c>
    </row>
    <row r="73" spans="1:8" x14ac:dyDescent="0.25">
      <c r="A73">
        <v>1476</v>
      </c>
      <c r="B73">
        <v>1</v>
      </c>
      <c r="C73">
        <v>2</v>
      </c>
      <c r="D73">
        <v>11</v>
      </c>
      <c r="E73" s="1">
        <v>24.50501298</v>
      </c>
      <c r="F73">
        <v>2</v>
      </c>
      <c r="G73" s="1">
        <v>8.5949147010000004</v>
      </c>
      <c r="H73" s="1">
        <v>556991.56519999995</v>
      </c>
    </row>
    <row r="74" spans="1:8" x14ac:dyDescent="0.25">
      <c r="A74">
        <v>4393</v>
      </c>
      <c r="B74">
        <v>2</v>
      </c>
      <c r="C74">
        <v>2</v>
      </c>
      <c r="D74">
        <v>34</v>
      </c>
      <c r="E74" s="1">
        <v>18</v>
      </c>
      <c r="F74">
        <v>0</v>
      </c>
      <c r="G74" s="1">
        <v>7.6806300829999996</v>
      </c>
      <c r="H74" s="1">
        <v>890989.24129999999</v>
      </c>
    </row>
    <row r="75" spans="1:8" x14ac:dyDescent="0.25">
      <c r="A75">
        <v>779</v>
      </c>
      <c r="B75">
        <v>5</v>
      </c>
      <c r="C75">
        <v>3</v>
      </c>
      <c r="D75">
        <v>10</v>
      </c>
      <c r="E75" s="1">
        <v>3.6772862370000001</v>
      </c>
      <c r="F75">
        <v>0</v>
      </c>
      <c r="G75" s="1">
        <v>2.510331361</v>
      </c>
      <c r="H75" s="1">
        <v>546689.47380000004</v>
      </c>
    </row>
    <row r="76" spans="1:8" x14ac:dyDescent="0.25">
      <c r="A76">
        <v>892</v>
      </c>
      <c r="B76">
        <v>4</v>
      </c>
      <c r="C76">
        <v>2</v>
      </c>
      <c r="D76">
        <v>20</v>
      </c>
      <c r="E76" s="1">
        <v>19.591576060000001</v>
      </c>
      <c r="F76">
        <v>0</v>
      </c>
      <c r="G76" s="1">
        <v>2.0832721859999999</v>
      </c>
      <c r="H76" s="1">
        <v>328973.83740000002</v>
      </c>
    </row>
    <row r="77" spans="1:8" x14ac:dyDescent="0.25">
      <c r="A77">
        <v>2462</v>
      </c>
      <c r="B77">
        <v>2</v>
      </c>
      <c r="C77">
        <v>1</v>
      </c>
      <c r="D77">
        <v>20</v>
      </c>
      <c r="E77" s="1">
        <v>22.636300850000001</v>
      </c>
      <c r="F77">
        <v>2</v>
      </c>
      <c r="G77" s="1">
        <v>1.6084427450000001</v>
      </c>
      <c r="H77" s="1">
        <v>513083.0122</v>
      </c>
    </row>
    <row r="78" spans="1:8" x14ac:dyDescent="0.25">
      <c r="A78">
        <v>4284</v>
      </c>
      <c r="B78">
        <v>2</v>
      </c>
      <c r="C78">
        <v>3</v>
      </c>
      <c r="D78">
        <v>4</v>
      </c>
      <c r="E78" s="1">
        <v>24.780834729999999</v>
      </c>
      <c r="F78">
        <v>2</v>
      </c>
      <c r="G78" s="1">
        <v>7.5162626990000003</v>
      </c>
      <c r="H78" s="1">
        <v>868504.95239999995</v>
      </c>
    </row>
    <row r="79" spans="1:8" x14ac:dyDescent="0.25">
      <c r="A79">
        <v>464</v>
      </c>
      <c r="B79">
        <v>4</v>
      </c>
      <c r="C79">
        <v>4</v>
      </c>
      <c r="D79">
        <v>19</v>
      </c>
      <c r="E79" s="1">
        <v>13.3774636</v>
      </c>
      <c r="F79">
        <v>2</v>
      </c>
      <c r="G79" s="1">
        <v>9.3592716459999998</v>
      </c>
      <c r="H79" s="1">
        <v>662101.28630000004</v>
      </c>
    </row>
    <row r="80" spans="1:8" x14ac:dyDescent="0.25">
      <c r="A80">
        <v>2968</v>
      </c>
      <c r="B80">
        <v>3</v>
      </c>
      <c r="C80">
        <v>3</v>
      </c>
      <c r="D80">
        <v>36</v>
      </c>
      <c r="E80" s="1">
        <v>19.946269000000001</v>
      </c>
      <c r="F80">
        <v>0</v>
      </c>
      <c r="G80" s="1">
        <v>4.8748223880000001</v>
      </c>
      <c r="H80" s="1">
        <v>707744.08649999998</v>
      </c>
    </row>
    <row r="81" spans="1:8" x14ac:dyDescent="0.25">
      <c r="A81">
        <v>2427</v>
      </c>
      <c r="B81">
        <v>1</v>
      </c>
      <c r="C81">
        <v>1</v>
      </c>
      <c r="D81">
        <v>2</v>
      </c>
      <c r="E81" s="1">
        <v>16.048683390000001</v>
      </c>
      <c r="F81">
        <v>1</v>
      </c>
      <c r="G81" s="1">
        <v>2.0722660479999999</v>
      </c>
      <c r="H81" s="1">
        <v>455273.32520000002</v>
      </c>
    </row>
    <row r="82" spans="1:8" x14ac:dyDescent="0.25">
      <c r="A82">
        <v>3095</v>
      </c>
      <c r="B82">
        <v>3</v>
      </c>
      <c r="C82">
        <v>3</v>
      </c>
      <c r="D82">
        <v>32</v>
      </c>
      <c r="E82" s="1">
        <v>23.685933339999998</v>
      </c>
      <c r="F82">
        <v>2</v>
      </c>
      <c r="G82" s="1">
        <v>5.611535387</v>
      </c>
      <c r="H82" s="1">
        <v>731308.72939999995</v>
      </c>
    </row>
    <row r="83" spans="1:8" x14ac:dyDescent="0.25">
      <c r="A83">
        <v>1895</v>
      </c>
      <c r="B83">
        <v>5</v>
      </c>
      <c r="C83">
        <v>3</v>
      </c>
      <c r="D83">
        <v>8</v>
      </c>
      <c r="E83" s="1">
        <v>20.63271537</v>
      </c>
      <c r="F83">
        <v>1</v>
      </c>
      <c r="G83" s="1">
        <v>4.1394871670000004</v>
      </c>
      <c r="H83" s="1">
        <v>683160.87849999999</v>
      </c>
    </row>
    <row r="84" spans="1:8" x14ac:dyDescent="0.25">
      <c r="A84">
        <v>791</v>
      </c>
      <c r="B84">
        <v>4</v>
      </c>
      <c r="C84">
        <v>1</v>
      </c>
      <c r="D84">
        <v>8</v>
      </c>
      <c r="E84" s="1">
        <v>18.638589570000001</v>
      </c>
      <c r="F84">
        <v>1</v>
      </c>
      <c r="G84" s="1">
        <v>4.3734243189999997</v>
      </c>
      <c r="H84" s="1">
        <v>476426.59269999998</v>
      </c>
    </row>
    <row r="85" spans="1:8" x14ac:dyDescent="0.25">
      <c r="A85">
        <v>4914</v>
      </c>
      <c r="B85">
        <v>3</v>
      </c>
      <c r="C85">
        <v>3</v>
      </c>
      <c r="D85">
        <v>3</v>
      </c>
      <c r="E85" s="1">
        <v>9.1085906560000005</v>
      </c>
      <c r="F85">
        <v>1</v>
      </c>
      <c r="G85" s="1">
        <v>6.5919756170000001</v>
      </c>
      <c r="H85" s="1">
        <v>1062142.665</v>
      </c>
    </row>
    <row r="86" spans="1:8" x14ac:dyDescent="0.25">
      <c r="A86">
        <v>4874</v>
      </c>
      <c r="B86">
        <v>2</v>
      </c>
      <c r="C86">
        <v>1</v>
      </c>
      <c r="D86">
        <v>34</v>
      </c>
      <c r="E86" s="1">
        <v>0.56963886200000002</v>
      </c>
      <c r="F86">
        <v>0</v>
      </c>
      <c r="G86" s="1">
        <v>7.4684630189999996</v>
      </c>
      <c r="H86" s="1">
        <v>1014423.125</v>
      </c>
    </row>
    <row r="87" spans="1:8" x14ac:dyDescent="0.25">
      <c r="A87">
        <v>3961</v>
      </c>
      <c r="B87">
        <v>5</v>
      </c>
      <c r="C87">
        <v>1</v>
      </c>
      <c r="D87">
        <v>16</v>
      </c>
      <c r="E87" s="1">
        <v>6.5058177979999998</v>
      </c>
      <c r="F87">
        <v>1</v>
      </c>
      <c r="G87" s="1">
        <v>1.9954323899999999</v>
      </c>
      <c r="H87" s="1">
        <v>835346.0246</v>
      </c>
    </row>
    <row r="88" spans="1:8" x14ac:dyDescent="0.25">
      <c r="A88">
        <v>2678</v>
      </c>
      <c r="B88">
        <v>5</v>
      </c>
      <c r="C88">
        <v>4</v>
      </c>
      <c r="D88">
        <v>33</v>
      </c>
      <c r="E88" s="1">
        <v>4.5387784289999997</v>
      </c>
      <c r="F88">
        <v>2</v>
      </c>
      <c r="G88" s="1">
        <v>1.3203120770000001</v>
      </c>
      <c r="H88" s="1">
        <v>715005.53300000005</v>
      </c>
    </row>
    <row r="89" spans="1:8" x14ac:dyDescent="0.25">
      <c r="A89">
        <v>3499</v>
      </c>
      <c r="B89">
        <v>3</v>
      </c>
      <c r="C89">
        <v>2</v>
      </c>
      <c r="D89">
        <v>23</v>
      </c>
      <c r="E89" s="1">
        <v>15.993423699999999</v>
      </c>
      <c r="F89">
        <v>1</v>
      </c>
      <c r="G89" s="1">
        <v>9.9489727240000008</v>
      </c>
      <c r="H89" s="1">
        <v>909540.93720000004</v>
      </c>
    </row>
    <row r="90" spans="1:8" x14ac:dyDescent="0.25">
      <c r="A90">
        <v>600</v>
      </c>
      <c r="B90">
        <v>3</v>
      </c>
      <c r="C90">
        <v>2</v>
      </c>
      <c r="D90">
        <v>31</v>
      </c>
      <c r="E90" s="1">
        <v>18</v>
      </c>
      <c r="F90">
        <v>1</v>
      </c>
      <c r="G90" s="1">
        <v>3.0945551400000002</v>
      </c>
      <c r="H90" s="1">
        <v>307378.42509999999</v>
      </c>
    </row>
    <row r="91" spans="1:8" x14ac:dyDescent="0.25">
      <c r="A91">
        <v>3504</v>
      </c>
      <c r="B91">
        <v>4</v>
      </c>
      <c r="C91">
        <v>3</v>
      </c>
      <c r="D91">
        <v>0</v>
      </c>
      <c r="E91" s="1">
        <v>7.8514328000000004</v>
      </c>
      <c r="F91">
        <v>2</v>
      </c>
      <c r="G91" s="1">
        <v>1.484474724</v>
      </c>
      <c r="H91" s="1">
        <v>743058.54229999997</v>
      </c>
    </row>
    <row r="92" spans="1:8" x14ac:dyDescent="0.25">
      <c r="A92">
        <v>4998</v>
      </c>
      <c r="B92">
        <v>1</v>
      </c>
      <c r="C92">
        <v>3</v>
      </c>
      <c r="D92">
        <v>7</v>
      </c>
      <c r="E92" s="1">
        <v>18</v>
      </c>
      <c r="F92">
        <v>0</v>
      </c>
      <c r="G92" s="1">
        <v>2.7088779619999999</v>
      </c>
      <c r="H92" s="1">
        <v>734488.84499999997</v>
      </c>
    </row>
    <row r="93" spans="1:8" x14ac:dyDescent="0.25">
      <c r="A93">
        <v>2854</v>
      </c>
      <c r="B93">
        <v>3</v>
      </c>
      <c r="C93">
        <v>4</v>
      </c>
      <c r="D93">
        <v>22</v>
      </c>
      <c r="E93" s="1">
        <v>0.73053345800000002</v>
      </c>
      <c r="F93">
        <v>2</v>
      </c>
      <c r="G93" s="1">
        <v>1.3506206169999999</v>
      </c>
      <c r="H93" s="1">
        <v>639417.23369999998</v>
      </c>
    </row>
    <row r="94" spans="1:8" x14ac:dyDescent="0.25">
      <c r="A94">
        <v>4045</v>
      </c>
      <c r="B94">
        <v>3</v>
      </c>
      <c r="C94">
        <v>4</v>
      </c>
      <c r="D94">
        <v>39</v>
      </c>
      <c r="E94" s="1">
        <v>27.144385020000001</v>
      </c>
      <c r="F94">
        <v>2</v>
      </c>
      <c r="G94" s="1">
        <v>4.5262980519999996</v>
      </c>
      <c r="H94" s="1">
        <v>790853.05660000001</v>
      </c>
    </row>
    <row r="95" spans="1:8" x14ac:dyDescent="0.25">
      <c r="A95">
        <v>1204</v>
      </c>
      <c r="B95">
        <v>2</v>
      </c>
      <c r="C95">
        <v>4</v>
      </c>
      <c r="D95">
        <v>11</v>
      </c>
      <c r="E95" s="1">
        <v>22.069564549999999</v>
      </c>
      <c r="F95">
        <v>0</v>
      </c>
      <c r="G95" s="1">
        <v>8.2216160600000006</v>
      </c>
      <c r="H95" s="1">
        <v>671010.48710000003</v>
      </c>
    </row>
    <row r="96" spans="1:8" x14ac:dyDescent="0.25">
      <c r="A96">
        <v>3131</v>
      </c>
      <c r="B96">
        <v>5</v>
      </c>
      <c r="C96">
        <v>1</v>
      </c>
      <c r="D96">
        <v>20</v>
      </c>
      <c r="E96" s="1">
        <v>13.387640640000001</v>
      </c>
      <c r="F96">
        <v>2</v>
      </c>
      <c r="G96" s="1">
        <v>4.0712000479999997</v>
      </c>
      <c r="H96" s="1">
        <v>722976.96279999998</v>
      </c>
    </row>
    <row r="97" spans="1:8" x14ac:dyDescent="0.25">
      <c r="A97">
        <v>3173</v>
      </c>
      <c r="B97">
        <v>1</v>
      </c>
      <c r="C97">
        <v>4</v>
      </c>
      <c r="D97">
        <v>14</v>
      </c>
      <c r="E97" s="1">
        <v>2.2418685819999999</v>
      </c>
      <c r="F97">
        <v>1</v>
      </c>
      <c r="G97" s="1">
        <v>4.9976506619999999</v>
      </c>
      <c r="H97" s="1">
        <v>805255.25419999997</v>
      </c>
    </row>
    <row r="98" spans="1:8" x14ac:dyDescent="0.25">
      <c r="A98">
        <v>1970</v>
      </c>
      <c r="B98">
        <v>2</v>
      </c>
      <c r="C98">
        <v>4</v>
      </c>
      <c r="D98">
        <v>18</v>
      </c>
      <c r="E98" s="1">
        <v>22.148286729999999</v>
      </c>
      <c r="F98">
        <v>2</v>
      </c>
      <c r="G98" s="1">
        <v>7.0802809619999998</v>
      </c>
      <c r="H98" s="1">
        <v>625572.17550000001</v>
      </c>
    </row>
    <row r="99" spans="1:8" x14ac:dyDescent="0.25">
      <c r="A99">
        <v>2773</v>
      </c>
      <c r="B99">
        <v>4</v>
      </c>
      <c r="C99">
        <v>3</v>
      </c>
      <c r="D99">
        <v>25</v>
      </c>
      <c r="E99" s="1">
        <v>13.80366619</v>
      </c>
      <c r="F99">
        <v>1</v>
      </c>
      <c r="G99" s="1">
        <v>5.5800466310000001</v>
      </c>
      <c r="H99" s="1">
        <v>824261.4828</v>
      </c>
    </row>
    <row r="100" spans="1:8" x14ac:dyDescent="0.25">
      <c r="A100">
        <v>4240</v>
      </c>
      <c r="B100">
        <v>4</v>
      </c>
      <c r="C100">
        <v>4</v>
      </c>
      <c r="D100">
        <v>28</v>
      </c>
      <c r="E100" s="1">
        <v>32.801216310000001</v>
      </c>
      <c r="F100">
        <v>2</v>
      </c>
      <c r="G100" s="1">
        <v>8.7530111739999992</v>
      </c>
      <c r="H100" s="1">
        <v>1113311.588</v>
      </c>
    </row>
    <row r="101" spans="1:8" x14ac:dyDescent="0.25">
      <c r="A101">
        <v>1428</v>
      </c>
      <c r="B101">
        <v>3</v>
      </c>
      <c r="C101">
        <v>1</v>
      </c>
      <c r="D101">
        <v>21</v>
      </c>
      <c r="E101" s="1">
        <v>19.198657579999999</v>
      </c>
      <c r="F101">
        <v>0</v>
      </c>
      <c r="G101" s="1">
        <v>8.7943210749999992</v>
      </c>
      <c r="H101" s="1">
        <v>603802.83510000003</v>
      </c>
    </row>
    <row r="102" spans="1:8" x14ac:dyDescent="0.25">
      <c r="A102">
        <v>902</v>
      </c>
      <c r="B102">
        <v>3</v>
      </c>
      <c r="C102">
        <v>1</v>
      </c>
      <c r="D102">
        <v>39</v>
      </c>
      <c r="E102" s="1">
        <v>32.917977139999998</v>
      </c>
      <c r="F102">
        <v>0</v>
      </c>
      <c r="G102" s="1">
        <v>1.0891962589999999</v>
      </c>
      <c r="H102" s="1">
        <v>247054.3168</v>
      </c>
    </row>
    <row r="103" spans="1:8" x14ac:dyDescent="0.25">
      <c r="A103">
        <v>4893</v>
      </c>
      <c r="B103">
        <v>4</v>
      </c>
      <c r="C103">
        <v>3</v>
      </c>
      <c r="D103">
        <v>20</v>
      </c>
      <c r="E103" s="1">
        <v>8.1066874250000005</v>
      </c>
      <c r="F103">
        <v>2</v>
      </c>
      <c r="G103" s="1">
        <v>8.0024167580000007</v>
      </c>
      <c r="H103" s="1">
        <v>1083637.459</v>
      </c>
    </row>
    <row r="104" spans="1:8" x14ac:dyDescent="0.25">
      <c r="A104">
        <v>1270</v>
      </c>
      <c r="B104">
        <v>3</v>
      </c>
      <c r="C104">
        <v>4</v>
      </c>
      <c r="D104">
        <v>37</v>
      </c>
      <c r="E104" s="1">
        <v>25.53754391</v>
      </c>
      <c r="F104">
        <v>0</v>
      </c>
      <c r="G104" s="1">
        <v>5.1466024020000001</v>
      </c>
      <c r="H104" s="1">
        <v>588563.66520000005</v>
      </c>
    </row>
    <row r="105" spans="1:8" x14ac:dyDescent="0.25">
      <c r="A105">
        <v>4888</v>
      </c>
      <c r="B105">
        <v>1</v>
      </c>
      <c r="C105">
        <v>4</v>
      </c>
      <c r="D105">
        <v>19</v>
      </c>
      <c r="E105" s="1">
        <v>21.79509122</v>
      </c>
      <c r="F105">
        <v>2</v>
      </c>
      <c r="G105" s="1">
        <v>9.8995648719999991</v>
      </c>
      <c r="H105" s="1">
        <v>1082557.4210000001</v>
      </c>
    </row>
    <row r="106" spans="1:8" x14ac:dyDescent="0.25">
      <c r="A106">
        <v>606</v>
      </c>
      <c r="B106">
        <v>3</v>
      </c>
      <c r="C106">
        <v>1</v>
      </c>
      <c r="D106">
        <v>28</v>
      </c>
      <c r="E106" s="1">
        <v>26.009583930000002</v>
      </c>
      <c r="F106">
        <v>0</v>
      </c>
      <c r="G106" s="1">
        <v>5.3490886829999997</v>
      </c>
      <c r="H106" s="1">
        <v>341848.60100000002</v>
      </c>
    </row>
    <row r="107" spans="1:8" x14ac:dyDescent="0.25">
      <c r="A107">
        <v>1884</v>
      </c>
      <c r="B107">
        <v>5</v>
      </c>
      <c r="C107">
        <v>4</v>
      </c>
      <c r="D107">
        <v>3</v>
      </c>
      <c r="E107" s="1">
        <v>7.9060413069999997</v>
      </c>
      <c r="F107">
        <v>1</v>
      </c>
      <c r="G107" s="1">
        <v>9.8820635079999999</v>
      </c>
      <c r="H107" s="1">
        <v>958544.3898</v>
      </c>
    </row>
    <row r="108" spans="1:8" x14ac:dyDescent="0.25">
      <c r="A108">
        <v>1263</v>
      </c>
      <c r="B108">
        <v>3</v>
      </c>
      <c r="C108">
        <v>4</v>
      </c>
      <c r="D108">
        <v>6</v>
      </c>
      <c r="E108" s="1">
        <v>23.442310809999999</v>
      </c>
      <c r="F108">
        <v>2</v>
      </c>
      <c r="G108" s="1">
        <v>7.7911242510000003</v>
      </c>
      <c r="H108" s="1">
        <v>726487.46730000002</v>
      </c>
    </row>
    <row r="109" spans="1:8" x14ac:dyDescent="0.25">
      <c r="A109">
        <v>3190</v>
      </c>
      <c r="B109">
        <v>3</v>
      </c>
      <c r="C109">
        <v>4</v>
      </c>
      <c r="D109">
        <v>20</v>
      </c>
      <c r="E109" s="1">
        <v>17.682393560000001</v>
      </c>
      <c r="F109">
        <v>1</v>
      </c>
      <c r="G109" s="1">
        <v>3.237443962</v>
      </c>
      <c r="H109" s="1">
        <v>622551.40350000001</v>
      </c>
    </row>
    <row r="110" spans="1:8" x14ac:dyDescent="0.25">
      <c r="A110">
        <v>963</v>
      </c>
      <c r="B110">
        <v>1</v>
      </c>
      <c r="C110">
        <v>2</v>
      </c>
      <c r="D110">
        <v>27</v>
      </c>
      <c r="E110" s="1">
        <v>26.127461629999999</v>
      </c>
      <c r="F110">
        <v>1</v>
      </c>
      <c r="G110" s="1">
        <v>5.8455548139999998</v>
      </c>
      <c r="H110" s="1">
        <v>328723.11560000002</v>
      </c>
    </row>
    <row r="111" spans="1:8" x14ac:dyDescent="0.25">
      <c r="A111">
        <v>4591</v>
      </c>
      <c r="B111">
        <v>2</v>
      </c>
      <c r="C111">
        <v>3</v>
      </c>
      <c r="D111">
        <v>3</v>
      </c>
      <c r="E111" s="1">
        <v>11.78304022</v>
      </c>
      <c r="F111">
        <v>2</v>
      </c>
      <c r="G111" s="1">
        <v>9.9292207549999993</v>
      </c>
      <c r="H111" s="1">
        <v>1103337.44</v>
      </c>
    </row>
    <row r="112" spans="1:8" x14ac:dyDescent="0.25">
      <c r="A112">
        <v>2157</v>
      </c>
      <c r="B112">
        <v>2</v>
      </c>
      <c r="C112">
        <v>2</v>
      </c>
      <c r="D112">
        <v>21</v>
      </c>
      <c r="E112" s="1">
        <v>31.206967379999998</v>
      </c>
      <c r="F112">
        <v>1</v>
      </c>
      <c r="G112" s="1">
        <v>8.7177754699999994</v>
      </c>
      <c r="H112" s="1">
        <v>619892.4621</v>
      </c>
    </row>
    <row r="113" spans="1:8" x14ac:dyDescent="0.25">
      <c r="A113">
        <v>2078</v>
      </c>
      <c r="B113">
        <v>5</v>
      </c>
      <c r="C113">
        <v>3</v>
      </c>
      <c r="D113">
        <v>11</v>
      </c>
      <c r="E113" s="1">
        <v>3.408395354</v>
      </c>
      <c r="F113">
        <v>2</v>
      </c>
      <c r="G113" s="1">
        <v>1.876302044</v>
      </c>
      <c r="H113" s="1">
        <v>728326.68409999995</v>
      </c>
    </row>
    <row r="114" spans="1:8" x14ac:dyDescent="0.25">
      <c r="A114">
        <v>3642</v>
      </c>
      <c r="B114">
        <v>1</v>
      </c>
      <c r="C114">
        <v>1</v>
      </c>
      <c r="D114">
        <v>2</v>
      </c>
      <c r="E114" s="1">
        <v>28.348031500000001</v>
      </c>
      <c r="F114">
        <v>1</v>
      </c>
      <c r="G114" s="1">
        <v>7.3573479710000003</v>
      </c>
      <c r="H114" s="1">
        <v>736492.14199999999</v>
      </c>
    </row>
    <row r="115" spans="1:8" x14ac:dyDescent="0.25">
      <c r="A115">
        <v>1459</v>
      </c>
      <c r="B115">
        <v>1</v>
      </c>
      <c r="C115">
        <v>4</v>
      </c>
      <c r="D115">
        <v>21</v>
      </c>
      <c r="E115" s="1">
        <v>30.215527089999998</v>
      </c>
      <c r="F115">
        <v>2</v>
      </c>
      <c r="G115" s="1">
        <v>4.1102162729999998</v>
      </c>
      <c r="H115" s="1">
        <v>463746.19959999999</v>
      </c>
    </row>
    <row r="116" spans="1:8" x14ac:dyDescent="0.25">
      <c r="A116">
        <v>2122</v>
      </c>
      <c r="B116">
        <v>1</v>
      </c>
      <c r="C116">
        <v>3</v>
      </c>
      <c r="D116">
        <v>1</v>
      </c>
      <c r="E116" s="1">
        <v>28.695204740000001</v>
      </c>
      <c r="F116">
        <v>2</v>
      </c>
      <c r="G116" s="1">
        <v>5</v>
      </c>
      <c r="H116" s="1">
        <v>402584.3113</v>
      </c>
    </row>
    <row r="117" spans="1:8" x14ac:dyDescent="0.25">
      <c r="A117">
        <v>3714</v>
      </c>
      <c r="B117">
        <v>1</v>
      </c>
      <c r="C117">
        <v>2</v>
      </c>
      <c r="D117">
        <v>23</v>
      </c>
      <c r="E117" s="1">
        <v>18.189060600000001</v>
      </c>
      <c r="F117">
        <v>0</v>
      </c>
      <c r="G117" s="1">
        <v>4.631328721</v>
      </c>
      <c r="H117" s="1">
        <v>618422.8554</v>
      </c>
    </row>
    <row r="118" spans="1:8" x14ac:dyDescent="0.25">
      <c r="A118">
        <v>3557</v>
      </c>
      <c r="B118">
        <v>1</v>
      </c>
      <c r="C118">
        <v>4</v>
      </c>
      <c r="D118">
        <v>33</v>
      </c>
      <c r="E118" s="1">
        <v>15.624281809999999</v>
      </c>
      <c r="F118">
        <v>2</v>
      </c>
      <c r="G118" s="1">
        <v>3.1127897959999999</v>
      </c>
      <c r="H118" s="1">
        <v>631617.43359999999</v>
      </c>
    </row>
    <row r="119" spans="1:8" x14ac:dyDescent="0.25">
      <c r="A119">
        <v>3025</v>
      </c>
      <c r="B119">
        <v>5</v>
      </c>
      <c r="C119">
        <v>1</v>
      </c>
      <c r="D119">
        <v>26</v>
      </c>
      <c r="E119" s="1">
        <v>18</v>
      </c>
      <c r="F119">
        <v>2</v>
      </c>
      <c r="G119" s="1">
        <v>8.3698234350000007</v>
      </c>
      <c r="H119" s="1">
        <v>912686.50300000003</v>
      </c>
    </row>
    <row r="120" spans="1:8" x14ac:dyDescent="0.25">
      <c r="A120">
        <v>3129</v>
      </c>
      <c r="B120">
        <v>3</v>
      </c>
      <c r="C120">
        <v>3</v>
      </c>
      <c r="D120">
        <v>0</v>
      </c>
      <c r="E120" s="1">
        <v>8.4064323170000002</v>
      </c>
      <c r="F120">
        <v>1</v>
      </c>
      <c r="G120" s="1">
        <v>4.0359754800000003</v>
      </c>
      <c r="H120" s="1">
        <v>754896.304</v>
      </c>
    </row>
    <row r="121" spans="1:8" x14ac:dyDescent="0.25">
      <c r="A121">
        <v>1997</v>
      </c>
      <c r="B121">
        <v>2</v>
      </c>
      <c r="C121">
        <v>3</v>
      </c>
      <c r="D121">
        <v>7</v>
      </c>
      <c r="E121" s="1">
        <v>19.36722082</v>
      </c>
      <c r="F121">
        <v>2</v>
      </c>
      <c r="G121" s="1">
        <v>8.4477132459999993</v>
      </c>
      <c r="H121" s="1">
        <v>784153.34589999996</v>
      </c>
    </row>
    <row r="122" spans="1:8" x14ac:dyDescent="0.25">
      <c r="A122">
        <v>3460</v>
      </c>
      <c r="B122">
        <v>1</v>
      </c>
      <c r="C122">
        <v>3</v>
      </c>
      <c r="D122">
        <v>20</v>
      </c>
      <c r="E122" s="1">
        <v>23.638305630000001</v>
      </c>
      <c r="F122">
        <v>0</v>
      </c>
      <c r="G122" s="1">
        <v>1.00538145</v>
      </c>
      <c r="H122" s="1">
        <v>567033.56920000003</v>
      </c>
    </row>
    <row r="123" spans="1:8" x14ac:dyDescent="0.25">
      <c r="A123">
        <v>3093</v>
      </c>
      <c r="B123">
        <v>3</v>
      </c>
      <c r="C123">
        <v>4</v>
      </c>
      <c r="D123">
        <v>37</v>
      </c>
      <c r="E123" s="1">
        <v>24.679933439999999</v>
      </c>
      <c r="F123">
        <v>1</v>
      </c>
      <c r="G123" s="1">
        <v>3.7703723500000002</v>
      </c>
      <c r="H123" s="1">
        <v>726900.73659999995</v>
      </c>
    </row>
    <row r="124" spans="1:8" x14ac:dyDescent="0.25">
      <c r="A124">
        <v>4027</v>
      </c>
      <c r="B124">
        <v>3</v>
      </c>
      <c r="C124">
        <v>2</v>
      </c>
      <c r="D124">
        <v>20</v>
      </c>
      <c r="E124" s="1">
        <v>7.5388509680000002</v>
      </c>
      <c r="F124">
        <v>1</v>
      </c>
      <c r="G124" s="1">
        <v>3.170486929</v>
      </c>
      <c r="H124" s="1">
        <v>775768.36210000003</v>
      </c>
    </row>
    <row r="125" spans="1:8" x14ac:dyDescent="0.25">
      <c r="A125">
        <v>1763</v>
      </c>
      <c r="B125">
        <v>2</v>
      </c>
      <c r="C125">
        <v>2</v>
      </c>
      <c r="D125">
        <v>21</v>
      </c>
      <c r="E125" s="1">
        <v>23.06279619</v>
      </c>
      <c r="F125">
        <v>1</v>
      </c>
      <c r="G125" s="1">
        <v>3.1021062499999998</v>
      </c>
      <c r="H125" s="1">
        <v>365057.93329999998</v>
      </c>
    </row>
    <row r="126" spans="1:8" x14ac:dyDescent="0.25">
      <c r="A126">
        <v>2381</v>
      </c>
      <c r="B126">
        <v>5</v>
      </c>
      <c r="C126">
        <v>3</v>
      </c>
      <c r="D126">
        <v>24</v>
      </c>
      <c r="E126" s="1">
        <v>28.73375004</v>
      </c>
      <c r="F126">
        <v>1</v>
      </c>
      <c r="G126" s="1">
        <v>1.6136795779999999</v>
      </c>
      <c r="H126" s="1">
        <v>568487.17779999995</v>
      </c>
    </row>
    <row r="127" spans="1:8" x14ac:dyDescent="0.25">
      <c r="A127">
        <v>2063</v>
      </c>
      <c r="B127">
        <v>4</v>
      </c>
      <c r="C127">
        <v>1</v>
      </c>
      <c r="D127">
        <v>17</v>
      </c>
      <c r="E127" s="1">
        <v>2.2256409000000001</v>
      </c>
      <c r="F127">
        <v>1</v>
      </c>
      <c r="G127" s="1">
        <v>2.6841184340000002</v>
      </c>
      <c r="H127" s="1">
        <v>557398.32299999997</v>
      </c>
    </row>
    <row r="128" spans="1:8" x14ac:dyDescent="0.25">
      <c r="A128">
        <v>1929</v>
      </c>
      <c r="B128">
        <v>4</v>
      </c>
      <c r="C128">
        <v>3</v>
      </c>
      <c r="D128">
        <v>16</v>
      </c>
      <c r="E128" s="1">
        <v>31.947484620000001</v>
      </c>
      <c r="F128">
        <v>1</v>
      </c>
      <c r="G128" s="1">
        <v>5.9999461289999996</v>
      </c>
      <c r="H128" s="1">
        <v>648845.95389999996</v>
      </c>
    </row>
    <row r="129" spans="1:8" x14ac:dyDescent="0.25">
      <c r="A129">
        <v>2438</v>
      </c>
      <c r="B129">
        <v>3</v>
      </c>
      <c r="C129">
        <v>2</v>
      </c>
      <c r="D129">
        <v>11</v>
      </c>
      <c r="E129" s="1">
        <v>1.5178899029999999</v>
      </c>
      <c r="F129">
        <v>1</v>
      </c>
      <c r="G129" s="1">
        <v>3.6222496560000002</v>
      </c>
      <c r="H129" s="1">
        <v>514594.58110000001</v>
      </c>
    </row>
    <row r="130" spans="1:8" x14ac:dyDescent="0.25">
      <c r="A130">
        <v>3702</v>
      </c>
      <c r="B130">
        <v>2</v>
      </c>
      <c r="C130">
        <v>1</v>
      </c>
      <c r="D130">
        <v>5</v>
      </c>
      <c r="E130" s="1">
        <v>12.78100062</v>
      </c>
      <c r="F130">
        <v>0</v>
      </c>
      <c r="G130" s="1">
        <v>4.7565530410000001</v>
      </c>
      <c r="H130" s="1">
        <v>734924.96059999999</v>
      </c>
    </row>
    <row r="131" spans="1:8" x14ac:dyDescent="0.25">
      <c r="A131">
        <v>2637</v>
      </c>
      <c r="B131">
        <v>4</v>
      </c>
      <c r="C131">
        <v>2</v>
      </c>
      <c r="D131">
        <v>20</v>
      </c>
      <c r="E131" s="1">
        <v>1.0455552699999999</v>
      </c>
      <c r="F131">
        <v>0</v>
      </c>
      <c r="G131" s="1">
        <v>4.3918019230000001</v>
      </c>
      <c r="H131" s="1">
        <v>708448.20530000003</v>
      </c>
    </row>
    <row r="132" spans="1:8" x14ac:dyDescent="0.25">
      <c r="A132">
        <v>1706</v>
      </c>
      <c r="B132">
        <v>3</v>
      </c>
      <c r="C132">
        <v>3</v>
      </c>
      <c r="D132">
        <v>26</v>
      </c>
      <c r="E132" s="1">
        <v>3.1615083149999998</v>
      </c>
      <c r="F132">
        <v>1</v>
      </c>
      <c r="G132" s="1">
        <v>8.883144325</v>
      </c>
      <c r="H132" s="1">
        <v>729426.2977</v>
      </c>
    </row>
    <row r="133" spans="1:8" x14ac:dyDescent="0.25">
      <c r="A133">
        <v>4429</v>
      </c>
      <c r="B133">
        <v>5</v>
      </c>
      <c r="C133">
        <v>2</v>
      </c>
      <c r="D133">
        <v>7</v>
      </c>
      <c r="E133" s="1">
        <v>31.935305840000002</v>
      </c>
      <c r="F133">
        <v>1</v>
      </c>
      <c r="G133" s="1">
        <v>9.1476909909999993</v>
      </c>
      <c r="H133" s="1">
        <v>1210048.3729999999</v>
      </c>
    </row>
    <row r="134" spans="1:8" x14ac:dyDescent="0.25">
      <c r="A134">
        <v>3075</v>
      </c>
      <c r="B134">
        <v>4</v>
      </c>
      <c r="C134">
        <v>2</v>
      </c>
      <c r="D134">
        <v>18</v>
      </c>
      <c r="E134" s="1">
        <v>12.74269866</v>
      </c>
      <c r="F134">
        <v>0</v>
      </c>
      <c r="G134" s="1">
        <v>5.4366127449999997</v>
      </c>
      <c r="H134" s="1">
        <v>812439.46550000005</v>
      </c>
    </row>
    <row r="135" spans="1:8" x14ac:dyDescent="0.25">
      <c r="A135">
        <v>1682</v>
      </c>
      <c r="B135">
        <v>3</v>
      </c>
      <c r="C135">
        <v>3</v>
      </c>
      <c r="D135">
        <v>0</v>
      </c>
      <c r="E135" s="1">
        <v>15.1546178</v>
      </c>
      <c r="F135">
        <v>0</v>
      </c>
      <c r="G135" s="1">
        <v>3.971403553</v>
      </c>
      <c r="H135" s="1">
        <v>643473.81079999998</v>
      </c>
    </row>
    <row r="136" spans="1:8" x14ac:dyDescent="0.25">
      <c r="A136">
        <v>1109</v>
      </c>
      <c r="B136">
        <v>3</v>
      </c>
      <c r="C136">
        <v>1</v>
      </c>
      <c r="D136">
        <v>28</v>
      </c>
      <c r="E136" s="1">
        <v>7.929381158</v>
      </c>
      <c r="F136">
        <v>0</v>
      </c>
      <c r="G136" s="1">
        <v>1.9612063360000001</v>
      </c>
      <c r="H136" s="1">
        <v>312836.1557</v>
      </c>
    </row>
    <row r="137" spans="1:8" x14ac:dyDescent="0.25">
      <c r="A137">
        <v>2773</v>
      </c>
      <c r="B137">
        <v>1</v>
      </c>
      <c r="C137">
        <v>2</v>
      </c>
      <c r="D137">
        <v>34</v>
      </c>
      <c r="E137" s="1">
        <v>21.099804070000001</v>
      </c>
      <c r="F137">
        <v>1</v>
      </c>
      <c r="G137" s="1">
        <v>9.5806259140000005</v>
      </c>
      <c r="H137" s="1">
        <v>1018009.205</v>
      </c>
    </row>
    <row r="138" spans="1:8" x14ac:dyDescent="0.25">
      <c r="A138">
        <v>4148</v>
      </c>
      <c r="B138">
        <v>5</v>
      </c>
      <c r="C138">
        <v>2</v>
      </c>
      <c r="D138">
        <v>39</v>
      </c>
      <c r="E138" s="1">
        <v>18</v>
      </c>
      <c r="F138">
        <v>1</v>
      </c>
      <c r="G138" s="1">
        <v>1.5420425040000001</v>
      </c>
      <c r="H138" s="1">
        <v>841663.95349999995</v>
      </c>
    </row>
    <row r="139" spans="1:8" x14ac:dyDescent="0.25">
      <c r="A139">
        <v>1063</v>
      </c>
      <c r="B139">
        <v>1</v>
      </c>
      <c r="C139">
        <v>3</v>
      </c>
      <c r="D139">
        <v>13</v>
      </c>
      <c r="E139" s="1">
        <v>13.340913520000001</v>
      </c>
      <c r="F139">
        <v>2</v>
      </c>
      <c r="G139" s="1">
        <v>3.6788524979999999</v>
      </c>
      <c r="H139" s="1">
        <v>434287.40210000001</v>
      </c>
    </row>
    <row r="140" spans="1:8" x14ac:dyDescent="0.25">
      <c r="A140">
        <v>2398</v>
      </c>
      <c r="B140">
        <v>2</v>
      </c>
      <c r="C140">
        <v>1</v>
      </c>
      <c r="D140">
        <v>34</v>
      </c>
      <c r="E140" s="1">
        <v>11.98970308</v>
      </c>
      <c r="F140">
        <v>0</v>
      </c>
      <c r="G140" s="1">
        <v>5</v>
      </c>
      <c r="H140" s="1">
        <v>424472.19809999998</v>
      </c>
    </row>
    <row r="141" spans="1:8" x14ac:dyDescent="0.25">
      <c r="A141">
        <v>3845</v>
      </c>
      <c r="B141">
        <v>1</v>
      </c>
      <c r="C141">
        <v>2</v>
      </c>
      <c r="D141">
        <v>20</v>
      </c>
      <c r="E141" s="1">
        <v>31.03126863</v>
      </c>
      <c r="F141">
        <v>1</v>
      </c>
      <c r="G141" s="1">
        <v>3.8836115750000002</v>
      </c>
      <c r="H141" s="1">
        <v>629513.75619999995</v>
      </c>
    </row>
    <row r="142" spans="1:8" x14ac:dyDescent="0.25">
      <c r="A142">
        <v>4143</v>
      </c>
      <c r="B142">
        <v>1</v>
      </c>
      <c r="C142">
        <v>3</v>
      </c>
      <c r="D142">
        <v>12</v>
      </c>
      <c r="E142" s="1">
        <v>13.72330627</v>
      </c>
      <c r="F142">
        <v>1</v>
      </c>
      <c r="G142" s="1">
        <v>2.478581589</v>
      </c>
      <c r="H142" s="1">
        <v>674460.06889999995</v>
      </c>
    </row>
    <row r="143" spans="1:8" x14ac:dyDescent="0.25">
      <c r="A143">
        <v>1895</v>
      </c>
      <c r="B143">
        <v>4</v>
      </c>
      <c r="C143">
        <v>2</v>
      </c>
      <c r="D143">
        <v>37</v>
      </c>
      <c r="E143" s="1">
        <v>17.525784229999999</v>
      </c>
      <c r="F143">
        <v>1</v>
      </c>
      <c r="G143" s="1">
        <v>8.0484528780000009</v>
      </c>
      <c r="H143" s="1">
        <v>733512.1655</v>
      </c>
    </row>
    <row r="144" spans="1:8" x14ac:dyDescent="0.25">
      <c r="A144">
        <v>3704</v>
      </c>
      <c r="B144">
        <v>3</v>
      </c>
      <c r="C144">
        <v>4</v>
      </c>
      <c r="D144">
        <v>7</v>
      </c>
      <c r="E144" s="1">
        <v>18</v>
      </c>
      <c r="F144">
        <v>0</v>
      </c>
      <c r="G144" s="1">
        <v>2.102480758</v>
      </c>
      <c r="H144" s="1">
        <v>803485.88659999997</v>
      </c>
    </row>
    <row r="145" spans="1:8" x14ac:dyDescent="0.25">
      <c r="A145">
        <v>4163</v>
      </c>
      <c r="B145">
        <v>5</v>
      </c>
      <c r="C145">
        <v>3</v>
      </c>
      <c r="D145">
        <v>19</v>
      </c>
      <c r="E145" s="1">
        <v>27.643547869999999</v>
      </c>
      <c r="F145">
        <v>1</v>
      </c>
      <c r="G145" s="1">
        <v>6.7141599320000003</v>
      </c>
      <c r="H145" s="1">
        <v>986716.44180000003</v>
      </c>
    </row>
    <row r="146" spans="1:8" x14ac:dyDescent="0.25">
      <c r="A146">
        <v>2253</v>
      </c>
      <c r="B146">
        <v>1</v>
      </c>
      <c r="C146">
        <v>1</v>
      </c>
      <c r="D146">
        <v>32</v>
      </c>
      <c r="E146" s="1">
        <v>14.211961410000001</v>
      </c>
      <c r="F146">
        <v>2</v>
      </c>
      <c r="G146" s="1">
        <v>2.1146142399999999</v>
      </c>
      <c r="H146" s="1">
        <v>353018.55320000002</v>
      </c>
    </row>
    <row r="147" spans="1:8" x14ac:dyDescent="0.25">
      <c r="A147">
        <v>1691</v>
      </c>
      <c r="B147">
        <v>5</v>
      </c>
      <c r="C147">
        <v>1</v>
      </c>
      <c r="D147">
        <v>25</v>
      </c>
      <c r="E147" s="1">
        <v>18.21958111</v>
      </c>
      <c r="F147">
        <v>2</v>
      </c>
      <c r="G147" s="1">
        <v>1.6348207379999999</v>
      </c>
      <c r="H147" s="1">
        <v>369987.09129999997</v>
      </c>
    </row>
    <row r="148" spans="1:8" x14ac:dyDescent="0.25">
      <c r="A148">
        <v>3981</v>
      </c>
      <c r="B148">
        <v>1</v>
      </c>
      <c r="C148">
        <v>1</v>
      </c>
      <c r="D148">
        <v>20</v>
      </c>
      <c r="E148" s="1">
        <v>9.2408223669999998</v>
      </c>
      <c r="F148">
        <v>0</v>
      </c>
      <c r="G148" s="1">
        <v>9.184865533</v>
      </c>
      <c r="H148" s="1">
        <v>907350.63809999998</v>
      </c>
    </row>
    <row r="149" spans="1:8" x14ac:dyDescent="0.25">
      <c r="A149">
        <v>3857</v>
      </c>
      <c r="B149">
        <v>2</v>
      </c>
      <c r="C149">
        <v>1</v>
      </c>
      <c r="D149">
        <v>20</v>
      </c>
      <c r="E149" s="1">
        <v>34.57425594</v>
      </c>
      <c r="F149">
        <v>1</v>
      </c>
      <c r="G149" s="1">
        <v>2.7111588969999998</v>
      </c>
      <c r="H149" s="1">
        <v>583806.25989999995</v>
      </c>
    </row>
    <row r="150" spans="1:8" x14ac:dyDescent="0.25">
      <c r="A150">
        <v>2036</v>
      </c>
      <c r="B150">
        <v>1</v>
      </c>
      <c r="C150">
        <v>2</v>
      </c>
      <c r="D150">
        <v>8</v>
      </c>
      <c r="E150" s="1">
        <v>10.55660306</v>
      </c>
      <c r="F150">
        <v>1</v>
      </c>
      <c r="G150" s="1">
        <v>8.3912513910000008</v>
      </c>
      <c r="H150" s="1">
        <v>660928.348</v>
      </c>
    </row>
    <row r="151" spans="1:8" x14ac:dyDescent="0.25">
      <c r="A151">
        <v>4096</v>
      </c>
      <c r="B151">
        <v>4</v>
      </c>
      <c r="C151">
        <v>2</v>
      </c>
      <c r="D151">
        <v>23</v>
      </c>
      <c r="E151" s="1">
        <v>18</v>
      </c>
      <c r="F151">
        <v>0</v>
      </c>
      <c r="G151" s="1">
        <v>5.9016778399999996</v>
      </c>
      <c r="H151" s="1">
        <v>885468.70189999999</v>
      </c>
    </row>
    <row r="152" spans="1:8" x14ac:dyDescent="0.25">
      <c r="A152">
        <v>3399</v>
      </c>
      <c r="B152">
        <v>3</v>
      </c>
      <c r="C152">
        <v>3</v>
      </c>
      <c r="D152">
        <v>36</v>
      </c>
      <c r="E152" s="1">
        <v>15.24859994</v>
      </c>
      <c r="F152">
        <v>1</v>
      </c>
      <c r="G152" s="1">
        <v>1.7007086760000001</v>
      </c>
      <c r="H152" s="1">
        <v>618336.82590000005</v>
      </c>
    </row>
    <row r="153" spans="1:8" x14ac:dyDescent="0.25">
      <c r="A153">
        <v>3552</v>
      </c>
      <c r="B153">
        <v>3</v>
      </c>
      <c r="C153">
        <v>1</v>
      </c>
      <c r="D153">
        <v>16</v>
      </c>
      <c r="E153" s="1">
        <v>7.6145004749999998</v>
      </c>
      <c r="F153">
        <v>0</v>
      </c>
      <c r="G153" s="1">
        <v>9.5990337229999998</v>
      </c>
      <c r="H153" s="1">
        <v>754904.27610000002</v>
      </c>
    </row>
    <row r="154" spans="1:8" x14ac:dyDescent="0.25">
      <c r="A154">
        <v>1098</v>
      </c>
      <c r="B154">
        <v>1</v>
      </c>
      <c r="C154">
        <v>1</v>
      </c>
      <c r="D154">
        <v>23</v>
      </c>
      <c r="E154" s="1">
        <v>28.090297360000001</v>
      </c>
      <c r="F154">
        <v>1</v>
      </c>
      <c r="G154" s="1">
        <v>3.2226505030000001</v>
      </c>
      <c r="H154" s="1">
        <v>251700.057</v>
      </c>
    </row>
    <row r="155" spans="1:8" x14ac:dyDescent="0.25">
      <c r="A155">
        <v>2560</v>
      </c>
      <c r="B155">
        <v>5</v>
      </c>
      <c r="C155">
        <v>2</v>
      </c>
      <c r="D155">
        <v>20</v>
      </c>
      <c r="E155" s="1">
        <v>18</v>
      </c>
      <c r="F155">
        <v>0</v>
      </c>
      <c r="G155" s="1">
        <v>8.736808108</v>
      </c>
      <c r="H155" s="1">
        <v>903367.23510000005</v>
      </c>
    </row>
    <row r="156" spans="1:8" x14ac:dyDescent="0.25">
      <c r="A156">
        <v>4497</v>
      </c>
      <c r="B156">
        <v>2</v>
      </c>
      <c r="C156">
        <v>1</v>
      </c>
      <c r="D156">
        <v>38</v>
      </c>
      <c r="E156" s="1">
        <v>30.349170489999999</v>
      </c>
      <c r="F156">
        <v>1</v>
      </c>
      <c r="G156" s="1">
        <v>2.5192900520000001</v>
      </c>
      <c r="H156" s="1">
        <v>626206.027</v>
      </c>
    </row>
    <row r="157" spans="1:8" x14ac:dyDescent="0.25">
      <c r="A157">
        <v>1254</v>
      </c>
      <c r="B157">
        <v>2</v>
      </c>
      <c r="C157">
        <v>1</v>
      </c>
      <c r="D157">
        <v>38</v>
      </c>
      <c r="E157" s="1">
        <v>32.076372880000001</v>
      </c>
      <c r="F157">
        <v>0</v>
      </c>
      <c r="G157" s="1">
        <v>8.6854859389999994</v>
      </c>
      <c r="H157" s="1">
        <v>590096.20550000004</v>
      </c>
    </row>
    <row r="158" spans="1:8" x14ac:dyDescent="0.25">
      <c r="A158">
        <v>3874</v>
      </c>
      <c r="B158">
        <v>1</v>
      </c>
      <c r="C158">
        <v>4</v>
      </c>
      <c r="D158">
        <v>12</v>
      </c>
      <c r="E158" s="1">
        <v>30.163922320000001</v>
      </c>
      <c r="F158">
        <v>1</v>
      </c>
      <c r="G158" s="1">
        <v>1.119059316</v>
      </c>
      <c r="H158" s="1">
        <v>566030.01619999995</v>
      </c>
    </row>
    <row r="159" spans="1:8" x14ac:dyDescent="0.25">
      <c r="A159">
        <v>2107</v>
      </c>
      <c r="B159">
        <v>2</v>
      </c>
      <c r="C159">
        <v>4</v>
      </c>
      <c r="D159">
        <v>10</v>
      </c>
      <c r="E159" s="1">
        <v>1.7077730609999999</v>
      </c>
      <c r="F159">
        <v>2</v>
      </c>
      <c r="G159" s="1">
        <v>5.6060241089999998</v>
      </c>
      <c r="H159" s="1">
        <v>713109.11360000004</v>
      </c>
    </row>
    <row r="160" spans="1:8" x14ac:dyDescent="0.25">
      <c r="A160">
        <v>3177</v>
      </c>
      <c r="B160">
        <v>3</v>
      </c>
      <c r="C160">
        <v>1</v>
      </c>
      <c r="D160">
        <v>18</v>
      </c>
      <c r="E160" s="1">
        <v>27.664380399999999</v>
      </c>
      <c r="F160">
        <v>1</v>
      </c>
      <c r="G160" s="1">
        <v>7.9249832150000001</v>
      </c>
      <c r="H160" s="1">
        <v>918555.39740000002</v>
      </c>
    </row>
    <row r="161" spans="1:8" x14ac:dyDescent="0.25">
      <c r="A161">
        <v>2133</v>
      </c>
      <c r="B161">
        <v>2</v>
      </c>
      <c r="C161">
        <v>3</v>
      </c>
      <c r="D161">
        <v>10</v>
      </c>
      <c r="E161" s="1">
        <v>14.69121159</v>
      </c>
      <c r="F161">
        <v>0</v>
      </c>
      <c r="G161" s="1">
        <v>9.4131596569999996</v>
      </c>
      <c r="H161" s="1">
        <v>843525.53150000004</v>
      </c>
    </row>
    <row r="162" spans="1:8" x14ac:dyDescent="0.25">
      <c r="A162">
        <v>3910</v>
      </c>
      <c r="B162">
        <v>5</v>
      </c>
      <c r="C162">
        <v>1</v>
      </c>
      <c r="D162">
        <v>12</v>
      </c>
      <c r="E162" s="1">
        <v>30.64344075</v>
      </c>
      <c r="F162">
        <v>2</v>
      </c>
      <c r="G162" s="1">
        <v>9.1828192259999994</v>
      </c>
      <c r="H162" s="1">
        <v>1013188.154</v>
      </c>
    </row>
    <row r="163" spans="1:8" x14ac:dyDescent="0.25">
      <c r="A163">
        <v>602</v>
      </c>
      <c r="B163">
        <v>1</v>
      </c>
      <c r="C163">
        <v>4</v>
      </c>
      <c r="D163">
        <v>0</v>
      </c>
      <c r="E163" s="1">
        <v>22.509422059999999</v>
      </c>
      <c r="F163">
        <v>1</v>
      </c>
      <c r="G163" s="1">
        <v>8.3766238259999994</v>
      </c>
      <c r="H163" s="1">
        <v>506892.375</v>
      </c>
    </row>
    <row r="164" spans="1:8" x14ac:dyDescent="0.25">
      <c r="A164">
        <v>3655</v>
      </c>
      <c r="B164">
        <v>3</v>
      </c>
      <c r="C164">
        <v>3</v>
      </c>
      <c r="D164">
        <v>39</v>
      </c>
      <c r="E164" s="1">
        <v>29.260688129999998</v>
      </c>
      <c r="F164">
        <v>2</v>
      </c>
      <c r="G164" s="1">
        <v>8.9937221469999997</v>
      </c>
      <c r="H164" s="1">
        <v>971261.34909999999</v>
      </c>
    </row>
    <row r="165" spans="1:8" x14ac:dyDescent="0.25">
      <c r="A165">
        <v>4618</v>
      </c>
      <c r="B165">
        <v>2</v>
      </c>
      <c r="C165">
        <v>3</v>
      </c>
      <c r="D165">
        <v>18</v>
      </c>
      <c r="E165" s="1">
        <v>17.73039606</v>
      </c>
      <c r="F165">
        <v>1</v>
      </c>
      <c r="G165" s="1">
        <v>2.7929771730000001</v>
      </c>
      <c r="H165" s="1">
        <v>814549.55819999997</v>
      </c>
    </row>
    <row r="166" spans="1:8" x14ac:dyDescent="0.25">
      <c r="A166">
        <v>4896</v>
      </c>
      <c r="B166">
        <v>3</v>
      </c>
      <c r="C166">
        <v>1</v>
      </c>
      <c r="D166">
        <v>11</v>
      </c>
      <c r="E166" s="1">
        <v>18.958379910000001</v>
      </c>
      <c r="F166">
        <v>2</v>
      </c>
      <c r="G166" s="1">
        <v>3.5576586610000001</v>
      </c>
      <c r="H166" s="1">
        <v>782141.90930000006</v>
      </c>
    </row>
    <row r="167" spans="1:8" x14ac:dyDescent="0.25">
      <c r="A167">
        <v>1166</v>
      </c>
      <c r="B167">
        <v>3</v>
      </c>
      <c r="C167">
        <v>4</v>
      </c>
      <c r="D167">
        <v>7</v>
      </c>
      <c r="E167" s="1">
        <v>5.4813733090000003</v>
      </c>
      <c r="F167">
        <v>0</v>
      </c>
      <c r="G167" s="1">
        <v>3.6007167240000002</v>
      </c>
      <c r="H167" s="1">
        <v>604761.35829999996</v>
      </c>
    </row>
    <row r="168" spans="1:8" x14ac:dyDescent="0.25">
      <c r="A168">
        <v>4789</v>
      </c>
      <c r="B168">
        <v>2</v>
      </c>
      <c r="C168">
        <v>3</v>
      </c>
      <c r="D168">
        <v>7</v>
      </c>
      <c r="E168" s="1">
        <v>27.547563870000001</v>
      </c>
      <c r="F168">
        <v>1</v>
      </c>
      <c r="G168" s="1">
        <v>4.3934853790000004</v>
      </c>
      <c r="H168" s="1">
        <v>934417.20200000005</v>
      </c>
    </row>
    <row r="169" spans="1:8" x14ac:dyDescent="0.25">
      <c r="A169">
        <v>2727</v>
      </c>
      <c r="B169">
        <v>4</v>
      </c>
      <c r="C169">
        <v>3</v>
      </c>
      <c r="D169">
        <v>11</v>
      </c>
      <c r="E169" s="1">
        <v>14.968941600000001</v>
      </c>
      <c r="F169">
        <v>1</v>
      </c>
      <c r="G169" s="1">
        <v>4.5398860330000002</v>
      </c>
      <c r="H169" s="1">
        <v>796270.24</v>
      </c>
    </row>
    <row r="170" spans="1:8" x14ac:dyDescent="0.25">
      <c r="A170">
        <v>3331</v>
      </c>
      <c r="B170">
        <v>3</v>
      </c>
      <c r="C170">
        <v>1</v>
      </c>
      <c r="D170">
        <v>32</v>
      </c>
      <c r="E170" s="1">
        <v>17.752764079999999</v>
      </c>
      <c r="F170">
        <v>0</v>
      </c>
      <c r="G170" s="1">
        <v>5.9009979220000002</v>
      </c>
      <c r="H170" s="1">
        <v>691169.23809999996</v>
      </c>
    </row>
    <row r="171" spans="1:8" x14ac:dyDescent="0.25">
      <c r="A171">
        <v>597</v>
      </c>
      <c r="B171">
        <v>2</v>
      </c>
      <c r="C171">
        <v>2</v>
      </c>
      <c r="D171">
        <v>25</v>
      </c>
      <c r="E171" s="1">
        <v>27.585871139999998</v>
      </c>
      <c r="F171">
        <v>2</v>
      </c>
      <c r="G171" s="1">
        <v>2.43891787</v>
      </c>
      <c r="H171" s="1">
        <v>92105.108619999999</v>
      </c>
    </row>
    <row r="172" spans="1:8" x14ac:dyDescent="0.25">
      <c r="A172">
        <v>2330</v>
      </c>
      <c r="B172">
        <v>3</v>
      </c>
      <c r="C172">
        <v>2</v>
      </c>
      <c r="D172">
        <v>38</v>
      </c>
      <c r="E172" s="1">
        <v>21.1601663</v>
      </c>
      <c r="F172">
        <v>0</v>
      </c>
      <c r="G172" s="1">
        <v>7.2212199740000003</v>
      </c>
      <c r="H172" s="1">
        <v>696869.70880000002</v>
      </c>
    </row>
    <row r="173" spans="1:8" x14ac:dyDescent="0.25">
      <c r="A173">
        <v>3982</v>
      </c>
      <c r="B173">
        <v>2</v>
      </c>
      <c r="C173">
        <v>4</v>
      </c>
      <c r="D173">
        <v>27</v>
      </c>
      <c r="E173" s="1">
        <v>7.4379060969999999</v>
      </c>
      <c r="F173">
        <v>0</v>
      </c>
      <c r="G173" s="1">
        <v>2.508098854</v>
      </c>
      <c r="H173" s="1">
        <v>671991.06050000002</v>
      </c>
    </row>
    <row r="174" spans="1:8" x14ac:dyDescent="0.25">
      <c r="A174">
        <v>1008</v>
      </c>
      <c r="B174">
        <v>1</v>
      </c>
      <c r="C174">
        <v>2</v>
      </c>
      <c r="D174">
        <v>4</v>
      </c>
      <c r="E174" s="1">
        <v>20.863026739999999</v>
      </c>
      <c r="F174">
        <v>2</v>
      </c>
      <c r="G174" s="1">
        <v>3.792776339</v>
      </c>
      <c r="H174" s="1">
        <v>242509.5735</v>
      </c>
    </row>
    <row r="175" spans="1:8" x14ac:dyDescent="0.25">
      <c r="A175">
        <v>3672</v>
      </c>
      <c r="B175">
        <v>3</v>
      </c>
      <c r="C175">
        <v>4</v>
      </c>
      <c r="D175">
        <v>7</v>
      </c>
      <c r="E175" s="1">
        <v>14.5633336</v>
      </c>
      <c r="F175">
        <v>0</v>
      </c>
      <c r="G175" s="1">
        <v>5.5301061750000002</v>
      </c>
      <c r="H175" s="1">
        <v>754382.95039999997</v>
      </c>
    </row>
    <row r="176" spans="1:8" x14ac:dyDescent="0.25">
      <c r="A176">
        <v>1547</v>
      </c>
      <c r="B176">
        <v>4</v>
      </c>
      <c r="C176">
        <v>4</v>
      </c>
      <c r="D176">
        <v>24</v>
      </c>
      <c r="E176" s="1">
        <v>16.698631200000001</v>
      </c>
      <c r="F176">
        <v>1</v>
      </c>
      <c r="G176" s="1">
        <v>5</v>
      </c>
      <c r="H176" s="1">
        <v>800009.69839999999</v>
      </c>
    </row>
    <row r="177" spans="1:8" x14ac:dyDescent="0.25">
      <c r="A177">
        <v>4682</v>
      </c>
      <c r="B177">
        <v>4</v>
      </c>
      <c r="C177">
        <v>4</v>
      </c>
      <c r="D177">
        <v>26</v>
      </c>
      <c r="E177" s="1">
        <v>1.476738967</v>
      </c>
      <c r="F177">
        <v>1</v>
      </c>
      <c r="G177" s="1">
        <v>7.6552230989999996</v>
      </c>
      <c r="H177" s="1">
        <v>1140264.6880000001</v>
      </c>
    </row>
    <row r="178" spans="1:8" x14ac:dyDescent="0.25">
      <c r="A178">
        <v>3797</v>
      </c>
      <c r="B178">
        <v>3</v>
      </c>
      <c r="C178">
        <v>2</v>
      </c>
      <c r="D178">
        <v>22</v>
      </c>
      <c r="E178" s="1">
        <v>7.7460125580000003</v>
      </c>
      <c r="F178">
        <v>1</v>
      </c>
      <c r="G178" s="1">
        <v>6.8098092079999999</v>
      </c>
      <c r="H178" s="1">
        <v>971130.53040000005</v>
      </c>
    </row>
    <row r="179" spans="1:8" x14ac:dyDescent="0.25">
      <c r="A179">
        <v>2911</v>
      </c>
      <c r="B179">
        <v>2</v>
      </c>
      <c r="C179">
        <v>4</v>
      </c>
      <c r="D179">
        <v>29</v>
      </c>
      <c r="E179" s="1">
        <v>10.195813810000001</v>
      </c>
      <c r="F179">
        <v>0</v>
      </c>
      <c r="G179" s="1">
        <v>2.4019593449999999</v>
      </c>
      <c r="H179" s="1">
        <v>661555.87120000005</v>
      </c>
    </row>
    <row r="180" spans="1:8" x14ac:dyDescent="0.25">
      <c r="A180">
        <v>2194</v>
      </c>
      <c r="B180">
        <v>3</v>
      </c>
      <c r="C180">
        <v>3</v>
      </c>
      <c r="D180">
        <v>22</v>
      </c>
      <c r="E180" s="1">
        <v>25.097120270000001</v>
      </c>
      <c r="F180">
        <v>1</v>
      </c>
      <c r="G180" s="1">
        <v>5.9234081109999996</v>
      </c>
      <c r="H180" s="1">
        <v>690436.87820000004</v>
      </c>
    </row>
    <row r="181" spans="1:8" x14ac:dyDescent="0.25">
      <c r="A181">
        <v>1059</v>
      </c>
      <c r="B181">
        <v>5</v>
      </c>
      <c r="C181">
        <v>1</v>
      </c>
      <c r="D181">
        <v>19</v>
      </c>
      <c r="E181" s="1">
        <v>0.89649032900000003</v>
      </c>
      <c r="F181">
        <v>1</v>
      </c>
      <c r="G181" s="1">
        <v>5</v>
      </c>
      <c r="H181" s="1">
        <v>520031.0073</v>
      </c>
    </row>
    <row r="182" spans="1:8" x14ac:dyDescent="0.25">
      <c r="A182">
        <v>3211</v>
      </c>
      <c r="B182">
        <v>3</v>
      </c>
      <c r="C182">
        <v>1</v>
      </c>
      <c r="D182">
        <v>17</v>
      </c>
      <c r="E182" s="1">
        <v>14.602815509999999</v>
      </c>
      <c r="F182">
        <v>1</v>
      </c>
      <c r="G182" s="1">
        <v>4.3962685910000001</v>
      </c>
      <c r="H182" s="1">
        <v>615629.74679999996</v>
      </c>
    </row>
    <row r="183" spans="1:8" x14ac:dyDescent="0.25">
      <c r="A183">
        <v>1769</v>
      </c>
      <c r="B183">
        <v>3</v>
      </c>
      <c r="C183">
        <v>4</v>
      </c>
      <c r="D183">
        <v>17</v>
      </c>
      <c r="E183" s="1">
        <v>32.37892703</v>
      </c>
      <c r="F183">
        <v>1</v>
      </c>
      <c r="G183" s="1">
        <v>4.7216487730000001</v>
      </c>
      <c r="H183" s="1">
        <v>536850.02919999999</v>
      </c>
    </row>
    <row r="184" spans="1:8" x14ac:dyDescent="0.25">
      <c r="A184">
        <v>2386</v>
      </c>
      <c r="B184">
        <v>4</v>
      </c>
      <c r="C184">
        <v>1</v>
      </c>
      <c r="D184">
        <v>1</v>
      </c>
      <c r="E184" s="1">
        <v>4.3598812709999999</v>
      </c>
      <c r="F184">
        <v>1</v>
      </c>
      <c r="G184" s="1">
        <v>1.3583029550000001</v>
      </c>
      <c r="H184" s="1">
        <v>481276.6275</v>
      </c>
    </row>
    <row r="185" spans="1:8" x14ac:dyDescent="0.25">
      <c r="A185">
        <v>546</v>
      </c>
      <c r="B185">
        <v>1</v>
      </c>
      <c r="C185">
        <v>2</v>
      </c>
      <c r="D185">
        <v>3</v>
      </c>
      <c r="E185" s="1">
        <v>18.316641390000001</v>
      </c>
      <c r="F185">
        <v>1</v>
      </c>
      <c r="G185" s="1">
        <v>3.4658928950000001</v>
      </c>
      <c r="H185" s="1">
        <v>269211.63709999999</v>
      </c>
    </row>
    <row r="186" spans="1:8" x14ac:dyDescent="0.25">
      <c r="A186">
        <v>3619</v>
      </c>
      <c r="B186">
        <v>4</v>
      </c>
      <c r="C186">
        <v>2</v>
      </c>
      <c r="D186">
        <v>29</v>
      </c>
      <c r="E186" s="1">
        <v>27.635022190000001</v>
      </c>
      <c r="F186">
        <v>0</v>
      </c>
      <c r="G186" s="1">
        <v>9.6008452050000006</v>
      </c>
      <c r="H186" s="1">
        <v>966430.48219999997</v>
      </c>
    </row>
    <row r="187" spans="1:8" x14ac:dyDescent="0.25">
      <c r="A187">
        <v>3311</v>
      </c>
      <c r="B187">
        <v>5</v>
      </c>
      <c r="C187">
        <v>1</v>
      </c>
      <c r="D187">
        <v>32</v>
      </c>
      <c r="E187" s="1">
        <v>33.017330110000003</v>
      </c>
      <c r="F187">
        <v>1</v>
      </c>
      <c r="G187" s="1">
        <v>9.5826934700000006</v>
      </c>
      <c r="H187" s="1">
        <v>978432.42550000001</v>
      </c>
    </row>
    <row r="188" spans="1:8" x14ac:dyDescent="0.25">
      <c r="A188">
        <v>2134</v>
      </c>
      <c r="B188">
        <v>1</v>
      </c>
      <c r="C188">
        <v>2</v>
      </c>
      <c r="D188">
        <v>35</v>
      </c>
      <c r="E188" s="1">
        <v>26.263794059999999</v>
      </c>
      <c r="F188">
        <v>1</v>
      </c>
      <c r="G188" s="1">
        <v>4.1709434879999998</v>
      </c>
      <c r="H188" s="1">
        <v>425800.24249999999</v>
      </c>
    </row>
    <row r="189" spans="1:8" x14ac:dyDescent="0.25">
      <c r="A189">
        <v>2243</v>
      </c>
      <c r="B189">
        <v>5</v>
      </c>
      <c r="C189">
        <v>1</v>
      </c>
      <c r="D189">
        <v>17</v>
      </c>
      <c r="E189" s="1">
        <v>25.359511430000001</v>
      </c>
      <c r="F189">
        <v>2</v>
      </c>
      <c r="G189" s="1">
        <v>1.387900981</v>
      </c>
      <c r="H189" s="1">
        <v>563807.12899999996</v>
      </c>
    </row>
    <row r="190" spans="1:8" x14ac:dyDescent="0.25">
      <c r="A190">
        <v>888</v>
      </c>
      <c r="B190">
        <v>2</v>
      </c>
      <c r="C190">
        <v>1</v>
      </c>
      <c r="D190">
        <v>36</v>
      </c>
      <c r="E190" s="1">
        <v>29.013839109999999</v>
      </c>
      <c r="F190">
        <v>0</v>
      </c>
      <c r="G190" s="1">
        <v>2.6118544539999999</v>
      </c>
      <c r="H190" s="1">
        <v>260685.42610000001</v>
      </c>
    </row>
    <row r="191" spans="1:8" x14ac:dyDescent="0.25">
      <c r="A191">
        <v>2773</v>
      </c>
      <c r="B191">
        <v>1</v>
      </c>
      <c r="C191">
        <v>3</v>
      </c>
      <c r="D191">
        <v>18</v>
      </c>
      <c r="E191" s="1">
        <v>15.89394212</v>
      </c>
      <c r="F191">
        <v>0</v>
      </c>
      <c r="G191" s="1">
        <v>4.5299601410000001</v>
      </c>
      <c r="H191" s="1">
        <v>714223.92630000005</v>
      </c>
    </row>
    <row r="192" spans="1:8" x14ac:dyDescent="0.25">
      <c r="A192">
        <v>2359</v>
      </c>
      <c r="B192">
        <v>5</v>
      </c>
      <c r="C192">
        <v>4</v>
      </c>
      <c r="D192">
        <v>27</v>
      </c>
      <c r="E192" s="1">
        <v>28.301636380000001</v>
      </c>
      <c r="F192">
        <v>0</v>
      </c>
      <c r="G192" s="1">
        <v>9.5300172819999993</v>
      </c>
      <c r="H192" s="1">
        <v>922063.40390000003</v>
      </c>
    </row>
    <row r="193" spans="1:8" x14ac:dyDescent="0.25">
      <c r="A193">
        <v>2785</v>
      </c>
      <c r="B193">
        <v>2</v>
      </c>
      <c r="C193">
        <v>1</v>
      </c>
      <c r="D193">
        <v>39</v>
      </c>
      <c r="E193" s="1">
        <v>0.77477196400000004</v>
      </c>
      <c r="F193">
        <v>0</v>
      </c>
      <c r="G193" s="1">
        <v>2.2707915719999998</v>
      </c>
      <c r="H193" s="1">
        <v>428818.36989999999</v>
      </c>
    </row>
    <row r="194" spans="1:8" x14ac:dyDescent="0.25">
      <c r="A194">
        <v>3319</v>
      </c>
      <c r="B194">
        <v>4</v>
      </c>
      <c r="C194">
        <v>4</v>
      </c>
      <c r="D194">
        <v>19</v>
      </c>
      <c r="E194" s="1">
        <v>32.39735641</v>
      </c>
      <c r="F194">
        <v>1</v>
      </c>
      <c r="G194" s="1">
        <v>7.8716425929999998</v>
      </c>
      <c r="H194" s="1">
        <v>958853.84990000003</v>
      </c>
    </row>
    <row r="195" spans="1:8" x14ac:dyDescent="0.25">
      <c r="A195">
        <v>2202</v>
      </c>
      <c r="B195">
        <v>2</v>
      </c>
      <c r="C195">
        <v>1</v>
      </c>
      <c r="D195">
        <v>20</v>
      </c>
      <c r="E195" s="1">
        <v>15.79407458</v>
      </c>
      <c r="F195">
        <v>1</v>
      </c>
      <c r="G195" s="1">
        <v>1.9781428539999999</v>
      </c>
      <c r="H195" s="1">
        <v>345560.60100000002</v>
      </c>
    </row>
    <row r="196" spans="1:8" x14ac:dyDescent="0.25">
      <c r="A196">
        <v>4461</v>
      </c>
      <c r="B196">
        <v>3</v>
      </c>
      <c r="C196">
        <v>1</v>
      </c>
      <c r="D196">
        <v>11</v>
      </c>
      <c r="E196" s="1">
        <v>19.591616479999999</v>
      </c>
      <c r="F196">
        <v>2</v>
      </c>
      <c r="G196" s="1">
        <v>9.8313181969999999</v>
      </c>
      <c r="H196" s="1">
        <v>1131283.3419999999</v>
      </c>
    </row>
    <row r="197" spans="1:8" x14ac:dyDescent="0.25">
      <c r="A197">
        <v>3769</v>
      </c>
      <c r="B197">
        <v>2</v>
      </c>
      <c r="C197">
        <v>1</v>
      </c>
      <c r="D197">
        <v>14</v>
      </c>
      <c r="E197" s="1">
        <v>9.2934375879999997</v>
      </c>
      <c r="F197">
        <v>2</v>
      </c>
      <c r="G197" s="1">
        <v>4.4345484920000002</v>
      </c>
      <c r="H197" s="1">
        <v>703560.88139999995</v>
      </c>
    </row>
    <row r="198" spans="1:8" x14ac:dyDescent="0.25">
      <c r="A198">
        <v>2773</v>
      </c>
      <c r="B198">
        <v>2</v>
      </c>
      <c r="C198">
        <v>2</v>
      </c>
      <c r="D198">
        <v>38</v>
      </c>
      <c r="E198" s="1">
        <v>26.117313729999999</v>
      </c>
      <c r="F198">
        <v>0</v>
      </c>
      <c r="G198" s="1">
        <v>7.9771108499999999</v>
      </c>
      <c r="H198" s="1">
        <v>415069.64500000002</v>
      </c>
    </row>
    <row r="199" spans="1:8" x14ac:dyDescent="0.25">
      <c r="A199">
        <v>1023</v>
      </c>
      <c r="B199">
        <v>3</v>
      </c>
      <c r="C199">
        <v>4</v>
      </c>
      <c r="D199">
        <v>1</v>
      </c>
      <c r="E199" s="1">
        <v>3.143935323</v>
      </c>
      <c r="F199">
        <v>2</v>
      </c>
      <c r="G199" s="1">
        <v>4.0833197449999998</v>
      </c>
      <c r="H199" s="1">
        <v>525811.10080000001</v>
      </c>
    </row>
    <row r="200" spans="1:8" x14ac:dyDescent="0.25">
      <c r="A200">
        <v>1416</v>
      </c>
      <c r="B200">
        <v>5</v>
      </c>
      <c r="C200">
        <v>4</v>
      </c>
      <c r="D200">
        <v>28</v>
      </c>
      <c r="E200" s="1">
        <v>30.60593519</v>
      </c>
      <c r="F200">
        <v>2</v>
      </c>
      <c r="G200" s="1">
        <v>6.6490198940000003</v>
      </c>
      <c r="H200" s="1">
        <v>739892.76419999998</v>
      </c>
    </row>
    <row r="201" spans="1:8" x14ac:dyDescent="0.25">
      <c r="A201">
        <v>4043</v>
      </c>
      <c r="B201">
        <v>3</v>
      </c>
      <c r="C201">
        <v>1</v>
      </c>
      <c r="D201">
        <v>9</v>
      </c>
      <c r="E201" s="1">
        <v>29.070030599999999</v>
      </c>
      <c r="F201">
        <v>0</v>
      </c>
      <c r="G201" s="1">
        <v>2.728144763</v>
      </c>
      <c r="H201" s="1">
        <v>804793.39540000004</v>
      </c>
    </row>
    <row r="202" spans="1:8" x14ac:dyDescent="0.25">
      <c r="A202">
        <v>2449</v>
      </c>
      <c r="B202">
        <v>2</v>
      </c>
      <c r="C202">
        <v>1</v>
      </c>
      <c r="D202">
        <v>1</v>
      </c>
      <c r="E202" s="1">
        <v>7.9540740100000002</v>
      </c>
      <c r="F202">
        <v>0</v>
      </c>
      <c r="G202" s="1">
        <v>2.314189174</v>
      </c>
      <c r="H202" s="1">
        <v>470433.11489999999</v>
      </c>
    </row>
    <row r="203" spans="1:8" x14ac:dyDescent="0.25">
      <c r="A203">
        <v>4123</v>
      </c>
      <c r="B203">
        <v>3</v>
      </c>
      <c r="C203">
        <v>2</v>
      </c>
      <c r="D203">
        <v>10</v>
      </c>
      <c r="E203" s="1">
        <v>28.42169174</v>
      </c>
      <c r="F203">
        <v>2</v>
      </c>
      <c r="G203" s="1">
        <v>9.4425772559999999</v>
      </c>
      <c r="H203" s="1">
        <v>1103098.149</v>
      </c>
    </row>
    <row r="204" spans="1:8" x14ac:dyDescent="0.25">
      <c r="A204">
        <v>4948</v>
      </c>
      <c r="B204">
        <v>3</v>
      </c>
      <c r="C204">
        <v>2</v>
      </c>
      <c r="D204">
        <v>12</v>
      </c>
      <c r="E204" s="1">
        <v>27.629341790000002</v>
      </c>
      <c r="F204">
        <v>1</v>
      </c>
      <c r="G204" s="1">
        <v>9.2588255010000005</v>
      </c>
      <c r="H204" s="1">
        <v>1065860.5149999999</v>
      </c>
    </row>
    <row r="205" spans="1:8" x14ac:dyDescent="0.25">
      <c r="A205">
        <v>3508</v>
      </c>
      <c r="B205">
        <v>4</v>
      </c>
      <c r="C205">
        <v>2</v>
      </c>
      <c r="D205">
        <v>9</v>
      </c>
      <c r="E205" s="1">
        <v>22.31147262</v>
      </c>
      <c r="F205">
        <v>2</v>
      </c>
      <c r="G205" s="1">
        <v>8.9872204619999998</v>
      </c>
      <c r="H205" s="1">
        <v>990759.91319999995</v>
      </c>
    </row>
    <row r="206" spans="1:8" x14ac:dyDescent="0.25">
      <c r="A206">
        <v>4490</v>
      </c>
      <c r="B206">
        <v>5</v>
      </c>
      <c r="C206">
        <v>4</v>
      </c>
      <c r="D206">
        <v>13</v>
      </c>
      <c r="E206" s="1">
        <v>13.386446100000001</v>
      </c>
      <c r="F206">
        <v>1</v>
      </c>
      <c r="G206" s="1">
        <v>6.6289010509999997</v>
      </c>
      <c r="H206" s="1">
        <v>1160491.68</v>
      </c>
    </row>
    <row r="207" spans="1:8" x14ac:dyDescent="0.25">
      <c r="A207">
        <v>2456</v>
      </c>
      <c r="B207">
        <v>1</v>
      </c>
      <c r="C207">
        <v>4</v>
      </c>
      <c r="D207">
        <v>17</v>
      </c>
      <c r="E207" s="1">
        <v>9.8667070189999997</v>
      </c>
      <c r="F207">
        <v>1</v>
      </c>
      <c r="G207" s="1">
        <v>8.2744139010000008</v>
      </c>
      <c r="H207" s="1">
        <v>665329.74</v>
      </c>
    </row>
    <row r="208" spans="1:8" x14ac:dyDescent="0.25">
      <c r="A208">
        <v>3570</v>
      </c>
      <c r="B208">
        <v>5</v>
      </c>
      <c r="C208">
        <v>4</v>
      </c>
      <c r="D208">
        <v>8</v>
      </c>
      <c r="E208" s="1">
        <v>8.496533865</v>
      </c>
      <c r="F208">
        <v>1</v>
      </c>
      <c r="G208" s="1">
        <v>1.621332432</v>
      </c>
      <c r="H208" s="1">
        <v>858521.52159999998</v>
      </c>
    </row>
    <row r="209" spans="1:8" x14ac:dyDescent="0.25">
      <c r="A209">
        <v>2082</v>
      </c>
      <c r="B209">
        <v>5</v>
      </c>
      <c r="C209">
        <v>1</v>
      </c>
      <c r="D209">
        <v>38</v>
      </c>
      <c r="E209" s="1">
        <v>11.49200922</v>
      </c>
      <c r="F209">
        <v>0</v>
      </c>
      <c r="G209" s="1">
        <v>4.0131013769999999</v>
      </c>
      <c r="H209" s="1">
        <v>544370.65749999997</v>
      </c>
    </row>
    <row r="210" spans="1:8" x14ac:dyDescent="0.25">
      <c r="A210">
        <v>2655</v>
      </c>
      <c r="B210">
        <v>4</v>
      </c>
      <c r="C210">
        <v>4</v>
      </c>
      <c r="D210">
        <v>27</v>
      </c>
      <c r="E210" s="1">
        <v>31.672766299999999</v>
      </c>
      <c r="F210">
        <v>1</v>
      </c>
      <c r="G210" s="1">
        <v>3.823328123</v>
      </c>
      <c r="H210" s="1">
        <v>731163.11450000003</v>
      </c>
    </row>
    <row r="211" spans="1:8" x14ac:dyDescent="0.25">
      <c r="A211">
        <v>1554</v>
      </c>
      <c r="B211">
        <v>1</v>
      </c>
      <c r="C211">
        <v>3</v>
      </c>
      <c r="D211">
        <v>2</v>
      </c>
      <c r="E211" s="1">
        <v>3.1786067720000002</v>
      </c>
      <c r="F211">
        <v>2</v>
      </c>
      <c r="G211" s="1">
        <v>6.7208078980000003</v>
      </c>
      <c r="H211" s="1">
        <v>538411.85510000004</v>
      </c>
    </row>
    <row r="212" spans="1:8" x14ac:dyDescent="0.25">
      <c r="A212">
        <v>4899</v>
      </c>
      <c r="B212">
        <v>4</v>
      </c>
      <c r="C212">
        <v>3</v>
      </c>
      <c r="D212">
        <v>19</v>
      </c>
      <c r="E212" s="1">
        <v>29.096059029999999</v>
      </c>
      <c r="F212">
        <v>1</v>
      </c>
      <c r="G212" s="1">
        <v>4.2036199610000002</v>
      </c>
      <c r="H212" s="1">
        <v>999019.16150000005</v>
      </c>
    </row>
    <row r="213" spans="1:8" x14ac:dyDescent="0.25">
      <c r="A213">
        <v>3591</v>
      </c>
      <c r="B213">
        <v>1</v>
      </c>
      <c r="C213">
        <v>2</v>
      </c>
      <c r="D213">
        <v>5</v>
      </c>
      <c r="E213" s="1">
        <v>12.536707590000001</v>
      </c>
      <c r="F213">
        <v>0</v>
      </c>
      <c r="G213" s="1">
        <v>2.3365610349999999</v>
      </c>
      <c r="H213" s="1">
        <v>660869.03330000001</v>
      </c>
    </row>
    <row r="214" spans="1:8" x14ac:dyDescent="0.25">
      <c r="A214">
        <v>2096</v>
      </c>
      <c r="B214">
        <v>2</v>
      </c>
      <c r="C214">
        <v>4</v>
      </c>
      <c r="D214">
        <v>26</v>
      </c>
      <c r="E214" s="1">
        <v>18.495179159999999</v>
      </c>
      <c r="F214">
        <v>2</v>
      </c>
      <c r="G214" s="1">
        <v>6.3682036789999996</v>
      </c>
      <c r="H214" s="1">
        <v>689577.2047</v>
      </c>
    </row>
    <row r="215" spans="1:8" x14ac:dyDescent="0.25">
      <c r="A215">
        <v>4391</v>
      </c>
      <c r="B215">
        <v>1</v>
      </c>
      <c r="C215">
        <v>3</v>
      </c>
      <c r="D215">
        <v>1</v>
      </c>
      <c r="E215" s="1">
        <v>27.909754360000001</v>
      </c>
      <c r="F215">
        <v>1</v>
      </c>
      <c r="G215" s="1">
        <v>8.329455286</v>
      </c>
      <c r="H215" s="1">
        <v>968799.41229999997</v>
      </c>
    </row>
    <row r="216" spans="1:8" x14ac:dyDescent="0.25">
      <c r="A216">
        <v>2048</v>
      </c>
      <c r="B216">
        <v>4</v>
      </c>
      <c r="C216">
        <v>2</v>
      </c>
      <c r="D216">
        <v>28</v>
      </c>
      <c r="E216" s="1">
        <v>31.010990870000001</v>
      </c>
      <c r="F216">
        <v>2</v>
      </c>
      <c r="G216" s="1">
        <v>4.4391114500000004</v>
      </c>
      <c r="H216" s="1">
        <v>569242.92460000003</v>
      </c>
    </row>
    <row r="217" spans="1:8" x14ac:dyDescent="0.25">
      <c r="A217">
        <v>1845</v>
      </c>
      <c r="B217">
        <v>5</v>
      </c>
      <c r="C217">
        <v>4</v>
      </c>
      <c r="D217">
        <v>37</v>
      </c>
      <c r="E217" s="1">
        <v>12.394958989999999</v>
      </c>
      <c r="F217">
        <v>0</v>
      </c>
      <c r="G217" s="1">
        <v>2.1904184359999999</v>
      </c>
      <c r="H217" s="1">
        <v>557603.32010000001</v>
      </c>
    </row>
    <row r="218" spans="1:8" x14ac:dyDescent="0.25">
      <c r="A218">
        <v>4599</v>
      </c>
      <c r="B218">
        <v>1</v>
      </c>
      <c r="C218">
        <v>1</v>
      </c>
      <c r="D218">
        <v>2</v>
      </c>
      <c r="E218" s="1">
        <v>16.4336001</v>
      </c>
      <c r="F218">
        <v>0</v>
      </c>
      <c r="G218" s="1">
        <v>2.7701937760000002</v>
      </c>
      <c r="H218" s="1">
        <v>787589.08539999998</v>
      </c>
    </row>
    <row r="219" spans="1:8" x14ac:dyDescent="0.25">
      <c r="A219">
        <v>4323</v>
      </c>
      <c r="B219">
        <v>1</v>
      </c>
      <c r="C219">
        <v>3</v>
      </c>
      <c r="D219">
        <v>15</v>
      </c>
      <c r="E219" s="1">
        <v>14.80080424</v>
      </c>
      <c r="F219">
        <v>1</v>
      </c>
      <c r="G219" s="1">
        <v>3.137349747</v>
      </c>
      <c r="H219" s="1">
        <v>697078.02249999996</v>
      </c>
    </row>
    <row r="220" spans="1:8" x14ac:dyDescent="0.25">
      <c r="A220">
        <v>653</v>
      </c>
      <c r="B220">
        <v>3</v>
      </c>
      <c r="C220">
        <v>3</v>
      </c>
      <c r="D220">
        <v>29</v>
      </c>
      <c r="E220" s="1">
        <v>0.957160656</v>
      </c>
      <c r="F220">
        <v>2</v>
      </c>
      <c r="G220" s="1">
        <v>3.699078337</v>
      </c>
      <c r="H220" s="1">
        <v>295034.08880000003</v>
      </c>
    </row>
    <row r="221" spans="1:8" x14ac:dyDescent="0.25">
      <c r="A221">
        <v>2773</v>
      </c>
      <c r="B221">
        <v>5</v>
      </c>
      <c r="C221">
        <v>4</v>
      </c>
      <c r="D221">
        <v>39</v>
      </c>
      <c r="E221" s="1">
        <v>10.710029670000001</v>
      </c>
      <c r="F221">
        <v>1</v>
      </c>
      <c r="G221" s="1">
        <v>6.7851556349999997</v>
      </c>
      <c r="H221" s="1">
        <v>1010569.628</v>
      </c>
    </row>
    <row r="222" spans="1:8" x14ac:dyDescent="0.25">
      <c r="A222">
        <v>2957</v>
      </c>
      <c r="B222">
        <v>2</v>
      </c>
      <c r="C222">
        <v>3</v>
      </c>
      <c r="D222">
        <v>1</v>
      </c>
      <c r="E222" s="1">
        <v>16.342028559999999</v>
      </c>
      <c r="F222">
        <v>0</v>
      </c>
      <c r="G222" s="1">
        <v>6.4085093610000001</v>
      </c>
      <c r="H222" s="1">
        <v>734860.49140000006</v>
      </c>
    </row>
    <row r="223" spans="1:8" x14ac:dyDescent="0.25">
      <c r="A223">
        <v>498</v>
      </c>
      <c r="B223">
        <v>4</v>
      </c>
      <c r="C223">
        <v>4</v>
      </c>
      <c r="D223">
        <v>16</v>
      </c>
      <c r="E223" s="1">
        <v>14.68272951</v>
      </c>
      <c r="F223">
        <v>1</v>
      </c>
      <c r="G223" s="1">
        <v>7.2647187539999996</v>
      </c>
      <c r="H223" s="1">
        <v>568821.48100000003</v>
      </c>
    </row>
    <row r="224" spans="1:8" x14ac:dyDescent="0.25">
      <c r="A224">
        <v>2600</v>
      </c>
      <c r="B224">
        <v>2</v>
      </c>
      <c r="C224">
        <v>1</v>
      </c>
      <c r="D224">
        <v>11</v>
      </c>
      <c r="E224" s="1">
        <v>25.406558350000001</v>
      </c>
      <c r="F224">
        <v>2</v>
      </c>
      <c r="G224" s="1">
        <v>4.2625178610000001</v>
      </c>
      <c r="H224" s="1">
        <v>480210.66379999998</v>
      </c>
    </row>
    <row r="225" spans="1:8" x14ac:dyDescent="0.25">
      <c r="A225">
        <v>3361</v>
      </c>
      <c r="B225">
        <v>5</v>
      </c>
      <c r="C225">
        <v>3</v>
      </c>
      <c r="D225">
        <v>20</v>
      </c>
      <c r="E225" s="1">
        <v>13.77572479</v>
      </c>
      <c r="F225">
        <v>2</v>
      </c>
      <c r="G225" s="1">
        <v>8.4159788669999998</v>
      </c>
      <c r="H225" s="1">
        <v>967150.07550000004</v>
      </c>
    </row>
    <row r="226" spans="1:8" x14ac:dyDescent="0.25">
      <c r="A226">
        <v>4833</v>
      </c>
      <c r="B226">
        <v>1</v>
      </c>
      <c r="C226">
        <v>1</v>
      </c>
      <c r="D226">
        <v>0</v>
      </c>
      <c r="E226" s="1">
        <v>17.38348749</v>
      </c>
      <c r="F226">
        <v>2</v>
      </c>
      <c r="G226" s="1">
        <v>2.8367889499999999</v>
      </c>
      <c r="H226" s="1">
        <v>743220.57559999998</v>
      </c>
    </row>
    <row r="227" spans="1:8" x14ac:dyDescent="0.25">
      <c r="A227">
        <v>4177</v>
      </c>
      <c r="B227">
        <v>1</v>
      </c>
      <c r="C227">
        <v>4</v>
      </c>
      <c r="D227">
        <v>14</v>
      </c>
      <c r="E227" s="1">
        <v>15.32149643</v>
      </c>
      <c r="F227">
        <v>1</v>
      </c>
      <c r="G227" s="1">
        <v>5.2213667279999996</v>
      </c>
      <c r="H227" s="1">
        <v>841267.01080000005</v>
      </c>
    </row>
    <row r="228" spans="1:8" x14ac:dyDescent="0.25">
      <c r="A228">
        <v>3269</v>
      </c>
      <c r="B228">
        <v>3</v>
      </c>
      <c r="C228">
        <v>4</v>
      </c>
      <c r="D228">
        <v>25</v>
      </c>
      <c r="E228" s="1">
        <v>26.05160214</v>
      </c>
      <c r="F228">
        <v>2</v>
      </c>
      <c r="G228" s="1">
        <v>8.2084484940000007</v>
      </c>
      <c r="H228" s="1">
        <v>1049105.8489999999</v>
      </c>
    </row>
    <row r="229" spans="1:8" x14ac:dyDescent="0.25">
      <c r="A229">
        <v>3634</v>
      </c>
      <c r="B229">
        <v>3</v>
      </c>
      <c r="C229">
        <v>1</v>
      </c>
      <c r="D229">
        <v>36</v>
      </c>
      <c r="E229" s="1">
        <v>30.272547769999999</v>
      </c>
      <c r="F229">
        <v>2</v>
      </c>
      <c r="G229" s="1">
        <v>2.62142783</v>
      </c>
      <c r="H229" s="1">
        <v>529873.18770000001</v>
      </c>
    </row>
    <row r="230" spans="1:8" x14ac:dyDescent="0.25">
      <c r="A230">
        <v>4191</v>
      </c>
      <c r="B230">
        <v>1</v>
      </c>
      <c r="C230">
        <v>3</v>
      </c>
      <c r="D230">
        <v>20</v>
      </c>
      <c r="E230" s="1">
        <v>18.850173229999999</v>
      </c>
      <c r="F230">
        <v>0</v>
      </c>
      <c r="G230" s="1">
        <v>1.9887680240000001</v>
      </c>
      <c r="H230" s="1">
        <v>644651.85010000004</v>
      </c>
    </row>
    <row r="231" spans="1:8" x14ac:dyDescent="0.25">
      <c r="A231">
        <v>1356</v>
      </c>
      <c r="B231">
        <v>1</v>
      </c>
      <c r="C231">
        <v>1</v>
      </c>
      <c r="D231">
        <v>30</v>
      </c>
      <c r="E231" s="1">
        <v>27.735410699999999</v>
      </c>
      <c r="F231">
        <v>0</v>
      </c>
      <c r="G231" s="1">
        <v>8.9531557090000007</v>
      </c>
      <c r="H231" s="1">
        <v>489333.3285</v>
      </c>
    </row>
    <row r="232" spans="1:8" x14ac:dyDescent="0.25">
      <c r="A232">
        <v>4467</v>
      </c>
      <c r="B232">
        <v>4</v>
      </c>
      <c r="C232">
        <v>4</v>
      </c>
      <c r="D232">
        <v>24</v>
      </c>
      <c r="E232" s="1">
        <v>10.73914053</v>
      </c>
      <c r="F232">
        <v>2</v>
      </c>
      <c r="G232" s="1">
        <v>4.0863669649999999</v>
      </c>
      <c r="H232" s="1">
        <v>980893.84120000002</v>
      </c>
    </row>
    <row r="233" spans="1:8" x14ac:dyDescent="0.25">
      <c r="A233">
        <v>560</v>
      </c>
      <c r="B233">
        <v>4</v>
      </c>
      <c r="C233">
        <v>1</v>
      </c>
      <c r="D233">
        <v>20</v>
      </c>
      <c r="E233" s="1">
        <v>19.177251550000001</v>
      </c>
      <c r="F233">
        <v>2</v>
      </c>
      <c r="G233" s="1">
        <v>7.1548311240000002</v>
      </c>
      <c r="H233" s="1">
        <v>574255.87580000004</v>
      </c>
    </row>
    <row r="234" spans="1:8" x14ac:dyDescent="0.25">
      <c r="A234">
        <v>4893</v>
      </c>
      <c r="B234">
        <v>3</v>
      </c>
      <c r="C234">
        <v>4</v>
      </c>
      <c r="D234">
        <v>23</v>
      </c>
      <c r="E234" s="1">
        <v>12.410433400000001</v>
      </c>
      <c r="F234">
        <v>0</v>
      </c>
      <c r="G234" s="1">
        <v>1.2281374380000001</v>
      </c>
      <c r="H234" s="1">
        <v>847985.55740000005</v>
      </c>
    </row>
    <row r="235" spans="1:8" x14ac:dyDescent="0.25">
      <c r="A235">
        <v>1700</v>
      </c>
      <c r="B235">
        <v>2</v>
      </c>
      <c r="C235">
        <v>1</v>
      </c>
      <c r="D235">
        <v>37</v>
      </c>
      <c r="E235" s="1">
        <v>14.78993193</v>
      </c>
      <c r="F235">
        <v>2</v>
      </c>
      <c r="G235" s="1">
        <v>7.210421996</v>
      </c>
      <c r="H235" s="1">
        <v>502775.43920000002</v>
      </c>
    </row>
    <row r="236" spans="1:8" x14ac:dyDescent="0.25">
      <c r="A236">
        <v>4387</v>
      </c>
      <c r="B236">
        <v>5</v>
      </c>
      <c r="C236">
        <v>3</v>
      </c>
      <c r="D236">
        <v>27</v>
      </c>
      <c r="E236" s="1">
        <v>18</v>
      </c>
      <c r="F236">
        <v>1</v>
      </c>
      <c r="G236" s="1">
        <v>3.8449118040000001</v>
      </c>
      <c r="H236" s="1">
        <v>877940.75459999999</v>
      </c>
    </row>
    <row r="237" spans="1:8" x14ac:dyDescent="0.25">
      <c r="A237">
        <v>2773</v>
      </c>
      <c r="B237">
        <v>5</v>
      </c>
      <c r="C237">
        <v>3</v>
      </c>
      <c r="D237">
        <v>20</v>
      </c>
      <c r="E237" s="1">
        <v>30.91735564</v>
      </c>
      <c r="F237">
        <v>1</v>
      </c>
      <c r="G237" s="1">
        <v>5</v>
      </c>
      <c r="H237" s="1">
        <v>472670.4106</v>
      </c>
    </row>
    <row r="238" spans="1:8" x14ac:dyDescent="0.25">
      <c r="A238">
        <v>1618</v>
      </c>
      <c r="B238">
        <v>5</v>
      </c>
      <c r="C238">
        <v>1</v>
      </c>
      <c r="D238">
        <v>17</v>
      </c>
      <c r="E238" s="1">
        <v>18</v>
      </c>
      <c r="F238">
        <v>1</v>
      </c>
      <c r="G238" s="1">
        <v>6.4883148540000004</v>
      </c>
      <c r="H238" s="1">
        <v>725968.69129999995</v>
      </c>
    </row>
    <row r="239" spans="1:8" x14ac:dyDescent="0.25">
      <c r="A239">
        <v>4896</v>
      </c>
      <c r="B239">
        <v>3</v>
      </c>
      <c r="C239">
        <v>1</v>
      </c>
      <c r="D239">
        <v>35</v>
      </c>
      <c r="E239" s="1">
        <v>22.395054349999999</v>
      </c>
      <c r="F239">
        <v>2</v>
      </c>
      <c r="G239" s="1">
        <v>3.1672343449999998</v>
      </c>
      <c r="H239" s="1">
        <v>819515.71840000001</v>
      </c>
    </row>
    <row r="240" spans="1:8" x14ac:dyDescent="0.25">
      <c r="A240">
        <v>3504</v>
      </c>
      <c r="B240">
        <v>4</v>
      </c>
      <c r="C240">
        <v>3</v>
      </c>
      <c r="D240">
        <v>34</v>
      </c>
      <c r="E240" s="1">
        <v>20.58396136</v>
      </c>
      <c r="F240">
        <v>0</v>
      </c>
      <c r="G240" s="1">
        <v>4.4812651780000001</v>
      </c>
      <c r="H240" s="1">
        <v>819722.84140000003</v>
      </c>
    </row>
    <row r="241" spans="1:8" x14ac:dyDescent="0.25">
      <c r="A241">
        <v>3135</v>
      </c>
      <c r="B241">
        <v>3</v>
      </c>
      <c r="C241">
        <v>4</v>
      </c>
      <c r="D241">
        <v>8</v>
      </c>
      <c r="E241" s="1">
        <v>4.5853188520000003</v>
      </c>
      <c r="F241">
        <v>2</v>
      </c>
      <c r="G241" s="1">
        <v>1.725227311</v>
      </c>
      <c r="H241" s="1">
        <v>685898.14179999998</v>
      </c>
    </row>
    <row r="242" spans="1:8" x14ac:dyDescent="0.25">
      <c r="A242">
        <v>4955</v>
      </c>
      <c r="B242">
        <v>5</v>
      </c>
      <c r="C242">
        <v>3</v>
      </c>
      <c r="D242">
        <v>37</v>
      </c>
      <c r="E242" s="1">
        <v>7.8103543999999996</v>
      </c>
      <c r="F242">
        <v>2</v>
      </c>
      <c r="G242" s="1">
        <v>2.3244692599999999</v>
      </c>
      <c r="H242" s="1">
        <v>1012209.976</v>
      </c>
    </row>
    <row r="243" spans="1:8" x14ac:dyDescent="0.25">
      <c r="A243">
        <v>1354</v>
      </c>
      <c r="B243">
        <v>3</v>
      </c>
      <c r="C243">
        <v>4</v>
      </c>
      <c r="D243">
        <v>29</v>
      </c>
      <c r="E243" s="1">
        <v>11.22958607</v>
      </c>
      <c r="F243">
        <v>0</v>
      </c>
      <c r="G243" s="1">
        <v>3.6817951189999998</v>
      </c>
      <c r="H243" s="1">
        <v>430701.50089999998</v>
      </c>
    </row>
    <row r="244" spans="1:8" x14ac:dyDescent="0.25">
      <c r="A244">
        <v>4965</v>
      </c>
      <c r="B244">
        <v>1</v>
      </c>
      <c r="C244">
        <v>1</v>
      </c>
      <c r="D244">
        <v>33</v>
      </c>
      <c r="E244" s="1">
        <v>6.2591219430000002</v>
      </c>
      <c r="F244">
        <v>0</v>
      </c>
      <c r="G244" s="1">
        <v>1.8078355049999999</v>
      </c>
      <c r="H244" s="1">
        <v>720488.19909999997</v>
      </c>
    </row>
    <row r="245" spans="1:8" x14ac:dyDescent="0.25">
      <c r="A245">
        <v>3846</v>
      </c>
      <c r="B245">
        <v>4</v>
      </c>
      <c r="C245">
        <v>1</v>
      </c>
      <c r="D245">
        <v>31</v>
      </c>
      <c r="E245" s="1">
        <v>8.9086671469999992</v>
      </c>
      <c r="F245">
        <v>0</v>
      </c>
      <c r="G245" s="1">
        <v>9.1974363819999994</v>
      </c>
      <c r="H245" s="1">
        <v>982117.30980000005</v>
      </c>
    </row>
    <row r="246" spans="1:8" x14ac:dyDescent="0.25">
      <c r="A246">
        <v>1445</v>
      </c>
      <c r="B246">
        <v>4</v>
      </c>
      <c r="C246">
        <v>4</v>
      </c>
      <c r="D246">
        <v>2</v>
      </c>
      <c r="E246" s="1">
        <v>9.7322275610000002</v>
      </c>
      <c r="F246">
        <v>1</v>
      </c>
      <c r="G246" s="1">
        <v>1.0544233890000001</v>
      </c>
      <c r="H246" s="1">
        <v>486561.05599999998</v>
      </c>
    </row>
    <row r="247" spans="1:8" x14ac:dyDescent="0.25">
      <c r="A247">
        <v>2093</v>
      </c>
      <c r="B247">
        <v>3</v>
      </c>
      <c r="C247">
        <v>1</v>
      </c>
      <c r="D247">
        <v>2</v>
      </c>
      <c r="E247" s="1">
        <v>12.080747240000001</v>
      </c>
      <c r="F247">
        <v>2</v>
      </c>
      <c r="G247" s="1">
        <v>5.3547419700000001</v>
      </c>
      <c r="H247" s="1">
        <v>652855.07330000005</v>
      </c>
    </row>
    <row r="248" spans="1:8" x14ac:dyDescent="0.25">
      <c r="A248">
        <v>3836</v>
      </c>
      <c r="B248">
        <v>4</v>
      </c>
      <c r="C248">
        <v>4</v>
      </c>
      <c r="D248">
        <v>27</v>
      </c>
      <c r="E248" s="1">
        <v>26.353970619999998</v>
      </c>
      <c r="F248">
        <v>0</v>
      </c>
      <c r="G248" s="1">
        <v>2.1092271230000001</v>
      </c>
      <c r="H248" s="1">
        <v>791639.93489999999</v>
      </c>
    </row>
    <row r="249" spans="1:8" x14ac:dyDescent="0.25">
      <c r="A249">
        <v>2773</v>
      </c>
      <c r="B249">
        <v>5</v>
      </c>
      <c r="C249">
        <v>2</v>
      </c>
      <c r="D249">
        <v>14</v>
      </c>
      <c r="E249" s="1">
        <v>20.230971029999999</v>
      </c>
      <c r="F249">
        <v>2</v>
      </c>
      <c r="G249" s="1">
        <v>3.7691118050000001</v>
      </c>
      <c r="H249" s="1">
        <v>535706.65359999996</v>
      </c>
    </row>
    <row r="250" spans="1:8" x14ac:dyDescent="0.25">
      <c r="A250">
        <v>2885</v>
      </c>
      <c r="B250">
        <v>5</v>
      </c>
      <c r="C250">
        <v>3</v>
      </c>
      <c r="D250">
        <v>22</v>
      </c>
      <c r="E250" s="1">
        <v>34.525510179999998</v>
      </c>
      <c r="F250">
        <v>1</v>
      </c>
      <c r="G250" s="1">
        <v>9.3345360379999995</v>
      </c>
      <c r="H250" s="1">
        <v>967857.09739999997</v>
      </c>
    </row>
    <row r="251" spans="1:8" x14ac:dyDescent="0.25">
      <c r="A251">
        <v>2773</v>
      </c>
      <c r="B251">
        <v>3</v>
      </c>
      <c r="C251">
        <v>2</v>
      </c>
      <c r="D251">
        <v>39</v>
      </c>
      <c r="E251" s="1">
        <v>14.808386029999999</v>
      </c>
      <c r="F251">
        <v>1</v>
      </c>
      <c r="G251" s="1">
        <v>2.4552509790000001</v>
      </c>
      <c r="H251" s="1">
        <v>656582.80599999998</v>
      </c>
    </row>
    <row r="252" spans="1:8" x14ac:dyDescent="0.25">
      <c r="A252">
        <v>625</v>
      </c>
      <c r="B252">
        <v>5</v>
      </c>
      <c r="C252">
        <v>4</v>
      </c>
      <c r="D252">
        <v>10</v>
      </c>
      <c r="E252" s="1">
        <v>18</v>
      </c>
      <c r="F252">
        <v>0</v>
      </c>
      <c r="G252" s="1">
        <v>9.6924908769999991</v>
      </c>
      <c r="H252" s="1">
        <v>892355.71719999996</v>
      </c>
    </row>
    <row r="253" spans="1:8" x14ac:dyDescent="0.25">
      <c r="A253">
        <v>1359</v>
      </c>
      <c r="B253">
        <v>2</v>
      </c>
      <c r="C253">
        <v>3</v>
      </c>
      <c r="D253">
        <v>31</v>
      </c>
      <c r="E253" s="1">
        <v>30.56566054</v>
      </c>
      <c r="F253">
        <v>0</v>
      </c>
      <c r="G253" s="1">
        <v>2.8521493929999999</v>
      </c>
      <c r="H253" s="1">
        <v>418530.31719999999</v>
      </c>
    </row>
    <row r="254" spans="1:8" x14ac:dyDescent="0.25">
      <c r="A254">
        <v>4948</v>
      </c>
      <c r="B254">
        <v>3</v>
      </c>
      <c r="C254">
        <v>4</v>
      </c>
      <c r="D254">
        <v>35</v>
      </c>
      <c r="E254" s="1">
        <v>23.924758010000001</v>
      </c>
      <c r="F254">
        <v>2</v>
      </c>
      <c r="G254" s="1">
        <v>7.6740949760000001</v>
      </c>
      <c r="H254" s="1">
        <v>1100978.007</v>
      </c>
    </row>
    <row r="255" spans="1:8" x14ac:dyDescent="0.25">
      <c r="A255">
        <v>3467</v>
      </c>
      <c r="B255">
        <v>2</v>
      </c>
      <c r="C255">
        <v>3</v>
      </c>
      <c r="D255">
        <v>32</v>
      </c>
      <c r="E255" s="1">
        <v>14.709333539999999</v>
      </c>
      <c r="F255">
        <v>0</v>
      </c>
      <c r="G255" s="1">
        <v>5.9200953839999997</v>
      </c>
      <c r="H255" s="1">
        <v>762369.77300000004</v>
      </c>
    </row>
    <row r="256" spans="1:8" x14ac:dyDescent="0.25">
      <c r="A256">
        <v>1215</v>
      </c>
      <c r="B256">
        <v>1</v>
      </c>
      <c r="C256">
        <v>3</v>
      </c>
      <c r="D256">
        <v>23</v>
      </c>
      <c r="E256" s="1">
        <v>26.499014760000001</v>
      </c>
      <c r="F256">
        <v>2</v>
      </c>
      <c r="G256" s="1">
        <v>8.9603085480000004</v>
      </c>
      <c r="H256" s="1">
        <v>608821.67980000004</v>
      </c>
    </row>
    <row r="257" spans="1:8" x14ac:dyDescent="0.25">
      <c r="A257">
        <v>3520</v>
      </c>
      <c r="B257">
        <v>2</v>
      </c>
      <c r="C257">
        <v>3</v>
      </c>
      <c r="D257">
        <v>38</v>
      </c>
      <c r="E257" s="1">
        <v>7.5265162529999996</v>
      </c>
      <c r="F257">
        <v>0</v>
      </c>
      <c r="G257" s="1">
        <v>5.9859393000000001</v>
      </c>
      <c r="H257" s="1">
        <v>790447.53639999998</v>
      </c>
    </row>
    <row r="258" spans="1:8" x14ac:dyDescent="0.25">
      <c r="A258">
        <v>416</v>
      </c>
      <c r="B258">
        <v>1</v>
      </c>
      <c r="C258">
        <v>3</v>
      </c>
      <c r="D258">
        <v>33</v>
      </c>
      <c r="E258" s="1">
        <v>11.800549699999999</v>
      </c>
      <c r="F258">
        <v>2</v>
      </c>
      <c r="G258" s="1">
        <v>5</v>
      </c>
      <c r="H258" s="1">
        <v>339970.73200000002</v>
      </c>
    </row>
    <row r="259" spans="1:8" x14ac:dyDescent="0.25">
      <c r="A259">
        <v>1643</v>
      </c>
      <c r="B259">
        <v>1</v>
      </c>
      <c r="C259">
        <v>4</v>
      </c>
      <c r="D259">
        <v>27</v>
      </c>
      <c r="E259" s="1">
        <v>19.360641300000001</v>
      </c>
      <c r="F259">
        <v>2</v>
      </c>
      <c r="G259" s="1">
        <v>2.7591220029999999</v>
      </c>
      <c r="H259" s="1">
        <v>379305.70189999999</v>
      </c>
    </row>
    <row r="260" spans="1:8" x14ac:dyDescent="0.25">
      <c r="A260">
        <v>2605</v>
      </c>
      <c r="B260">
        <v>2</v>
      </c>
      <c r="C260">
        <v>3</v>
      </c>
      <c r="D260">
        <v>36</v>
      </c>
      <c r="E260" s="1">
        <v>20.35162386</v>
      </c>
      <c r="F260">
        <v>2</v>
      </c>
      <c r="G260" s="1">
        <v>2.4960642580000001</v>
      </c>
      <c r="H260" s="1">
        <v>495869.26770000003</v>
      </c>
    </row>
    <row r="261" spans="1:8" x14ac:dyDescent="0.25">
      <c r="A261">
        <v>2924</v>
      </c>
      <c r="B261">
        <v>3</v>
      </c>
      <c r="C261">
        <v>3</v>
      </c>
      <c r="D261">
        <v>6</v>
      </c>
      <c r="E261" s="1">
        <v>1.2638809040000001</v>
      </c>
      <c r="F261">
        <v>2</v>
      </c>
      <c r="G261" s="1">
        <v>9.24840236</v>
      </c>
      <c r="H261" s="1">
        <v>788398.98629999999</v>
      </c>
    </row>
    <row r="262" spans="1:8" x14ac:dyDescent="0.25">
      <c r="A262">
        <v>1469</v>
      </c>
      <c r="B262">
        <v>5</v>
      </c>
      <c r="C262">
        <v>2</v>
      </c>
      <c r="D262">
        <v>3</v>
      </c>
      <c r="E262" s="1">
        <v>33.106439510000001</v>
      </c>
      <c r="F262">
        <v>1</v>
      </c>
      <c r="G262" s="1">
        <v>3.9505437900000002</v>
      </c>
      <c r="H262" s="1">
        <v>599172.13430000003</v>
      </c>
    </row>
    <row r="263" spans="1:8" x14ac:dyDescent="0.25">
      <c r="A263">
        <v>3844</v>
      </c>
      <c r="B263">
        <v>5</v>
      </c>
      <c r="C263">
        <v>1</v>
      </c>
      <c r="D263">
        <v>36</v>
      </c>
      <c r="E263" s="1">
        <v>18</v>
      </c>
      <c r="F263">
        <v>2</v>
      </c>
      <c r="G263" s="1">
        <v>4.3487402949999998</v>
      </c>
      <c r="H263" s="1">
        <v>782005.34649999999</v>
      </c>
    </row>
    <row r="264" spans="1:8" x14ac:dyDescent="0.25">
      <c r="A264">
        <v>2965</v>
      </c>
      <c r="B264">
        <v>1</v>
      </c>
      <c r="C264">
        <v>3</v>
      </c>
      <c r="D264">
        <v>0</v>
      </c>
      <c r="E264" s="1">
        <v>17.60177938</v>
      </c>
      <c r="F264">
        <v>0</v>
      </c>
      <c r="G264" s="1">
        <v>7.8384129260000002</v>
      </c>
      <c r="H264" s="1">
        <v>802567.34790000005</v>
      </c>
    </row>
    <row r="265" spans="1:8" x14ac:dyDescent="0.25">
      <c r="A265">
        <v>1460</v>
      </c>
      <c r="B265">
        <v>1</v>
      </c>
      <c r="C265">
        <v>2</v>
      </c>
      <c r="D265">
        <v>0</v>
      </c>
      <c r="E265" s="1">
        <v>32.69288959</v>
      </c>
      <c r="F265">
        <v>1</v>
      </c>
      <c r="G265" s="1">
        <v>4.049411342</v>
      </c>
      <c r="H265" s="1">
        <v>399104.32280000002</v>
      </c>
    </row>
    <row r="266" spans="1:8" x14ac:dyDescent="0.25">
      <c r="A266">
        <v>2727</v>
      </c>
      <c r="B266">
        <v>3</v>
      </c>
      <c r="C266">
        <v>2</v>
      </c>
      <c r="D266">
        <v>19</v>
      </c>
      <c r="E266" s="1">
        <v>15.648797</v>
      </c>
      <c r="F266">
        <v>1</v>
      </c>
      <c r="G266" s="1">
        <v>9.5685620199999999</v>
      </c>
      <c r="H266" s="1">
        <v>799061.11430000002</v>
      </c>
    </row>
    <row r="267" spans="1:8" x14ac:dyDescent="0.25">
      <c r="A267">
        <v>3820</v>
      </c>
      <c r="B267">
        <v>4</v>
      </c>
      <c r="C267">
        <v>4</v>
      </c>
      <c r="D267">
        <v>18</v>
      </c>
      <c r="E267" s="1">
        <v>34.325027169999998</v>
      </c>
      <c r="F267">
        <v>2</v>
      </c>
      <c r="G267" s="1">
        <v>7.6413499209999998</v>
      </c>
      <c r="H267" s="1">
        <v>994072.44839999999</v>
      </c>
    </row>
    <row r="268" spans="1:8" x14ac:dyDescent="0.25">
      <c r="A268">
        <v>2773</v>
      </c>
      <c r="B268">
        <v>2</v>
      </c>
      <c r="C268">
        <v>4</v>
      </c>
      <c r="D268">
        <v>28</v>
      </c>
      <c r="E268" s="1">
        <v>18.173824119999999</v>
      </c>
      <c r="F268">
        <v>1</v>
      </c>
      <c r="G268" s="1">
        <v>6.3768631830000002</v>
      </c>
      <c r="H268" s="1">
        <v>423627.73690000002</v>
      </c>
    </row>
    <row r="269" spans="1:8" x14ac:dyDescent="0.25">
      <c r="A269">
        <v>4676</v>
      </c>
      <c r="B269">
        <v>1</v>
      </c>
      <c r="C269">
        <v>4</v>
      </c>
      <c r="D269">
        <v>9</v>
      </c>
      <c r="E269" s="1">
        <v>4.4428590650000004</v>
      </c>
      <c r="F269">
        <v>2</v>
      </c>
      <c r="G269" s="1">
        <v>8.9280564449999993</v>
      </c>
      <c r="H269" s="1">
        <v>1087248.3400000001</v>
      </c>
    </row>
    <row r="270" spans="1:8" x14ac:dyDescent="0.25">
      <c r="A270">
        <v>1006</v>
      </c>
      <c r="B270">
        <v>5</v>
      </c>
      <c r="C270">
        <v>2</v>
      </c>
      <c r="D270">
        <v>17</v>
      </c>
      <c r="E270" s="1">
        <v>26.885633550000001</v>
      </c>
      <c r="F270">
        <v>0</v>
      </c>
      <c r="G270" s="1">
        <v>1.446453175</v>
      </c>
      <c r="H270" s="1">
        <v>428797.04489999998</v>
      </c>
    </row>
    <row r="271" spans="1:8" x14ac:dyDescent="0.25">
      <c r="A271">
        <v>3570</v>
      </c>
      <c r="B271">
        <v>3</v>
      </c>
      <c r="C271">
        <v>2</v>
      </c>
      <c r="D271">
        <v>27</v>
      </c>
      <c r="E271" s="1">
        <v>23.92197152</v>
      </c>
      <c r="F271">
        <v>2</v>
      </c>
      <c r="G271" s="1">
        <v>3.3135642299999999</v>
      </c>
      <c r="H271" s="1">
        <v>728951.59349999996</v>
      </c>
    </row>
    <row r="272" spans="1:8" x14ac:dyDescent="0.25">
      <c r="A272">
        <v>1099</v>
      </c>
      <c r="B272">
        <v>2</v>
      </c>
      <c r="C272">
        <v>3</v>
      </c>
      <c r="D272">
        <v>34</v>
      </c>
      <c r="E272" s="1">
        <v>27.168041890000001</v>
      </c>
      <c r="F272">
        <v>1</v>
      </c>
      <c r="G272" s="1">
        <v>5.1853270079999998</v>
      </c>
      <c r="H272" s="1">
        <v>380996.92790000001</v>
      </c>
    </row>
    <row r="273" spans="1:8" x14ac:dyDescent="0.25">
      <c r="A273">
        <v>1539</v>
      </c>
      <c r="B273">
        <v>3</v>
      </c>
      <c r="C273">
        <v>4</v>
      </c>
      <c r="D273">
        <v>30</v>
      </c>
      <c r="E273" s="1">
        <v>33.324749990000001</v>
      </c>
      <c r="F273">
        <v>0</v>
      </c>
      <c r="G273" s="1">
        <v>3.0428068549999998</v>
      </c>
      <c r="H273" s="1">
        <v>468105.554</v>
      </c>
    </row>
    <row r="274" spans="1:8" x14ac:dyDescent="0.25">
      <c r="A274">
        <v>590</v>
      </c>
      <c r="B274">
        <v>2</v>
      </c>
      <c r="C274">
        <v>4</v>
      </c>
      <c r="D274">
        <v>26</v>
      </c>
      <c r="E274" s="1">
        <v>27.288880939999999</v>
      </c>
      <c r="F274">
        <v>2</v>
      </c>
      <c r="G274" s="1">
        <v>7.6951466860000002</v>
      </c>
      <c r="H274" s="1">
        <v>437421.45620000002</v>
      </c>
    </row>
    <row r="275" spans="1:8" x14ac:dyDescent="0.25">
      <c r="A275">
        <v>2700</v>
      </c>
      <c r="B275">
        <v>2</v>
      </c>
      <c r="C275">
        <v>3</v>
      </c>
      <c r="D275">
        <v>10</v>
      </c>
      <c r="E275" s="1">
        <v>21.59111278</v>
      </c>
      <c r="F275">
        <v>0</v>
      </c>
      <c r="G275" s="1">
        <v>5</v>
      </c>
      <c r="H275" s="1">
        <v>897602.96109999996</v>
      </c>
    </row>
    <row r="276" spans="1:8" x14ac:dyDescent="0.25">
      <c r="A276">
        <v>1380</v>
      </c>
      <c r="B276">
        <v>1</v>
      </c>
      <c r="C276">
        <v>1</v>
      </c>
      <c r="D276">
        <v>37</v>
      </c>
      <c r="E276" s="1">
        <v>30.07715713</v>
      </c>
      <c r="F276">
        <v>0</v>
      </c>
      <c r="G276" s="1">
        <v>4.8139310789999996</v>
      </c>
      <c r="H276" s="1">
        <v>344985.06650000002</v>
      </c>
    </row>
    <row r="277" spans="1:8" x14ac:dyDescent="0.25">
      <c r="A277">
        <v>3375</v>
      </c>
      <c r="B277">
        <v>3</v>
      </c>
      <c r="C277">
        <v>3</v>
      </c>
      <c r="D277">
        <v>4</v>
      </c>
      <c r="E277" s="1">
        <v>23.727002160000001</v>
      </c>
      <c r="F277">
        <v>1</v>
      </c>
      <c r="G277" s="1">
        <v>4.0791934010000004</v>
      </c>
      <c r="H277" s="1">
        <v>789367.48389999999</v>
      </c>
    </row>
    <row r="278" spans="1:8" x14ac:dyDescent="0.25">
      <c r="A278">
        <v>1584</v>
      </c>
      <c r="B278">
        <v>3</v>
      </c>
      <c r="C278">
        <v>4</v>
      </c>
      <c r="D278">
        <v>7</v>
      </c>
      <c r="E278" s="1">
        <v>14.580107460000001</v>
      </c>
      <c r="F278">
        <v>0</v>
      </c>
      <c r="G278" s="1">
        <v>5</v>
      </c>
      <c r="H278" s="1">
        <v>810449.05390000006</v>
      </c>
    </row>
    <row r="279" spans="1:8" x14ac:dyDescent="0.25">
      <c r="A279">
        <v>3727</v>
      </c>
      <c r="B279">
        <v>5</v>
      </c>
      <c r="C279">
        <v>4</v>
      </c>
      <c r="D279">
        <v>33</v>
      </c>
      <c r="E279" s="1">
        <v>31.053881870000001</v>
      </c>
      <c r="F279">
        <v>1</v>
      </c>
      <c r="G279" s="1">
        <v>5.0036718950000001</v>
      </c>
      <c r="H279" s="1">
        <v>925544.69759999996</v>
      </c>
    </row>
    <row r="280" spans="1:8" x14ac:dyDescent="0.25">
      <c r="A280">
        <v>3794</v>
      </c>
      <c r="B280">
        <v>5</v>
      </c>
      <c r="C280">
        <v>4</v>
      </c>
      <c r="D280">
        <v>11</v>
      </c>
      <c r="E280" s="1">
        <v>8.1555658970000007</v>
      </c>
      <c r="F280">
        <v>0</v>
      </c>
      <c r="G280" s="1">
        <v>5.4014356039999996</v>
      </c>
      <c r="H280" s="1">
        <v>1087321.031</v>
      </c>
    </row>
    <row r="281" spans="1:8" x14ac:dyDescent="0.25">
      <c r="A281">
        <v>527</v>
      </c>
      <c r="B281">
        <v>1</v>
      </c>
      <c r="C281">
        <v>1</v>
      </c>
      <c r="D281">
        <v>37</v>
      </c>
      <c r="E281" s="1">
        <v>25.155123979999999</v>
      </c>
      <c r="F281">
        <v>2</v>
      </c>
      <c r="G281" s="1">
        <v>4.1648488510000004</v>
      </c>
      <c r="H281" s="1">
        <v>183846.5552</v>
      </c>
    </row>
    <row r="282" spans="1:8" x14ac:dyDescent="0.25">
      <c r="A282">
        <v>2465</v>
      </c>
      <c r="B282">
        <v>1</v>
      </c>
      <c r="C282">
        <v>1</v>
      </c>
      <c r="D282">
        <v>0</v>
      </c>
      <c r="E282" s="1">
        <v>30.913939200000002</v>
      </c>
      <c r="F282">
        <v>0</v>
      </c>
      <c r="G282" s="1">
        <v>9.1859362569999998</v>
      </c>
      <c r="H282" s="1">
        <v>703798.80070000002</v>
      </c>
    </row>
    <row r="283" spans="1:8" x14ac:dyDescent="0.25">
      <c r="A283">
        <v>2216</v>
      </c>
      <c r="B283">
        <v>4</v>
      </c>
      <c r="C283">
        <v>2</v>
      </c>
      <c r="D283">
        <v>30</v>
      </c>
      <c r="E283" s="1">
        <v>25.73041993</v>
      </c>
      <c r="F283">
        <v>2</v>
      </c>
      <c r="G283" s="1">
        <v>6.12059935</v>
      </c>
      <c r="H283" s="1">
        <v>617842.02910000004</v>
      </c>
    </row>
    <row r="284" spans="1:8" x14ac:dyDescent="0.25">
      <c r="A284">
        <v>969</v>
      </c>
      <c r="B284">
        <v>3</v>
      </c>
      <c r="C284">
        <v>3</v>
      </c>
      <c r="D284">
        <v>3</v>
      </c>
      <c r="E284" s="1">
        <v>24.55600196</v>
      </c>
      <c r="F284">
        <v>1</v>
      </c>
      <c r="G284" s="1">
        <v>7.8595712850000004</v>
      </c>
      <c r="H284" s="1">
        <v>684415.80039999995</v>
      </c>
    </row>
    <row r="285" spans="1:8" x14ac:dyDescent="0.25">
      <c r="A285">
        <v>2295</v>
      </c>
      <c r="B285">
        <v>2</v>
      </c>
      <c r="C285">
        <v>2</v>
      </c>
      <c r="D285">
        <v>4</v>
      </c>
      <c r="E285" s="1">
        <v>26.46602115</v>
      </c>
      <c r="F285">
        <v>0</v>
      </c>
      <c r="G285" s="1">
        <v>8.3062604649999994</v>
      </c>
      <c r="H285" s="1">
        <v>724842.05149999994</v>
      </c>
    </row>
    <row r="286" spans="1:8" x14ac:dyDescent="0.25">
      <c r="A286">
        <v>3133</v>
      </c>
      <c r="B286">
        <v>3</v>
      </c>
      <c r="C286">
        <v>3</v>
      </c>
      <c r="D286">
        <v>29</v>
      </c>
      <c r="E286" s="1">
        <v>16.544406070000001</v>
      </c>
      <c r="F286">
        <v>2</v>
      </c>
      <c r="G286" s="1">
        <v>4.0766413769999996</v>
      </c>
      <c r="H286" s="1">
        <v>751405.72329999995</v>
      </c>
    </row>
    <row r="287" spans="1:8" x14ac:dyDescent="0.25">
      <c r="A287">
        <v>4263</v>
      </c>
      <c r="B287">
        <v>1</v>
      </c>
      <c r="C287">
        <v>1</v>
      </c>
      <c r="D287">
        <v>23</v>
      </c>
      <c r="E287" s="1">
        <v>30.658888529999999</v>
      </c>
      <c r="F287">
        <v>0</v>
      </c>
      <c r="G287" s="1">
        <v>4.903248982</v>
      </c>
      <c r="H287" s="1">
        <v>682887.58530000004</v>
      </c>
    </row>
    <row r="288" spans="1:8" x14ac:dyDescent="0.25">
      <c r="A288">
        <v>4414</v>
      </c>
      <c r="B288">
        <v>3</v>
      </c>
      <c r="C288">
        <v>4</v>
      </c>
      <c r="D288">
        <v>2</v>
      </c>
      <c r="E288" s="1">
        <v>7.5185583920000001</v>
      </c>
      <c r="F288">
        <v>0</v>
      </c>
      <c r="G288" s="1">
        <v>8.6362459699999992</v>
      </c>
      <c r="H288" s="1">
        <v>1118056.175</v>
      </c>
    </row>
    <row r="289" spans="1:8" x14ac:dyDescent="0.25">
      <c r="A289">
        <v>3301</v>
      </c>
      <c r="B289">
        <v>3</v>
      </c>
      <c r="C289">
        <v>2</v>
      </c>
      <c r="D289">
        <v>10</v>
      </c>
      <c r="E289" s="1">
        <v>4.8948313519999997</v>
      </c>
      <c r="F289">
        <v>2</v>
      </c>
      <c r="G289" s="1">
        <v>4.2692981650000004</v>
      </c>
      <c r="H289" s="1">
        <v>729205.41740000003</v>
      </c>
    </row>
    <row r="290" spans="1:8" x14ac:dyDescent="0.25">
      <c r="A290">
        <v>2086</v>
      </c>
      <c r="B290">
        <v>4</v>
      </c>
      <c r="C290">
        <v>4</v>
      </c>
      <c r="D290">
        <v>3</v>
      </c>
      <c r="E290" s="1">
        <v>10.35005291</v>
      </c>
      <c r="F290">
        <v>2</v>
      </c>
      <c r="G290" s="1">
        <v>8.1454162009999997</v>
      </c>
      <c r="H290" s="1">
        <v>847873.73510000005</v>
      </c>
    </row>
    <row r="291" spans="1:8" x14ac:dyDescent="0.25">
      <c r="A291">
        <v>3409</v>
      </c>
      <c r="B291">
        <v>5</v>
      </c>
      <c r="C291">
        <v>2</v>
      </c>
      <c r="D291">
        <v>25</v>
      </c>
      <c r="E291" s="1">
        <v>18.839420189999998</v>
      </c>
      <c r="F291">
        <v>1</v>
      </c>
      <c r="G291" s="1">
        <v>9.4689309030000004</v>
      </c>
      <c r="H291" s="1">
        <v>1034326.679</v>
      </c>
    </row>
    <row r="292" spans="1:8" x14ac:dyDescent="0.25">
      <c r="A292">
        <v>2773</v>
      </c>
      <c r="B292">
        <v>3</v>
      </c>
      <c r="C292">
        <v>1</v>
      </c>
      <c r="D292">
        <v>26</v>
      </c>
      <c r="E292" s="1">
        <v>18.114381940000001</v>
      </c>
      <c r="F292">
        <v>2</v>
      </c>
      <c r="G292" s="1">
        <v>6.6088933580000004</v>
      </c>
      <c r="H292" s="1">
        <v>256801.27910000001</v>
      </c>
    </row>
    <row r="293" spans="1:8" x14ac:dyDescent="0.25">
      <c r="A293">
        <v>2937</v>
      </c>
      <c r="B293">
        <v>3</v>
      </c>
      <c r="C293">
        <v>1</v>
      </c>
      <c r="D293">
        <v>26</v>
      </c>
      <c r="E293" s="1">
        <v>28.81065714</v>
      </c>
      <c r="F293">
        <v>1</v>
      </c>
      <c r="G293" s="1">
        <v>7.6746455869999997</v>
      </c>
      <c r="H293" s="1">
        <v>808256.81660000002</v>
      </c>
    </row>
    <row r="294" spans="1:8" x14ac:dyDescent="0.25">
      <c r="A294">
        <v>1809</v>
      </c>
      <c r="B294">
        <v>1</v>
      </c>
      <c r="C294">
        <v>1</v>
      </c>
      <c r="D294">
        <v>5</v>
      </c>
      <c r="E294" s="1">
        <v>18</v>
      </c>
      <c r="F294">
        <v>2</v>
      </c>
      <c r="G294" s="1">
        <v>8.2458758079999992</v>
      </c>
      <c r="H294" s="1">
        <v>561957.48950000003</v>
      </c>
    </row>
    <row r="295" spans="1:8" x14ac:dyDescent="0.25">
      <c r="A295">
        <v>4457</v>
      </c>
      <c r="B295">
        <v>2</v>
      </c>
      <c r="C295">
        <v>3</v>
      </c>
      <c r="D295">
        <v>14</v>
      </c>
      <c r="E295" s="1">
        <v>17.209882709999999</v>
      </c>
      <c r="F295">
        <v>0</v>
      </c>
      <c r="G295" s="1">
        <v>8.6053568400000007</v>
      </c>
      <c r="H295" s="1">
        <v>1021334.624</v>
      </c>
    </row>
    <row r="296" spans="1:8" x14ac:dyDescent="0.25">
      <c r="A296">
        <v>1184</v>
      </c>
      <c r="B296">
        <v>4</v>
      </c>
      <c r="C296">
        <v>3</v>
      </c>
      <c r="D296">
        <v>29</v>
      </c>
      <c r="E296" s="1">
        <v>0.96118507200000003</v>
      </c>
      <c r="F296">
        <v>2</v>
      </c>
      <c r="G296" s="1">
        <v>4.555480041</v>
      </c>
      <c r="H296" s="1">
        <v>491357.49420000002</v>
      </c>
    </row>
    <row r="297" spans="1:8" x14ac:dyDescent="0.25">
      <c r="A297">
        <v>3575</v>
      </c>
      <c r="B297">
        <v>2</v>
      </c>
      <c r="C297">
        <v>2</v>
      </c>
      <c r="D297">
        <v>36</v>
      </c>
      <c r="E297" s="1">
        <v>14.63600366</v>
      </c>
      <c r="F297">
        <v>1</v>
      </c>
      <c r="G297" s="1">
        <v>1.4613711330000001</v>
      </c>
      <c r="H297" s="1">
        <v>586942.84629999998</v>
      </c>
    </row>
    <row r="298" spans="1:8" x14ac:dyDescent="0.25">
      <c r="A298">
        <v>4741</v>
      </c>
      <c r="B298">
        <v>3</v>
      </c>
      <c r="C298">
        <v>3</v>
      </c>
      <c r="D298">
        <v>20</v>
      </c>
      <c r="E298" s="1">
        <v>22.848211039999999</v>
      </c>
      <c r="F298">
        <v>0</v>
      </c>
      <c r="G298" s="1">
        <v>4.6168864410000001</v>
      </c>
      <c r="H298" s="1">
        <v>820920.37150000001</v>
      </c>
    </row>
    <row r="299" spans="1:8" x14ac:dyDescent="0.25">
      <c r="A299">
        <v>2773</v>
      </c>
      <c r="B299">
        <v>1</v>
      </c>
      <c r="C299">
        <v>2</v>
      </c>
      <c r="D299">
        <v>36</v>
      </c>
      <c r="E299" s="1">
        <v>1.0350374069999999</v>
      </c>
      <c r="F299">
        <v>0</v>
      </c>
      <c r="G299" s="1">
        <v>7.0638060679999999</v>
      </c>
      <c r="H299" s="1">
        <v>722929.79020000005</v>
      </c>
    </row>
    <row r="300" spans="1:8" x14ac:dyDescent="0.25">
      <c r="A300">
        <v>937</v>
      </c>
      <c r="B300">
        <v>5</v>
      </c>
      <c r="C300">
        <v>2</v>
      </c>
      <c r="D300">
        <v>34</v>
      </c>
      <c r="E300" s="1">
        <v>10.1904278</v>
      </c>
      <c r="F300">
        <v>1</v>
      </c>
      <c r="G300" s="1">
        <v>5.053153472</v>
      </c>
      <c r="H300" s="1">
        <v>491559.0711</v>
      </c>
    </row>
    <row r="301" spans="1:8" x14ac:dyDescent="0.25">
      <c r="A301">
        <v>2241</v>
      </c>
      <c r="B301">
        <v>3</v>
      </c>
      <c r="C301">
        <v>1</v>
      </c>
      <c r="D301">
        <v>22</v>
      </c>
      <c r="E301" s="1">
        <v>7.674494395</v>
      </c>
      <c r="F301">
        <v>2</v>
      </c>
      <c r="G301" s="1">
        <v>7.7406683579999997</v>
      </c>
      <c r="H301" s="1">
        <v>715512.40220000001</v>
      </c>
    </row>
    <row r="302" spans="1:8" x14ac:dyDescent="0.25">
      <c r="A302">
        <v>2855</v>
      </c>
      <c r="B302">
        <v>3</v>
      </c>
      <c r="C302">
        <v>4</v>
      </c>
      <c r="D302">
        <v>5</v>
      </c>
      <c r="E302" s="1">
        <v>1.9484972970000001</v>
      </c>
      <c r="F302">
        <v>0</v>
      </c>
      <c r="G302" s="1">
        <v>4.2128418649999997</v>
      </c>
      <c r="H302" s="1">
        <v>709038.11939999997</v>
      </c>
    </row>
    <row r="303" spans="1:8" x14ac:dyDescent="0.25">
      <c r="A303">
        <v>924</v>
      </c>
      <c r="B303">
        <v>2</v>
      </c>
      <c r="C303">
        <v>4</v>
      </c>
      <c r="D303">
        <v>3</v>
      </c>
      <c r="E303" s="1">
        <v>17.0344731</v>
      </c>
      <c r="F303">
        <v>0</v>
      </c>
      <c r="G303" s="1">
        <v>6.7126972699999996</v>
      </c>
      <c r="H303" s="1">
        <v>555198.01839999994</v>
      </c>
    </row>
    <row r="304" spans="1:8" x14ac:dyDescent="0.25">
      <c r="A304">
        <v>3350</v>
      </c>
      <c r="B304">
        <v>4</v>
      </c>
      <c r="C304">
        <v>3</v>
      </c>
      <c r="D304">
        <v>17</v>
      </c>
      <c r="E304" s="1">
        <v>6.7694536159999998</v>
      </c>
      <c r="F304">
        <v>1</v>
      </c>
      <c r="G304" s="1">
        <v>2.6777782440000002</v>
      </c>
      <c r="H304" s="1">
        <v>806427.60439999995</v>
      </c>
    </row>
    <row r="305" spans="1:8" x14ac:dyDescent="0.25">
      <c r="A305">
        <v>4531</v>
      </c>
      <c r="B305">
        <v>3</v>
      </c>
      <c r="C305">
        <v>4</v>
      </c>
      <c r="D305">
        <v>8</v>
      </c>
      <c r="E305" s="1">
        <v>26.136313120000001</v>
      </c>
      <c r="F305">
        <v>2</v>
      </c>
      <c r="G305" s="1">
        <v>7.7443249300000003</v>
      </c>
      <c r="H305" s="1">
        <v>1108123.6240000001</v>
      </c>
    </row>
    <row r="306" spans="1:8" x14ac:dyDescent="0.25">
      <c r="A306">
        <v>4515</v>
      </c>
      <c r="B306">
        <v>5</v>
      </c>
      <c r="C306">
        <v>2</v>
      </c>
      <c r="D306">
        <v>28</v>
      </c>
      <c r="E306" s="1">
        <v>29.75351199</v>
      </c>
      <c r="F306">
        <v>1</v>
      </c>
      <c r="G306" s="1">
        <v>5.9112637189999999</v>
      </c>
      <c r="H306" s="1">
        <v>988379.42790000001</v>
      </c>
    </row>
    <row r="307" spans="1:8" x14ac:dyDescent="0.25">
      <c r="A307">
        <v>2768</v>
      </c>
      <c r="B307">
        <v>2</v>
      </c>
      <c r="C307">
        <v>2</v>
      </c>
      <c r="D307">
        <v>12</v>
      </c>
      <c r="E307" s="1">
        <v>19.322688800000002</v>
      </c>
      <c r="F307">
        <v>1</v>
      </c>
      <c r="G307" s="1">
        <v>2.8365794969999998</v>
      </c>
      <c r="H307" s="1">
        <v>503898.81790000002</v>
      </c>
    </row>
    <row r="308" spans="1:8" x14ac:dyDescent="0.25">
      <c r="A308">
        <v>4247</v>
      </c>
      <c r="B308">
        <v>2</v>
      </c>
      <c r="C308">
        <v>1</v>
      </c>
      <c r="D308">
        <v>16</v>
      </c>
      <c r="E308" s="1">
        <v>34.368903320000001</v>
      </c>
      <c r="F308">
        <v>1</v>
      </c>
      <c r="G308" s="1">
        <v>3.627200561</v>
      </c>
      <c r="H308" s="1">
        <v>733454.05310000002</v>
      </c>
    </row>
    <row r="309" spans="1:8" x14ac:dyDescent="0.25">
      <c r="A309">
        <v>4895</v>
      </c>
      <c r="B309">
        <v>5</v>
      </c>
      <c r="C309">
        <v>1</v>
      </c>
      <c r="D309">
        <v>31</v>
      </c>
      <c r="E309" s="1">
        <v>16.041510720000002</v>
      </c>
      <c r="F309">
        <v>2</v>
      </c>
      <c r="G309" s="1">
        <v>7.7374783770000004</v>
      </c>
      <c r="H309" s="1">
        <v>1091805.9310000001</v>
      </c>
    </row>
    <row r="310" spans="1:8" x14ac:dyDescent="0.25">
      <c r="A310">
        <v>3101</v>
      </c>
      <c r="B310">
        <v>3</v>
      </c>
      <c r="C310">
        <v>4</v>
      </c>
      <c r="D310">
        <v>21</v>
      </c>
      <c r="E310" s="1">
        <v>18.211203250000001</v>
      </c>
      <c r="F310">
        <v>1</v>
      </c>
      <c r="G310" s="1">
        <v>5.3434111209999999</v>
      </c>
      <c r="H310" s="1">
        <v>720523.86</v>
      </c>
    </row>
    <row r="311" spans="1:8" x14ac:dyDescent="0.25">
      <c r="A311">
        <v>1371</v>
      </c>
      <c r="B311">
        <v>3</v>
      </c>
      <c r="C311">
        <v>3</v>
      </c>
      <c r="D311">
        <v>3</v>
      </c>
      <c r="E311" s="1">
        <v>34.628012509999998</v>
      </c>
      <c r="F311">
        <v>2</v>
      </c>
      <c r="G311" s="1">
        <v>2.9442829640000001</v>
      </c>
      <c r="H311" s="1">
        <v>603480.79110000003</v>
      </c>
    </row>
    <row r="312" spans="1:8" x14ac:dyDescent="0.25">
      <c r="A312">
        <v>1566</v>
      </c>
      <c r="B312">
        <v>4</v>
      </c>
      <c r="C312">
        <v>4</v>
      </c>
      <c r="D312">
        <v>4</v>
      </c>
      <c r="E312" s="1">
        <v>8.4884210410000005</v>
      </c>
      <c r="F312">
        <v>2</v>
      </c>
      <c r="G312" s="1">
        <v>9.7054407129999998</v>
      </c>
      <c r="H312" s="1">
        <v>874193.35530000005</v>
      </c>
    </row>
    <row r="313" spans="1:8" x14ac:dyDescent="0.25">
      <c r="A313">
        <v>3174</v>
      </c>
      <c r="B313">
        <v>3</v>
      </c>
      <c r="C313">
        <v>4</v>
      </c>
      <c r="D313">
        <v>36</v>
      </c>
      <c r="E313" s="1">
        <v>33.017834919999999</v>
      </c>
      <c r="F313">
        <v>0</v>
      </c>
      <c r="G313" s="1">
        <v>7.4361251780000002</v>
      </c>
      <c r="H313" s="1">
        <v>986920.81720000005</v>
      </c>
    </row>
    <row r="314" spans="1:8" x14ac:dyDescent="0.25">
      <c r="A314">
        <v>2382</v>
      </c>
      <c r="B314">
        <v>5</v>
      </c>
      <c r="C314">
        <v>4</v>
      </c>
      <c r="D314">
        <v>20</v>
      </c>
      <c r="E314" s="1">
        <v>1.9778956519999999</v>
      </c>
      <c r="F314">
        <v>0</v>
      </c>
      <c r="G314" s="1">
        <v>9.6142134929999994</v>
      </c>
      <c r="H314" s="1">
        <v>958678.1703</v>
      </c>
    </row>
    <row r="315" spans="1:8" x14ac:dyDescent="0.25">
      <c r="A315">
        <v>1253</v>
      </c>
      <c r="B315">
        <v>1</v>
      </c>
      <c r="C315">
        <v>4</v>
      </c>
      <c r="D315">
        <v>33</v>
      </c>
      <c r="E315" s="1">
        <v>15.90034771</v>
      </c>
      <c r="F315">
        <v>2</v>
      </c>
      <c r="G315" s="1">
        <v>4.8439454079999997</v>
      </c>
      <c r="H315" s="1">
        <v>265432.1041</v>
      </c>
    </row>
    <row r="316" spans="1:8" x14ac:dyDescent="0.25">
      <c r="A316">
        <v>4546</v>
      </c>
      <c r="B316">
        <v>2</v>
      </c>
      <c r="C316">
        <v>2</v>
      </c>
      <c r="D316">
        <v>20</v>
      </c>
      <c r="E316" s="1">
        <v>2.9151211689999998</v>
      </c>
      <c r="F316">
        <v>2</v>
      </c>
      <c r="G316" s="1">
        <v>5.2759030659999997</v>
      </c>
      <c r="H316" s="1">
        <v>884137.63379999995</v>
      </c>
    </row>
    <row r="317" spans="1:8" x14ac:dyDescent="0.25">
      <c r="A317">
        <v>4136</v>
      </c>
      <c r="B317">
        <v>5</v>
      </c>
      <c r="C317">
        <v>3</v>
      </c>
      <c r="D317">
        <v>22</v>
      </c>
      <c r="E317" s="1">
        <v>25.65859863</v>
      </c>
      <c r="F317">
        <v>2</v>
      </c>
      <c r="G317" s="1">
        <v>9.0815969459999994</v>
      </c>
      <c r="H317" s="1">
        <v>1131674.1640000001</v>
      </c>
    </row>
    <row r="318" spans="1:8" x14ac:dyDescent="0.25">
      <c r="A318">
        <v>4169</v>
      </c>
      <c r="B318">
        <v>5</v>
      </c>
      <c r="C318">
        <v>2</v>
      </c>
      <c r="D318">
        <v>2</v>
      </c>
      <c r="E318" s="1">
        <v>21.490108289999998</v>
      </c>
      <c r="F318">
        <v>2</v>
      </c>
      <c r="G318" s="1">
        <v>5.7254440620000002</v>
      </c>
      <c r="H318" s="1">
        <v>918529.01870000002</v>
      </c>
    </row>
    <row r="319" spans="1:8" x14ac:dyDescent="0.25">
      <c r="A319">
        <v>2773</v>
      </c>
      <c r="B319">
        <v>3</v>
      </c>
      <c r="C319">
        <v>3</v>
      </c>
      <c r="D319">
        <v>33</v>
      </c>
      <c r="E319" s="1">
        <v>24.878882090000001</v>
      </c>
      <c r="F319">
        <v>2</v>
      </c>
      <c r="G319" s="1">
        <v>7.3655102069999998</v>
      </c>
      <c r="H319" s="1">
        <v>499257.1079</v>
      </c>
    </row>
    <row r="320" spans="1:8" x14ac:dyDescent="0.25">
      <c r="A320">
        <v>3661</v>
      </c>
      <c r="B320">
        <v>2</v>
      </c>
      <c r="C320">
        <v>1</v>
      </c>
      <c r="D320">
        <v>31</v>
      </c>
      <c r="E320" s="1">
        <v>13.4195738</v>
      </c>
      <c r="F320">
        <v>2</v>
      </c>
      <c r="G320" s="1">
        <v>3.269555897</v>
      </c>
      <c r="H320" s="1">
        <v>755733.76240000001</v>
      </c>
    </row>
    <row r="321" spans="1:8" x14ac:dyDescent="0.25">
      <c r="A321">
        <v>1548</v>
      </c>
      <c r="B321">
        <v>3</v>
      </c>
      <c r="C321">
        <v>4</v>
      </c>
      <c r="D321">
        <v>20</v>
      </c>
      <c r="E321" s="1">
        <v>13.247126720000001</v>
      </c>
      <c r="F321">
        <v>1</v>
      </c>
      <c r="G321" s="1">
        <v>5.0205382180000004</v>
      </c>
      <c r="H321" s="1">
        <v>581430.30790000001</v>
      </c>
    </row>
    <row r="322" spans="1:8" x14ac:dyDescent="0.25">
      <c r="A322">
        <v>2115</v>
      </c>
      <c r="B322">
        <v>2</v>
      </c>
      <c r="C322">
        <v>2</v>
      </c>
      <c r="D322">
        <v>20</v>
      </c>
      <c r="E322" s="1">
        <v>2.0635151239999998</v>
      </c>
      <c r="F322">
        <v>2</v>
      </c>
      <c r="G322" s="1">
        <v>2.1110487920000001</v>
      </c>
      <c r="H322" s="1">
        <v>491694.62780000002</v>
      </c>
    </row>
    <row r="323" spans="1:8" x14ac:dyDescent="0.25">
      <c r="A323">
        <v>4254</v>
      </c>
      <c r="B323">
        <v>3</v>
      </c>
      <c r="C323">
        <v>3</v>
      </c>
      <c r="D323">
        <v>10</v>
      </c>
      <c r="E323" s="1">
        <v>12.57310041</v>
      </c>
      <c r="F323">
        <v>1</v>
      </c>
      <c r="G323" s="1">
        <v>5</v>
      </c>
      <c r="H323" s="1">
        <v>793240.17090000003</v>
      </c>
    </row>
    <row r="324" spans="1:8" x14ac:dyDescent="0.25">
      <c r="A324">
        <v>2891</v>
      </c>
      <c r="B324">
        <v>5</v>
      </c>
      <c r="C324">
        <v>1</v>
      </c>
      <c r="D324">
        <v>38</v>
      </c>
      <c r="E324" s="1">
        <v>32.56044988</v>
      </c>
      <c r="F324">
        <v>1</v>
      </c>
      <c r="G324" s="1">
        <v>1.008490737</v>
      </c>
      <c r="H324" s="1">
        <v>437903.80969999998</v>
      </c>
    </row>
    <row r="325" spans="1:8" x14ac:dyDescent="0.25">
      <c r="A325">
        <v>3060</v>
      </c>
      <c r="B325">
        <v>5</v>
      </c>
      <c r="C325">
        <v>1</v>
      </c>
      <c r="D325">
        <v>3</v>
      </c>
      <c r="E325" s="1">
        <v>13.58331553</v>
      </c>
      <c r="F325">
        <v>1</v>
      </c>
      <c r="G325" s="1">
        <v>1.3533854649999999</v>
      </c>
      <c r="H325" s="1">
        <v>666447.53300000005</v>
      </c>
    </row>
    <row r="326" spans="1:8" x14ac:dyDescent="0.25">
      <c r="A326">
        <v>3524</v>
      </c>
      <c r="B326">
        <v>1</v>
      </c>
      <c r="C326">
        <v>4</v>
      </c>
      <c r="D326">
        <v>0</v>
      </c>
      <c r="E326" s="1">
        <v>29.182185860000001</v>
      </c>
      <c r="F326">
        <v>2</v>
      </c>
      <c r="G326" s="1">
        <v>9.7955544089999993</v>
      </c>
      <c r="H326" s="1">
        <v>927648.66949999996</v>
      </c>
    </row>
    <row r="327" spans="1:8" x14ac:dyDescent="0.25">
      <c r="A327">
        <v>3451</v>
      </c>
      <c r="B327">
        <v>3</v>
      </c>
      <c r="C327">
        <v>3</v>
      </c>
      <c r="D327">
        <v>27</v>
      </c>
      <c r="E327" s="1">
        <v>29.56022991</v>
      </c>
      <c r="F327">
        <v>1</v>
      </c>
      <c r="G327" s="1">
        <v>3.1811832560000002</v>
      </c>
      <c r="H327" s="1">
        <v>663033.07339999999</v>
      </c>
    </row>
    <row r="328" spans="1:8" x14ac:dyDescent="0.25">
      <c r="A328">
        <v>404</v>
      </c>
      <c r="B328">
        <v>4</v>
      </c>
      <c r="C328">
        <v>2</v>
      </c>
      <c r="D328">
        <v>23</v>
      </c>
      <c r="E328" s="1">
        <v>13.376819899999999</v>
      </c>
      <c r="F328">
        <v>1</v>
      </c>
      <c r="G328" s="1">
        <v>6.9697963859999996</v>
      </c>
      <c r="H328" s="1">
        <v>515474.58380000002</v>
      </c>
    </row>
    <row r="329" spans="1:8" x14ac:dyDescent="0.25">
      <c r="A329">
        <v>1276</v>
      </c>
      <c r="B329">
        <v>1</v>
      </c>
      <c r="C329">
        <v>4</v>
      </c>
      <c r="D329">
        <v>34</v>
      </c>
      <c r="E329" s="1">
        <v>22.303609470000001</v>
      </c>
      <c r="F329">
        <v>2</v>
      </c>
      <c r="G329" s="1">
        <v>8.5518972889999993</v>
      </c>
      <c r="H329" s="1">
        <v>576953.8909</v>
      </c>
    </row>
    <row r="330" spans="1:8" x14ac:dyDescent="0.25">
      <c r="A330">
        <v>1391</v>
      </c>
      <c r="B330">
        <v>3</v>
      </c>
      <c r="C330">
        <v>2</v>
      </c>
      <c r="D330">
        <v>12</v>
      </c>
      <c r="E330" s="1">
        <v>3.7903202779999998</v>
      </c>
      <c r="F330">
        <v>2</v>
      </c>
      <c r="G330" s="1">
        <v>5.955944133</v>
      </c>
      <c r="H330" s="1">
        <v>577966.43729999999</v>
      </c>
    </row>
    <row r="331" spans="1:8" x14ac:dyDescent="0.25">
      <c r="A331">
        <v>4542</v>
      </c>
      <c r="B331">
        <v>3</v>
      </c>
      <c r="C331">
        <v>1</v>
      </c>
      <c r="D331">
        <v>33</v>
      </c>
      <c r="E331" s="1">
        <v>4.0769110350000002</v>
      </c>
      <c r="F331">
        <v>1</v>
      </c>
      <c r="G331" s="1">
        <v>2.378300501</v>
      </c>
      <c r="H331" s="1">
        <v>684856.34510000004</v>
      </c>
    </row>
    <row r="332" spans="1:8" x14ac:dyDescent="0.25">
      <c r="A332">
        <v>4764</v>
      </c>
      <c r="B332">
        <v>1</v>
      </c>
      <c r="C332">
        <v>2</v>
      </c>
      <c r="D332">
        <v>10</v>
      </c>
      <c r="E332" s="1">
        <v>2.1786893959999998</v>
      </c>
      <c r="F332">
        <v>1</v>
      </c>
      <c r="G332" s="1">
        <v>7.5530479359999996</v>
      </c>
      <c r="H332" s="1">
        <v>984843.12289999996</v>
      </c>
    </row>
    <row r="333" spans="1:8" x14ac:dyDescent="0.25">
      <c r="A333">
        <v>4865</v>
      </c>
      <c r="B333">
        <v>5</v>
      </c>
      <c r="C333">
        <v>2</v>
      </c>
      <c r="D333">
        <v>35</v>
      </c>
      <c r="E333" s="1">
        <v>20.54502072</v>
      </c>
      <c r="F333">
        <v>1</v>
      </c>
      <c r="G333" s="1">
        <v>6.4022626909999998</v>
      </c>
      <c r="H333" s="1">
        <v>951604.38879999996</v>
      </c>
    </row>
    <row r="334" spans="1:8" x14ac:dyDescent="0.25">
      <c r="A334">
        <v>1035</v>
      </c>
      <c r="B334">
        <v>3</v>
      </c>
      <c r="C334">
        <v>4</v>
      </c>
      <c r="D334">
        <v>16</v>
      </c>
      <c r="E334" s="1">
        <v>15.19944873</v>
      </c>
      <c r="F334">
        <v>0</v>
      </c>
      <c r="G334" s="1">
        <v>7.5812553039999999</v>
      </c>
      <c r="H334" s="1">
        <v>540133.16619999998</v>
      </c>
    </row>
    <row r="335" spans="1:8" x14ac:dyDescent="0.25">
      <c r="A335">
        <v>2093</v>
      </c>
      <c r="B335">
        <v>5</v>
      </c>
      <c r="C335">
        <v>2</v>
      </c>
      <c r="D335">
        <v>34</v>
      </c>
      <c r="E335" s="1">
        <v>19.407116299999998</v>
      </c>
      <c r="F335">
        <v>1</v>
      </c>
      <c r="G335" s="1">
        <v>7.9277196060000001</v>
      </c>
      <c r="H335" s="1">
        <v>818117.13450000004</v>
      </c>
    </row>
    <row r="336" spans="1:8" x14ac:dyDescent="0.25">
      <c r="A336">
        <v>2082</v>
      </c>
      <c r="B336">
        <v>1</v>
      </c>
      <c r="C336">
        <v>4</v>
      </c>
      <c r="D336">
        <v>17</v>
      </c>
      <c r="E336" s="1">
        <v>18.47702507</v>
      </c>
      <c r="F336">
        <v>0</v>
      </c>
      <c r="G336" s="1">
        <v>9.7786933089999994</v>
      </c>
      <c r="H336" s="1">
        <v>774623.2084</v>
      </c>
    </row>
    <row r="337" spans="1:8" x14ac:dyDescent="0.25">
      <c r="A337">
        <v>519</v>
      </c>
      <c r="B337">
        <v>5</v>
      </c>
      <c r="C337">
        <v>1</v>
      </c>
      <c r="D337">
        <v>39</v>
      </c>
      <c r="E337" s="1">
        <v>12.58200319</v>
      </c>
      <c r="F337">
        <v>2</v>
      </c>
      <c r="G337" s="1">
        <v>6.1620695200000002</v>
      </c>
      <c r="H337" s="1">
        <v>489020.00780000002</v>
      </c>
    </row>
    <row r="338" spans="1:8" x14ac:dyDescent="0.25">
      <c r="A338">
        <v>1230</v>
      </c>
      <c r="B338">
        <v>2</v>
      </c>
      <c r="C338">
        <v>4</v>
      </c>
      <c r="D338">
        <v>21</v>
      </c>
      <c r="E338" s="1">
        <v>23.872832809999998</v>
      </c>
      <c r="F338">
        <v>2</v>
      </c>
      <c r="G338" s="1">
        <v>4.0747700140000003</v>
      </c>
      <c r="H338" s="1">
        <v>383009.12609999999</v>
      </c>
    </row>
    <row r="339" spans="1:8" x14ac:dyDescent="0.25">
      <c r="A339">
        <v>4075</v>
      </c>
      <c r="B339">
        <v>4</v>
      </c>
      <c r="C339">
        <v>4</v>
      </c>
      <c r="D339">
        <v>23</v>
      </c>
      <c r="E339" s="1">
        <v>26.668314890000001</v>
      </c>
      <c r="F339">
        <v>1</v>
      </c>
      <c r="G339" s="1">
        <v>6.8361810119999999</v>
      </c>
      <c r="H339" s="1">
        <v>961049.22109999997</v>
      </c>
    </row>
    <row r="340" spans="1:8" x14ac:dyDescent="0.25">
      <c r="A340">
        <v>1769</v>
      </c>
      <c r="B340">
        <v>3</v>
      </c>
      <c r="C340">
        <v>3</v>
      </c>
      <c r="D340">
        <v>18</v>
      </c>
      <c r="E340" s="1">
        <v>1.004674931</v>
      </c>
      <c r="F340">
        <v>2</v>
      </c>
      <c r="G340" s="1">
        <v>5</v>
      </c>
      <c r="H340" s="1">
        <v>466274.30550000002</v>
      </c>
    </row>
    <row r="341" spans="1:8" x14ac:dyDescent="0.25">
      <c r="A341">
        <v>1140</v>
      </c>
      <c r="B341">
        <v>4</v>
      </c>
      <c r="C341">
        <v>2</v>
      </c>
      <c r="D341">
        <v>36</v>
      </c>
      <c r="E341" s="1">
        <v>7.6498593420000001</v>
      </c>
      <c r="F341">
        <v>2</v>
      </c>
      <c r="G341" s="1">
        <v>9.0765758650000006</v>
      </c>
      <c r="H341" s="1">
        <v>596593.54720000003</v>
      </c>
    </row>
    <row r="342" spans="1:8" x14ac:dyDescent="0.25">
      <c r="A342">
        <v>516</v>
      </c>
      <c r="B342">
        <v>5</v>
      </c>
      <c r="C342">
        <v>1</v>
      </c>
      <c r="D342">
        <v>38</v>
      </c>
      <c r="E342" s="1">
        <v>25.106637450000001</v>
      </c>
      <c r="F342">
        <v>2</v>
      </c>
      <c r="G342" s="1">
        <v>2.0744291019999999</v>
      </c>
      <c r="H342" s="1">
        <v>274285.77500000002</v>
      </c>
    </row>
    <row r="343" spans="1:8" x14ac:dyDescent="0.25">
      <c r="A343">
        <v>3238</v>
      </c>
      <c r="B343">
        <v>3</v>
      </c>
      <c r="C343">
        <v>4</v>
      </c>
      <c r="D343">
        <v>20</v>
      </c>
      <c r="E343" s="1">
        <v>13.83839596</v>
      </c>
      <c r="F343">
        <v>2</v>
      </c>
      <c r="G343" s="1">
        <v>3.9505855410000001</v>
      </c>
      <c r="H343" s="1">
        <v>788442.34459999995</v>
      </c>
    </row>
    <row r="344" spans="1:8" x14ac:dyDescent="0.25">
      <c r="A344">
        <v>1550</v>
      </c>
      <c r="B344">
        <v>5</v>
      </c>
      <c r="C344">
        <v>1</v>
      </c>
      <c r="D344">
        <v>7</v>
      </c>
      <c r="E344" s="1">
        <v>23.355696170000002</v>
      </c>
      <c r="F344">
        <v>0</v>
      </c>
      <c r="G344" s="1">
        <v>8.3417084260000003</v>
      </c>
      <c r="H344" s="1">
        <v>822000.06099999999</v>
      </c>
    </row>
    <row r="345" spans="1:8" x14ac:dyDescent="0.25">
      <c r="A345">
        <v>2331</v>
      </c>
      <c r="B345">
        <v>2</v>
      </c>
      <c r="C345">
        <v>3</v>
      </c>
      <c r="D345">
        <v>27</v>
      </c>
      <c r="E345" s="1">
        <v>12.47021176</v>
      </c>
      <c r="F345">
        <v>0</v>
      </c>
      <c r="G345" s="1">
        <v>6.3758114050000003</v>
      </c>
      <c r="H345" s="1">
        <v>631075.40090000001</v>
      </c>
    </row>
    <row r="346" spans="1:8" x14ac:dyDescent="0.25">
      <c r="A346">
        <v>1412</v>
      </c>
      <c r="B346">
        <v>1</v>
      </c>
      <c r="C346">
        <v>2</v>
      </c>
      <c r="D346">
        <v>4</v>
      </c>
      <c r="E346" s="1">
        <v>13.981052760000001</v>
      </c>
      <c r="F346">
        <v>1</v>
      </c>
      <c r="G346" s="1">
        <v>4.5427196820000004</v>
      </c>
      <c r="H346" s="1">
        <v>470001.62589999998</v>
      </c>
    </row>
    <row r="347" spans="1:8" x14ac:dyDescent="0.25">
      <c r="A347">
        <v>2064</v>
      </c>
      <c r="B347">
        <v>3</v>
      </c>
      <c r="C347">
        <v>4</v>
      </c>
      <c r="D347">
        <v>16</v>
      </c>
      <c r="E347" s="1">
        <v>5.9744211419999997</v>
      </c>
      <c r="F347">
        <v>1</v>
      </c>
      <c r="G347" s="1">
        <v>5.2609209339999996</v>
      </c>
      <c r="H347" s="1">
        <v>591452.20209999999</v>
      </c>
    </row>
    <row r="348" spans="1:8" x14ac:dyDescent="0.25">
      <c r="A348">
        <v>1481</v>
      </c>
      <c r="B348">
        <v>2</v>
      </c>
      <c r="C348">
        <v>2</v>
      </c>
      <c r="D348">
        <v>36</v>
      </c>
      <c r="E348" s="1">
        <v>9.4089701780000006</v>
      </c>
      <c r="F348">
        <v>1</v>
      </c>
      <c r="G348" s="1">
        <v>8.6909265389999995</v>
      </c>
      <c r="H348" s="1">
        <v>632216.16830000002</v>
      </c>
    </row>
    <row r="349" spans="1:8" x14ac:dyDescent="0.25">
      <c r="A349">
        <v>912</v>
      </c>
      <c r="B349">
        <v>3</v>
      </c>
      <c r="C349">
        <v>3</v>
      </c>
      <c r="D349">
        <v>35</v>
      </c>
      <c r="E349" s="1">
        <v>21.386705630000002</v>
      </c>
      <c r="F349">
        <v>2</v>
      </c>
      <c r="G349" s="1">
        <v>4.060039475</v>
      </c>
      <c r="H349" s="1">
        <v>319564.09980000003</v>
      </c>
    </row>
    <row r="350" spans="1:8" x14ac:dyDescent="0.25">
      <c r="A350">
        <v>3249</v>
      </c>
      <c r="B350">
        <v>3</v>
      </c>
      <c r="C350">
        <v>3</v>
      </c>
      <c r="D350">
        <v>18</v>
      </c>
      <c r="E350" s="1">
        <v>15.44412734</v>
      </c>
      <c r="F350">
        <v>1</v>
      </c>
      <c r="G350" s="1">
        <v>8.8268471630000001</v>
      </c>
      <c r="H350" s="1">
        <v>939154.97640000004</v>
      </c>
    </row>
    <row r="351" spans="1:8" x14ac:dyDescent="0.25">
      <c r="A351">
        <v>959</v>
      </c>
      <c r="B351">
        <v>5</v>
      </c>
      <c r="C351">
        <v>1</v>
      </c>
      <c r="D351">
        <v>26</v>
      </c>
      <c r="E351" s="1">
        <v>27.213442560000001</v>
      </c>
      <c r="F351">
        <v>0</v>
      </c>
      <c r="G351" s="1">
        <v>1.793209879</v>
      </c>
      <c r="H351" s="1">
        <v>361600.61040000001</v>
      </c>
    </row>
    <row r="352" spans="1:8" x14ac:dyDescent="0.25">
      <c r="A352">
        <v>4072</v>
      </c>
      <c r="B352">
        <v>2</v>
      </c>
      <c r="C352">
        <v>4</v>
      </c>
      <c r="D352">
        <v>33</v>
      </c>
      <c r="E352" s="1">
        <v>29.914180949999999</v>
      </c>
      <c r="F352">
        <v>0</v>
      </c>
      <c r="G352" s="1">
        <v>7.9911859349999999</v>
      </c>
      <c r="H352" s="1">
        <v>983436.8665</v>
      </c>
    </row>
    <row r="353" spans="1:8" x14ac:dyDescent="0.25">
      <c r="A353">
        <v>4983</v>
      </c>
      <c r="B353">
        <v>4</v>
      </c>
      <c r="C353">
        <v>1</v>
      </c>
      <c r="D353">
        <v>10</v>
      </c>
      <c r="E353" s="1">
        <v>19.186801429999999</v>
      </c>
      <c r="F353">
        <v>1</v>
      </c>
      <c r="G353" s="1">
        <v>8.6279286969999998</v>
      </c>
      <c r="H353" s="1">
        <v>1080575.1629999999</v>
      </c>
    </row>
    <row r="354" spans="1:8" x14ac:dyDescent="0.25">
      <c r="A354">
        <v>3743</v>
      </c>
      <c r="B354">
        <v>2</v>
      </c>
      <c r="C354">
        <v>3</v>
      </c>
      <c r="D354">
        <v>11</v>
      </c>
      <c r="E354" s="1">
        <v>26.660221580000002</v>
      </c>
      <c r="F354">
        <v>0</v>
      </c>
      <c r="G354" s="1">
        <v>2.6363588760000001</v>
      </c>
      <c r="H354" s="1">
        <v>714004.33750000002</v>
      </c>
    </row>
    <row r="355" spans="1:8" x14ac:dyDescent="0.25">
      <c r="A355">
        <v>4470</v>
      </c>
      <c r="B355">
        <v>5</v>
      </c>
      <c r="C355">
        <v>2</v>
      </c>
      <c r="D355">
        <v>20</v>
      </c>
      <c r="E355" s="1">
        <v>11.08820571</v>
      </c>
      <c r="F355">
        <v>0</v>
      </c>
      <c r="G355" s="1">
        <v>4.8731187909999996</v>
      </c>
      <c r="H355" s="1">
        <v>970717.0699</v>
      </c>
    </row>
    <row r="356" spans="1:8" x14ac:dyDescent="0.25">
      <c r="A356">
        <v>1870</v>
      </c>
      <c r="B356">
        <v>5</v>
      </c>
      <c r="C356">
        <v>3</v>
      </c>
      <c r="D356">
        <v>10</v>
      </c>
      <c r="E356" s="1">
        <v>14.816506929999999</v>
      </c>
      <c r="F356">
        <v>0</v>
      </c>
      <c r="G356" s="1">
        <v>5</v>
      </c>
      <c r="H356" s="1">
        <v>553839.88459999999</v>
      </c>
    </row>
    <row r="357" spans="1:8" x14ac:dyDescent="0.25">
      <c r="A357">
        <v>980</v>
      </c>
      <c r="B357">
        <v>4</v>
      </c>
      <c r="C357">
        <v>1</v>
      </c>
      <c r="D357">
        <v>38</v>
      </c>
      <c r="E357" s="1">
        <v>25.090829830000001</v>
      </c>
      <c r="F357">
        <v>0</v>
      </c>
      <c r="G357" s="1">
        <v>7.3594371609999998</v>
      </c>
      <c r="H357" s="1">
        <v>519148.54700000002</v>
      </c>
    </row>
    <row r="358" spans="1:8" x14ac:dyDescent="0.25">
      <c r="A358">
        <v>2694</v>
      </c>
      <c r="B358">
        <v>3</v>
      </c>
      <c r="C358">
        <v>2</v>
      </c>
      <c r="D358">
        <v>27</v>
      </c>
      <c r="E358" s="1">
        <v>13.82431375</v>
      </c>
      <c r="F358">
        <v>0</v>
      </c>
      <c r="G358" s="1">
        <v>5.8181299129999999</v>
      </c>
      <c r="H358" s="1">
        <v>598985.07059999998</v>
      </c>
    </row>
    <row r="359" spans="1:8" x14ac:dyDescent="0.25">
      <c r="A359">
        <v>3547</v>
      </c>
      <c r="B359">
        <v>5</v>
      </c>
      <c r="C359">
        <v>1</v>
      </c>
      <c r="D359">
        <v>4</v>
      </c>
      <c r="E359" s="1">
        <v>20.803420259999999</v>
      </c>
      <c r="F359">
        <v>1</v>
      </c>
      <c r="G359" s="1">
        <v>6.71791012</v>
      </c>
      <c r="H359" s="1">
        <v>934446.32609999995</v>
      </c>
    </row>
    <row r="360" spans="1:8" x14ac:dyDescent="0.25">
      <c r="A360">
        <v>4649</v>
      </c>
      <c r="B360">
        <v>3</v>
      </c>
      <c r="C360">
        <v>3</v>
      </c>
      <c r="D360">
        <v>16</v>
      </c>
      <c r="E360" s="1">
        <v>6.895360878</v>
      </c>
      <c r="F360">
        <v>1</v>
      </c>
      <c r="G360" s="1">
        <v>2.7683827029999999</v>
      </c>
      <c r="H360" s="1">
        <v>833139.85569999996</v>
      </c>
    </row>
    <row r="361" spans="1:8" x14ac:dyDescent="0.25">
      <c r="A361">
        <v>2079</v>
      </c>
      <c r="B361">
        <v>3</v>
      </c>
      <c r="C361">
        <v>4</v>
      </c>
      <c r="D361">
        <v>19</v>
      </c>
      <c r="E361" s="1">
        <v>21.192110370000002</v>
      </c>
      <c r="F361">
        <v>0</v>
      </c>
      <c r="G361" s="1">
        <v>2.905712758</v>
      </c>
      <c r="H361" s="1">
        <v>477982.35720000003</v>
      </c>
    </row>
    <row r="362" spans="1:8" x14ac:dyDescent="0.25">
      <c r="A362">
        <v>3906</v>
      </c>
      <c r="B362">
        <v>1</v>
      </c>
      <c r="C362">
        <v>2</v>
      </c>
      <c r="D362">
        <v>11</v>
      </c>
      <c r="E362" s="1">
        <v>30.222222899999998</v>
      </c>
      <c r="F362">
        <v>1</v>
      </c>
      <c r="G362" s="1">
        <v>1.3734759299999999</v>
      </c>
      <c r="H362" s="1">
        <v>570550.96010000003</v>
      </c>
    </row>
    <row r="363" spans="1:8" x14ac:dyDescent="0.25">
      <c r="A363">
        <v>3144</v>
      </c>
      <c r="B363">
        <v>1</v>
      </c>
      <c r="C363">
        <v>4</v>
      </c>
      <c r="D363">
        <v>5</v>
      </c>
      <c r="E363" s="1">
        <v>30.468067569999999</v>
      </c>
      <c r="F363">
        <v>2</v>
      </c>
      <c r="G363" s="1">
        <v>3.8986078169999998</v>
      </c>
      <c r="H363" s="1">
        <v>687421.9388</v>
      </c>
    </row>
    <row r="364" spans="1:8" x14ac:dyDescent="0.25">
      <c r="A364">
        <v>3756</v>
      </c>
      <c r="B364">
        <v>2</v>
      </c>
      <c r="C364">
        <v>2</v>
      </c>
      <c r="D364">
        <v>20</v>
      </c>
      <c r="E364" s="1">
        <v>25.48988202</v>
      </c>
      <c r="F364">
        <v>0</v>
      </c>
      <c r="G364" s="1">
        <v>6.0377019519999999</v>
      </c>
      <c r="H364" s="1">
        <v>828168.68590000004</v>
      </c>
    </row>
    <row r="365" spans="1:8" x14ac:dyDescent="0.25">
      <c r="A365">
        <v>4445</v>
      </c>
      <c r="B365">
        <v>4</v>
      </c>
      <c r="C365">
        <v>3</v>
      </c>
      <c r="D365">
        <v>18</v>
      </c>
      <c r="E365" s="1">
        <v>26.22849158</v>
      </c>
      <c r="F365">
        <v>2</v>
      </c>
      <c r="G365" s="1">
        <v>8.7214142260000003</v>
      </c>
      <c r="H365" s="1">
        <v>1044382.666</v>
      </c>
    </row>
    <row r="366" spans="1:8" x14ac:dyDescent="0.25">
      <c r="A366">
        <v>1643</v>
      </c>
      <c r="B366">
        <v>5</v>
      </c>
      <c r="C366">
        <v>3</v>
      </c>
      <c r="D366">
        <v>25</v>
      </c>
      <c r="E366" s="1">
        <v>19.748496859999999</v>
      </c>
      <c r="F366">
        <v>1</v>
      </c>
      <c r="G366" s="1">
        <v>7.0023470269999999</v>
      </c>
      <c r="H366" s="1">
        <v>781069.76080000005</v>
      </c>
    </row>
    <row r="367" spans="1:8" x14ac:dyDescent="0.25">
      <c r="A367">
        <v>3518</v>
      </c>
      <c r="B367">
        <v>3</v>
      </c>
      <c r="C367">
        <v>4</v>
      </c>
      <c r="D367">
        <v>31</v>
      </c>
      <c r="E367" s="1">
        <v>20.671049109999998</v>
      </c>
      <c r="F367">
        <v>1</v>
      </c>
      <c r="G367" s="1">
        <v>4.9185669110000001</v>
      </c>
      <c r="H367" s="1">
        <v>736579.28139999998</v>
      </c>
    </row>
    <row r="368" spans="1:8" x14ac:dyDescent="0.25">
      <c r="A368">
        <v>2541</v>
      </c>
      <c r="B368">
        <v>3</v>
      </c>
      <c r="C368">
        <v>4</v>
      </c>
      <c r="D368">
        <v>5</v>
      </c>
      <c r="E368" s="1">
        <v>5.1109450589999996</v>
      </c>
      <c r="F368">
        <v>2</v>
      </c>
      <c r="G368" s="1">
        <v>9.5780810299999999</v>
      </c>
      <c r="H368" s="1">
        <v>969769.61800000002</v>
      </c>
    </row>
    <row r="369" spans="1:8" x14ac:dyDescent="0.25">
      <c r="A369">
        <v>3459</v>
      </c>
      <c r="B369">
        <v>2</v>
      </c>
      <c r="C369">
        <v>3</v>
      </c>
      <c r="D369">
        <v>35</v>
      </c>
      <c r="E369" s="1">
        <v>15.813141999999999</v>
      </c>
      <c r="F369">
        <v>1</v>
      </c>
      <c r="G369" s="1">
        <v>7.4732068050000002</v>
      </c>
      <c r="H369" s="1">
        <v>841275.49840000004</v>
      </c>
    </row>
    <row r="370" spans="1:8" x14ac:dyDescent="0.25">
      <c r="A370">
        <v>4948</v>
      </c>
      <c r="B370">
        <v>1</v>
      </c>
      <c r="C370">
        <v>4</v>
      </c>
      <c r="D370">
        <v>37</v>
      </c>
      <c r="E370" s="1">
        <v>16.05178179</v>
      </c>
      <c r="F370">
        <v>0</v>
      </c>
      <c r="G370" s="1">
        <v>9.3714868259999999</v>
      </c>
      <c r="H370" s="1">
        <v>944975.9558</v>
      </c>
    </row>
    <row r="371" spans="1:8" x14ac:dyDescent="0.25">
      <c r="A371">
        <v>3359</v>
      </c>
      <c r="B371">
        <v>2</v>
      </c>
      <c r="C371">
        <v>3</v>
      </c>
      <c r="D371">
        <v>10</v>
      </c>
      <c r="E371" s="1">
        <v>33.568175330000003</v>
      </c>
      <c r="F371">
        <v>2</v>
      </c>
      <c r="G371" s="1">
        <v>5.7482917589999998</v>
      </c>
      <c r="H371" s="1">
        <v>727308.36970000004</v>
      </c>
    </row>
    <row r="372" spans="1:8" x14ac:dyDescent="0.25">
      <c r="A372">
        <v>2665</v>
      </c>
      <c r="B372">
        <v>4</v>
      </c>
      <c r="C372">
        <v>2</v>
      </c>
      <c r="D372">
        <v>32</v>
      </c>
      <c r="E372" s="1">
        <v>15.372496760000001</v>
      </c>
      <c r="F372">
        <v>0</v>
      </c>
      <c r="G372" s="1">
        <v>3.3301384729999999</v>
      </c>
      <c r="H372" s="1">
        <v>602521.98809999996</v>
      </c>
    </row>
    <row r="373" spans="1:8" x14ac:dyDescent="0.25">
      <c r="A373">
        <v>2879</v>
      </c>
      <c r="B373">
        <v>4</v>
      </c>
      <c r="C373">
        <v>3</v>
      </c>
      <c r="D373">
        <v>23</v>
      </c>
      <c r="E373" s="1">
        <v>19.452321250000001</v>
      </c>
      <c r="F373">
        <v>2</v>
      </c>
      <c r="G373" s="1">
        <v>1.4754401770000001</v>
      </c>
      <c r="H373" s="1">
        <v>581380.86230000004</v>
      </c>
    </row>
    <row r="374" spans="1:8" x14ac:dyDescent="0.25">
      <c r="A374">
        <v>2035</v>
      </c>
      <c r="B374">
        <v>5</v>
      </c>
      <c r="C374">
        <v>1</v>
      </c>
      <c r="D374">
        <v>22</v>
      </c>
      <c r="E374" s="1">
        <v>18.897173280000001</v>
      </c>
      <c r="F374">
        <v>1</v>
      </c>
      <c r="G374" s="1">
        <v>7.5347636629999997</v>
      </c>
      <c r="H374" s="1">
        <v>820787.40319999994</v>
      </c>
    </row>
    <row r="375" spans="1:8" x14ac:dyDescent="0.25">
      <c r="A375">
        <v>2157</v>
      </c>
      <c r="B375">
        <v>5</v>
      </c>
      <c r="C375">
        <v>2</v>
      </c>
      <c r="D375">
        <v>14</v>
      </c>
      <c r="E375" s="1">
        <v>22.468279240000001</v>
      </c>
      <c r="F375">
        <v>1</v>
      </c>
      <c r="G375" s="1">
        <v>2.091726982</v>
      </c>
      <c r="H375" s="1">
        <v>558122.7034</v>
      </c>
    </row>
    <row r="376" spans="1:8" x14ac:dyDescent="0.25">
      <c r="A376">
        <v>4852</v>
      </c>
      <c r="B376">
        <v>4</v>
      </c>
      <c r="C376">
        <v>4</v>
      </c>
      <c r="D376">
        <v>26</v>
      </c>
      <c r="E376" s="1">
        <v>26.31403268</v>
      </c>
      <c r="F376">
        <v>1</v>
      </c>
      <c r="G376" s="1">
        <v>3.7249761540000002</v>
      </c>
      <c r="H376" s="1">
        <v>919449.1507</v>
      </c>
    </row>
    <row r="377" spans="1:8" x14ac:dyDescent="0.25">
      <c r="A377">
        <v>2470</v>
      </c>
      <c r="B377">
        <v>4</v>
      </c>
      <c r="C377">
        <v>1</v>
      </c>
      <c r="D377">
        <v>10</v>
      </c>
      <c r="E377" s="1">
        <v>8.2639447280000002</v>
      </c>
      <c r="F377">
        <v>0</v>
      </c>
      <c r="G377" s="1">
        <v>5.7922381710000002</v>
      </c>
      <c r="H377" s="1">
        <v>729478.3567</v>
      </c>
    </row>
    <row r="378" spans="1:8" x14ac:dyDescent="0.25">
      <c r="A378">
        <v>3249</v>
      </c>
      <c r="B378">
        <v>4</v>
      </c>
      <c r="C378">
        <v>1</v>
      </c>
      <c r="D378">
        <v>16</v>
      </c>
      <c r="E378" s="1">
        <v>18.740992460000001</v>
      </c>
      <c r="F378">
        <v>1</v>
      </c>
      <c r="G378" s="1">
        <v>6.0797492899999996</v>
      </c>
      <c r="H378" s="1">
        <v>837237.97019999998</v>
      </c>
    </row>
    <row r="379" spans="1:8" x14ac:dyDescent="0.25">
      <c r="A379">
        <v>3651</v>
      </c>
      <c r="B379">
        <v>2</v>
      </c>
      <c r="C379">
        <v>2</v>
      </c>
      <c r="D379">
        <v>13</v>
      </c>
      <c r="E379" s="1">
        <v>28.994160900000001</v>
      </c>
      <c r="F379">
        <v>0</v>
      </c>
      <c r="G379" s="1">
        <v>6.4052487730000003</v>
      </c>
      <c r="H379" s="1">
        <v>777756.28029999998</v>
      </c>
    </row>
    <row r="380" spans="1:8" x14ac:dyDescent="0.25">
      <c r="A380">
        <v>4130</v>
      </c>
      <c r="B380">
        <v>4</v>
      </c>
      <c r="C380">
        <v>2</v>
      </c>
      <c r="D380">
        <v>26</v>
      </c>
      <c r="E380" s="1">
        <v>16.47745763</v>
      </c>
      <c r="F380">
        <v>1</v>
      </c>
      <c r="G380" s="1">
        <v>5</v>
      </c>
      <c r="H380" s="1">
        <v>837054.2598</v>
      </c>
    </row>
    <row r="381" spans="1:8" x14ac:dyDescent="0.25">
      <c r="A381">
        <v>2889</v>
      </c>
      <c r="B381">
        <v>3</v>
      </c>
      <c r="C381">
        <v>1</v>
      </c>
      <c r="D381">
        <v>17</v>
      </c>
      <c r="E381" s="1">
        <v>10.106785349999999</v>
      </c>
      <c r="F381">
        <v>0</v>
      </c>
      <c r="G381" s="1">
        <v>4.4176366429999998</v>
      </c>
      <c r="H381" s="1">
        <v>680774.07079999999</v>
      </c>
    </row>
    <row r="382" spans="1:8" x14ac:dyDescent="0.25">
      <c r="A382">
        <v>2031</v>
      </c>
      <c r="B382">
        <v>1</v>
      </c>
      <c r="C382">
        <v>1</v>
      </c>
      <c r="D382">
        <v>27</v>
      </c>
      <c r="E382" s="1">
        <v>23.087463100000001</v>
      </c>
      <c r="F382">
        <v>2</v>
      </c>
      <c r="G382" s="1">
        <v>6.5547480440000001</v>
      </c>
      <c r="H382" s="1">
        <v>388368.16110000003</v>
      </c>
    </row>
    <row r="383" spans="1:8" x14ac:dyDescent="0.25">
      <c r="A383">
        <v>3216</v>
      </c>
      <c r="B383">
        <v>4</v>
      </c>
      <c r="C383">
        <v>3</v>
      </c>
      <c r="D383">
        <v>3</v>
      </c>
      <c r="E383" s="1">
        <v>28.91997516</v>
      </c>
      <c r="F383">
        <v>0</v>
      </c>
      <c r="G383" s="1">
        <v>9.7283697819999997</v>
      </c>
      <c r="H383" s="1">
        <v>989201.4804</v>
      </c>
    </row>
    <row r="384" spans="1:8" x14ac:dyDescent="0.25">
      <c r="A384">
        <v>1415</v>
      </c>
      <c r="B384">
        <v>1</v>
      </c>
      <c r="C384">
        <v>4</v>
      </c>
      <c r="D384">
        <v>6</v>
      </c>
      <c r="E384" s="1">
        <v>2.6783401059999998</v>
      </c>
      <c r="F384">
        <v>1</v>
      </c>
      <c r="G384" s="1">
        <v>7.5486802390000003</v>
      </c>
      <c r="H384" s="1">
        <v>597637.59439999994</v>
      </c>
    </row>
    <row r="385" spans="1:8" x14ac:dyDescent="0.25">
      <c r="A385">
        <v>1748</v>
      </c>
      <c r="B385">
        <v>2</v>
      </c>
      <c r="C385">
        <v>3</v>
      </c>
      <c r="D385">
        <v>34</v>
      </c>
      <c r="E385" s="1">
        <v>27.29927168</v>
      </c>
      <c r="F385">
        <v>1</v>
      </c>
      <c r="G385" s="1">
        <v>9.3034338139999999</v>
      </c>
      <c r="H385" s="1">
        <v>686916.49269999994</v>
      </c>
    </row>
    <row r="386" spans="1:8" x14ac:dyDescent="0.25">
      <c r="A386">
        <v>3487</v>
      </c>
      <c r="B386">
        <v>1</v>
      </c>
      <c r="C386">
        <v>2</v>
      </c>
      <c r="D386">
        <v>8</v>
      </c>
      <c r="E386" s="1">
        <v>28.84685369</v>
      </c>
      <c r="F386">
        <v>2</v>
      </c>
      <c r="G386" s="1">
        <v>7.8599085249999998</v>
      </c>
      <c r="H386" s="1">
        <v>652325.20759999997</v>
      </c>
    </row>
    <row r="387" spans="1:8" x14ac:dyDescent="0.25">
      <c r="A387">
        <v>3239</v>
      </c>
      <c r="B387">
        <v>2</v>
      </c>
      <c r="C387">
        <v>3</v>
      </c>
      <c r="D387">
        <v>7</v>
      </c>
      <c r="E387" s="1">
        <v>16.422540999999999</v>
      </c>
      <c r="F387">
        <v>1</v>
      </c>
      <c r="G387" s="1">
        <v>5</v>
      </c>
      <c r="H387" s="1">
        <v>920514.78269999998</v>
      </c>
    </row>
    <row r="388" spans="1:8" x14ac:dyDescent="0.25">
      <c r="A388">
        <v>2773</v>
      </c>
      <c r="B388">
        <v>3</v>
      </c>
      <c r="C388">
        <v>3</v>
      </c>
      <c r="D388">
        <v>16</v>
      </c>
      <c r="E388" s="1">
        <v>34.424045159999999</v>
      </c>
      <c r="F388">
        <v>0</v>
      </c>
      <c r="G388" s="1">
        <v>2.7282103219999998</v>
      </c>
      <c r="H388" s="1">
        <v>380243.64990000002</v>
      </c>
    </row>
    <row r="389" spans="1:8" x14ac:dyDescent="0.25">
      <c r="A389">
        <v>4992</v>
      </c>
      <c r="B389">
        <v>2</v>
      </c>
      <c r="C389">
        <v>3</v>
      </c>
      <c r="D389">
        <v>16</v>
      </c>
      <c r="E389" s="1">
        <v>27.641437750000001</v>
      </c>
      <c r="F389">
        <v>2</v>
      </c>
      <c r="G389" s="1">
        <v>7.0001708669999996</v>
      </c>
      <c r="H389" s="1">
        <v>1003028.518</v>
      </c>
    </row>
    <row r="390" spans="1:8" x14ac:dyDescent="0.25">
      <c r="A390">
        <v>1295</v>
      </c>
      <c r="B390">
        <v>3</v>
      </c>
      <c r="C390">
        <v>3</v>
      </c>
      <c r="D390">
        <v>32</v>
      </c>
      <c r="E390" s="1">
        <v>27.191358489999999</v>
      </c>
      <c r="F390">
        <v>1</v>
      </c>
      <c r="G390" s="1">
        <v>6.6104160939999996</v>
      </c>
      <c r="H390" s="1">
        <v>564107.99179999996</v>
      </c>
    </row>
    <row r="391" spans="1:8" x14ac:dyDescent="0.25">
      <c r="A391">
        <v>3946</v>
      </c>
      <c r="B391">
        <v>3</v>
      </c>
      <c r="C391">
        <v>4</v>
      </c>
      <c r="D391">
        <v>31</v>
      </c>
      <c r="E391" s="1">
        <v>26.300430819999999</v>
      </c>
      <c r="F391">
        <v>1</v>
      </c>
      <c r="G391" s="1">
        <v>6.4222225340000003</v>
      </c>
      <c r="H391" s="1">
        <v>1116140.9580000001</v>
      </c>
    </row>
    <row r="392" spans="1:8" x14ac:dyDescent="0.25">
      <c r="A392">
        <v>2773</v>
      </c>
      <c r="B392">
        <v>4</v>
      </c>
      <c r="C392">
        <v>4</v>
      </c>
      <c r="D392">
        <v>7</v>
      </c>
      <c r="E392" s="1">
        <v>5.6959795609999997</v>
      </c>
      <c r="F392">
        <v>0</v>
      </c>
      <c r="G392" s="1">
        <v>5.4080728120000003</v>
      </c>
      <c r="H392" s="1">
        <v>707436.27540000004</v>
      </c>
    </row>
    <row r="393" spans="1:8" x14ac:dyDescent="0.25">
      <c r="A393">
        <v>2087</v>
      </c>
      <c r="B393">
        <v>3</v>
      </c>
      <c r="C393">
        <v>1</v>
      </c>
      <c r="D393">
        <v>18</v>
      </c>
      <c r="E393" s="1">
        <v>7.9944655830000002</v>
      </c>
      <c r="F393">
        <v>1</v>
      </c>
      <c r="G393" s="1">
        <v>5.7579094360000003</v>
      </c>
      <c r="H393" s="1">
        <v>710205.33389999997</v>
      </c>
    </row>
    <row r="394" spans="1:8" x14ac:dyDescent="0.25">
      <c r="A394">
        <v>2331</v>
      </c>
      <c r="B394">
        <v>3</v>
      </c>
      <c r="C394">
        <v>2</v>
      </c>
      <c r="D394">
        <v>37</v>
      </c>
      <c r="E394" s="1">
        <v>16.507659539999999</v>
      </c>
      <c r="F394">
        <v>2</v>
      </c>
      <c r="G394" s="1">
        <v>4.0099827440000002</v>
      </c>
      <c r="H394" s="1">
        <v>557892.32169999997</v>
      </c>
    </row>
    <row r="395" spans="1:8" x14ac:dyDescent="0.25">
      <c r="A395">
        <v>4146</v>
      </c>
      <c r="B395">
        <v>3</v>
      </c>
      <c r="C395">
        <v>3</v>
      </c>
      <c r="D395">
        <v>2</v>
      </c>
      <c r="E395" s="1">
        <v>9.6081500739999992</v>
      </c>
      <c r="F395">
        <v>1</v>
      </c>
      <c r="G395" s="1">
        <v>5.673814234</v>
      </c>
      <c r="H395" s="1">
        <v>938984.05660000001</v>
      </c>
    </row>
    <row r="396" spans="1:8" x14ac:dyDescent="0.25">
      <c r="A396">
        <v>2827</v>
      </c>
      <c r="B396">
        <v>4</v>
      </c>
      <c r="C396">
        <v>1</v>
      </c>
      <c r="D396">
        <v>4</v>
      </c>
      <c r="E396" s="1">
        <v>14.825813549999999</v>
      </c>
      <c r="F396">
        <v>0</v>
      </c>
      <c r="G396" s="1">
        <v>2.7780031510000001</v>
      </c>
      <c r="H396" s="1">
        <v>626331.6335</v>
      </c>
    </row>
    <row r="397" spans="1:8" x14ac:dyDescent="0.25">
      <c r="A397">
        <v>1968</v>
      </c>
      <c r="B397">
        <v>5</v>
      </c>
      <c r="C397">
        <v>1</v>
      </c>
      <c r="D397">
        <v>12</v>
      </c>
      <c r="E397" s="1">
        <v>31.15201179</v>
      </c>
      <c r="F397">
        <v>2</v>
      </c>
      <c r="G397" s="1">
        <v>8.2465695760000006</v>
      </c>
      <c r="H397" s="1">
        <v>733989.16579999996</v>
      </c>
    </row>
    <row r="398" spans="1:8" x14ac:dyDescent="0.25">
      <c r="A398">
        <v>4400</v>
      </c>
      <c r="B398">
        <v>4</v>
      </c>
      <c r="C398">
        <v>1</v>
      </c>
      <c r="D398">
        <v>30</v>
      </c>
      <c r="E398" s="1">
        <v>28.93927777</v>
      </c>
      <c r="F398">
        <v>1</v>
      </c>
      <c r="G398" s="1">
        <v>2.6719925920000001</v>
      </c>
      <c r="H398" s="1">
        <v>727120.0821</v>
      </c>
    </row>
    <row r="399" spans="1:8" x14ac:dyDescent="0.25">
      <c r="A399">
        <v>3138</v>
      </c>
      <c r="B399">
        <v>5</v>
      </c>
      <c r="C399">
        <v>4</v>
      </c>
      <c r="D399">
        <v>15</v>
      </c>
      <c r="E399" s="1">
        <v>22.236375809999998</v>
      </c>
      <c r="F399">
        <v>1</v>
      </c>
      <c r="G399" s="1">
        <v>1.764696609</v>
      </c>
      <c r="H399" s="1">
        <v>686265.5024</v>
      </c>
    </row>
    <row r="400" spans="1:8" x14ac:dyDescent="0.25">
      <c r="A400">
        <v>3898</v>
      </c>
      <c r="B400">
        <v>3</v>
      </c>
      <c r="C400">
        <v>3</v>
      </c>
      <c r="D400">
        <v>31</v>
      </c>
      <c r="E400" s="1">
        <v>30.105153600000001</v>
      </c>
      <c r="F400">
        <v>2</v>
      </c>
      <c r="G400" s="1">
        <v>4.9262142369999999</v>
      </c>
      <c r="H400" s="1">
        <v>793857.26659999997</v>
      </c>
    </row>
    <row r="401" spans="1:8" x14ac:dyDescent="0.25">
      <c r="A401">
        <v>4313</v>
      </c>
      <c r="B401">
        <v>1</v>
      </c>
      <c r="C401">
        <v>3</v>
      </c>
      <c r="D401">
        <v>21</v>
      </c>
      <c r="E401" s="1">
        <v>27.54014742</v>
      </c>
      <c r="F401">
        <v>1</v>
      </c>
      <c r="G401" s="1">
        <v>6.924766956</v>
      </c>
      <c r="H401" s="1">
        <v>767007.07819999999</v>
      </c>
    </row>
    <row r="402" spans="1:8" x14ac:dyDescent="0.25">
      <c r="A402">
        <v>1466</v>
      </c>
      <c r="B402">
        <v>3</v>
      </c>
      <c r="C402">
        <v>2</v>
      </c>
      <c r="D402">
        <v>28</v>
      </c>
      <c r="E402" s="1">
        <v>15.29998015</v>
      </c>
      <c r="F402">
        <v>0</v>
      </c>
      <c r="G402" s="1">
        <v>4.9394514239999996</v>
      </c>
      <c r="H402" s="1">
        <v>514093.913</v>
      </c>
    </row>
    <row r="403" spans="1:8" x14ac:dyDescent="0.25">
      <c r="A403">
        <v>4780</v>
      </c>
      <c r="B403">
        <v>3</v>
      </c>
      <c r="C403">
        <v>3</v>
      </c>
      <c r="D403">
        <v>21</v>
      </c>
      <c r="E403" s="1">
        <v>7.436747746</v>
      </c>
      <c r="F403">
        <v>1</v>
      </c>
      <c r="G403" s="1">
        <v>3.4907871880000001</v>
      </c>
      <c r="H403" s="1">
        <v>898259.83550000004</v>
      </c>
    </row>
    <row r="404" spans="1:8" x14ac:dyDescent="0.25">
      <c r="A404">
        <v>2844</v>
      </c>
      <c r="B404">
        <v>2</v>
      </c>
      <c r="C404">
        <v>3</v>
      </c>
      <c r="D404">
        <v>2</v>
      </c>
      <c r="E404" s="1">
        <v>18.239935880000001</v>
      </c>
      <c r="F404">
        <v>1</v>
      </c>
      <c r="G404" s="1">
        <v>6.0235406549999997</v>
      </c>
      <c r="H404" s="1">
        <v>748208.48730000004</v>
      </c>
    </row>
    <row r="405" spans="1:8" x14ac:dyDescent="0.25">
      <c r="A405">
        <v>4507</v>
      </c>
      <c r="B405">
        <v>2</v>
      </c>
      <c r="C405">
        <v>1</v>
      </c>
      <c r="D405">
        <v>9</v>
      </c>
      <c r="E405" s="1">
        <v>25.89989645</v>
      </c>
      <c r="F405">
        <v>1</v>
      </c>
      <c r="G405" s="1">
        <v>4.1230210190000003</v>
      </c>
      <c r="H405" s="1">
        <v>752804.41760000004</v>
      </c>
    </row>
    <row r="406" spans="1:8" x14ac:dyDescent="0.25">
      <c r="A406">
        <v>3773</v>
      </c>
      <c r="B406">
        <v>2</v>
      </c>
      <c r="C406">
        <v>2</v>
      </c>
      <c r="D406">
        <v>20</v>
      </c>
      <c r="E406" s="1">
        <v>15.556476160000001</v>
      </c>
      <c r="F406">
        <v>2</v>
      </c>
      <c r="G406" s="1">
        <v>9.3958092109999996</v>
      </c>
      <c r="H406" s="1">
        <v>1079100.673</v>
      </c>
    </row>
    <row r="407" spans="1:8" x14ac:dyDescent="0.25">
      <c r="A407">
        <v>4369</v>
      </c>
      <c r="B407">
        <v>2</v>
      </c>
      <c r="C407">
        <v>3</v>
      </c>
      <c r="D407">
        <v>15</v>
      </c>
      <c r="E407" s="1">
        <v>23.50363089</v>
      </c>
      <c r="F407">
        <v>0</v>
      </c>
      <c r="G407" s="1">
        <v>5</v>
      </c>
      <c r="H407" s="1">
        <v>1089182.5989999999</v>
      </c>
    </row>
    <row r="408" spans="1:8" x14ac:dyDescent="0.25">
      <c r="A408">
        <v>2773</v>
      </c>
      <c r="B408">
        <v>5</v>
      </c>
      <c r="C408">
        <v>4</v>
      </c>
      <c r="D408">
        <v>11</v>
      </c>
      <c r="E408" s="1">
        <v>3.7542962069999999</v>
      </c>
      <c r="F408">
        <v>1</v>
      </c>
      <c r="G408" s="1">
        <v>5.5213463799999998</v>
      </c>
      <c r="H408" s="1">
        <v>854515.28590000002</v>
      </c>
    </row>
    <row r="409" spans="1:8" x14ac:dyDescent="0.25">
      <c r="A409">
        <v>1153</v>
      </c>
      <c r="B409">
        <v>4</v>
      </c>
      <c r="C409">
        <v>3</v>
      </c>
      <c r="D409">
        <v>1</v>
      </c>
      <c r="E409" s="1">
        <v>18</v>
      </c>
      <c r="F409">
        <v>2</v>
      </c>
      <c r="G409" s="1">
        <v>3.9509559460000001</v>
      </c>
      <c r="H409" s="1">
        <v>556582.39709999994</v>
      </c>
    </row>
    <row r="410" spans="1:8" x14ac:dyDescent="0.25">
      <c r="A410">
        <v>2482</v>
      </c>
      <c r="B410">
        <v>1</v>
      </c>
      <c r="C410">
        <v>1</v>
      </c>
      <c r="D410">
        <v>23</v>
      </c>
      <c r="E410" s="1">
        <v>28.53861989</v>
      </c>
      <c r="F410">
        <v>1</v>
      </c>
      <c r="G410" s="1">
        <v>7.6341917260000001</v>
      </c>
      <c r="H410" s="1">
        <v>563999.43200000003</v>
      </c>
    </row>
    <row r="411" spans="1:8" x14ac:dyDescent="0.25">
      <c r="A411">
        <v>3174</v>
      </c>
      <c r="B411">
        <v>3</v>
      </c>
      <c r="C411">
        <v>4</v>
      </c>
      <c r="D411">
        <v>34</v>
      </c>
      <c r="E411" s="1">
        <v>24.88590602</v>
      </c>
      <c r="F411">
        <v>0</v>
      </c>
      <c r="G411" s="1">
        <v>1.330416491</v>
      </c>
      <c r="H411" s="1">
        <v>548043.81429999997</v>
      </c>
    </row>
    <row r="412" spans="1:8" x14ac:dyDescent="0.25">
      <c r="A412">
        <v>3296</v>
      </c>
      <c r="B412">
        <v>5</v>
      </c>
      <c r="C412">
        <v>1</v>
      </c>
      <c r="D412">
        <v>29</v>
      </c>
      <c r="E412" s="1">
        <v>33.870593769999999</v>
      </c>
      <c r="F412">
        <v>1</v>
      </c>
      <c r="G412" s="1">
        <v>5.2729210540000002</v>
      </c>
      <c r="H412" s="1">
        <v>710627.348</v>
      </c>
    </row>
    <row r="413" spans="1:8" x14ac:dyDescent="0.25">
      <c r="A413">
        <v>4585</v>
      </c>
      <c r="B413">
        <v>1</v>
      </c>
      <c r="C413">
        <v>3</v>
      </c>
      <c r="D413">
        <v>29</v>
      </c>
      <c r="E413" s="1">
        <v>29.019495979999999</v>
      </c>
      <c r="F413">
        <v>0</v>
      </c>
      <c r="G413" s="1">
        <v>4.026910548</v>
      </c>
      <c r="H413" s="1">
        <v>771358.01249999995</v>
      </c>
    </row>
    <row r="414" spans="1:8" x14ac:dyDescent="0.25">
      <c r="A414">
        <v>1175</v>
      </c>
      <c r="B414">
        <v>5</v>
      </c>
      <c r="C414">
        <v>4</v>
      </c>
      <c r="D414">
        <v>34</v>
      </c>
      <c r="E414" s="1">
        <v>18</v>
      </c>
      <c r="F414">
        <v>0</v>
      </c>
      <c r="G414" s="1">
        <v>9.2848229660000001</v>
      </c>
      <c r="H414" s="1">
        <v>732838.80649999995</v>
      </c>
    </row>
    <row r="415" spans="1:8" x14ac:dyDescent="0.25">
      <c r="A415">
        <v>2025</v>
      </c>
      <c r="B415">
        <v>5</v>
      </c>
      <c r="C415">
        <v>2</v>
      </c>
      <c r="D415">
        <v>20</v>
      </c>
      <c r="E415" s="1">
        <v>32.708202380000003</v>
      </c>
      <c r="F415">
        <v>1</v>
      </c>
      <c r="G415" s="1">
        <v>1.1080272449999999</v>
      </c>
      <c r="H415" s="1">
        <v>560650.08750000002</v>
      </c>
    </row>
    <row r="416" spans="1:8" x14ac:dyDescent="0.25">
      <c r="A416">
        <v>3469</v>
      </c>
      <c r="B416">
        <v>3</v>
      </c>
      <c r="C416">
        <v>2</v>
      </c>
      <c r="D416">
        <v>7</v>
      </c>
      <c r="E416" s="1">
        <v>28.14650572</v>
      </c>
      <c r="F416">
        <v>1</v>
      </c>
      <c r="G416" s="1">
        <v>5.9753338810000001</v>
      </c>
      <c r="H416" s="1">
        <v>858762.70739999996</v>
      </c>
    </row>
    <row r="417" spans="1:8" x14ac:dyDescent="0.25">
      <c r="A417">
        <v>817</v>
      </c>
      <c r="B417">
        <v>4</v>
      </c>
      <c r="C417">
        <v>4</v>
      </c>
      <c r="D417">
        <v>25</v>
      </c>
      <c r="E417" s="1">
        <v>23.76193005</v>
      </c>
      <c r="F417">
        <v>0</v>
      </c>
      <c r="G417" s="1">
        <v>7.6659722300000004</v>
      </c>
      <c r="H417" s="1">
        <v>707731.71340000001</v>
      </c>
    </row>
    <row r="418" spans="1:8" x14ac:dyDescent="0.25">
      <c r="A418">
        <v>514</v>
      </c>
      <c r="B418">
        <v>2</v>
      </c>
      <c r="C418">
        <v>4</v>
      </c>
      <c r="D418">
        <v>39</v>
      </c>
      <c r="E418" s="1">
        <v>0.69729105700000005</v>
      </c>
      <c r="F418">
        <v>2</v>
      </c>
      <c r="G418" s="1">
        <v>5.3651618880000003</v>
      </c>
      <c r="H418" s="1">
        <v>374621.20059999998</v>
      </c>
    </row>
    <row r="419" spans="1:8" x14ac:dyDescent="0.25">
      <c r="A419">
        <v>1016</v>
      </c>
      <c r="B419">
        <v>4</v>
      </c>
      <c r="C419">
        <v>1</v>
      </c>
      <c r="D419">
        <v>6</v>
      </c>
      <c r="E419" s="1">
        <v>16.570988490000001</v>
      </c>
      <c r="F419">
        <v>0</v>
      </c>
      <c r="G419" s="1">
        <v>1.7686272709999999</v>
      </c>
      <c r="H419" s="1">
        <v>409576.88870000001</v>
      </c>
    </row>
    <row r="420" spans="1:8" x14ac:dyDescent="0.25">
      <c r="A420">
        <v>4374</v>
      </c>
      <c r="B420">
        <v>3</v>
      </c>
      <c r="C420">
        <v>4</v>
      </c>
      <c r="D420">
        <v>29</v>
      </c>
      <c r="E420" s="1">
        <v>20.205099300000001</v>
      </c>
      <c r="F420">
        <v>1</v>
      </c>
      <c r="G420" s="1">
        <v>9.7521525100000002</v>
      </c>
      <c r="H420" s="1">
        <v>1128281.162</v>
      </c>
    </row>
    <row r="421" spans="1:8" x14ac:dyDescent="0.25">
      <c r="A421">
        <v>3667</v>
      </c>
      <c r="B421">
        <v>3</v>
      </c>
      <c r="C421">
        <v>1</v>
      </c>
      <c r="D421">
        <v>6</v>
      </c>
      <c r="E421" s="1">
        <v>10.989044399999999</v>
      </c>
      <c r="F421">
        <v>1</v>
      </c>
      <c r="G421" s="1">
        <v>5.6620938819999997</v>
      </c>
      <c r="H421" s="1">
        <v>794331.27989999996</v>
      </c>
    </row>
    <row r="422" spans="1:8" x14ac:dyDescent="0.25">
      <c r="A422">
        <v>1225</v>
      </c>
      <c r="B422">
        <v>3</v>
      </c>
      <c r="C422">
        <v>3</v>
      </c>
      <c r="D422">
        <v>2</v>
      </c>
      <c r="E422" s="1">
        <v>11.474603419999999</v>
      </c>
      <c r="F422">
        <v>2</v>
      </c>
      <c r="G422" s="1">
        <v>6.5276761990000001</v>
      </c>
      <c r="H422" s="1">
        <v>588306.54500000004</v>
      </c>
    </row>
    <row r="423" spans="1:8" x14ac:dyDescent="0.25">
      <c r="A423">
        <v>1916</v>
      </c>
      <c r="B423">
        <v>1</v>
      </c>
      <c r="C423">
        <v>1</v>
      </c>
      <c r="D423">
        <v>0</v>
      </c>
      <c r="E423" s="1">
        <v>33.659999839999998</v>
      </c>
      <c r="F423">
        <v>0</v>
      </c>
      <c r="G423" s="1">
        <v>3.1294880439999999</v>
      </c>
      <c r="H423" s="1">
        <v>465085.55530000001</v>
      </c>
    </row>
    <row r="424" spans="1:8" x14ac:dyDescent="0.25">
      <c r="A424">
        <v>3546</v>
      </c>
      <c r="B424">
        <v>4</v>
      </c>
      <c r="C424">
        <v>4</v>
      </c>
      <c r="D424">
        <v>35</v>
      </c>
      <c r="E424" s="1">
        <v>31.264024849999998</v>
      </c>
      <c r="F424">
        <v>0</v>
      </c>
      <c r="G424" s="1">
        <v>5.3514827660000002</v>
      </c>
      <c r="H424" s="1">
        <v>854058.06720000005</v>
      </c>
    </row>
    <row r="425" spans="1:8" x14ac:dyDescent="0.25">
      <c r="A425">
        <v>812</v>
      </c>
      <c r="B425">
        <v>4</v>
      </c>
      <c r="C425">
        <v>4</v>
      </c>
      <c r="D425">
        <v>24</v>
      </c>
      <c r="E425" s="1">
        <v>18</v>
      </c>
      <c r="F425">
        <v>0</v>
      </c>
      <c r="G425" s="1">
        <v>4.8623454280000002</v>
      </c>
      <c r="H425" s="1">
        <v>551037.19110000005</v>
      </c>
    </row>
    <row r="426" spans="1:8" x14ac:dyDescent="0.25">
      <c r="A426">
        <v>1128</v>
      </c>
      <c r="B426">
        <v>5</v>
      </c>
      <c r="C426">
        <v>3</v>
      </c>
      <c r="D426">
        <v>36</v>
      </c>
      <c r="E426" s="1">
        <v>14.50740716</v>
      </c>
      <c r="F426">
        <v>1</v>
      </c>
      <c r="G426" s="1">
        <v>1.674062578</v>
      </c>
      <c r="H426" s="1">
        <v>407457.59179999999</v>
      </c>
    </row>
    <row r="427" spans="1:8" x14ac:dyDescent="0.25">
      <c r="A427">
        <v>3748</v>
      </c>
      <c r="B427">
        <v>5</v>
      </c>
      <c r="C427">
        <v>4</v>
      </c>
      <c r="D427">
        <v>20</v>
      </c>
      <c r="E427" s="1">
        <v>0.972599989</v>
      </c>
      <c r="F427">
        <v>0</v>
      </c>
      <c r="G427" s="1">
        <v>1.955443182</v>
      </c>
      <c r="H427" s="1">
        <v>835554.60400000005</v>
      </c>
    </row>
    <row r="428" spans="1:8" x14ac:dyDescent="0.25">
      <c r="A428">
        <v>3208</v>
      </c>
      <c r="B428">
        <v>5</v>
      </c>
      <c r="C428">
        <v>4</v>
      </c>
      <c r="D428">
        <v>14</v>
      </c>
      <c r="E428" s="1">
        <v>3.2676675030000002</v>
      </c>
      <c r="F428">
        <v>2</v>
      </c>
      <c r="G428" s="1">
        <v>8.5372526769999997</v>
      </c>
      <c r="H428" s="1">
        <v>1035076.117</v>
      </c>
    </row>
    <row r="429" spans="1:8" x14ac:dyDescent="0.25">
      <c r="A429">
        <v>1075</v>
      </c>
      <c r="B429">
        <v>3</v>
      </c>
      <c r="C429">
        <v>2</v>
      </c>
      <c r="D429">
        <v>36</v>
      </c>
      <c r="E429" s="1">
        <v>11.2707747</v>
      </c>
      <c r="F429">
        <v>1</v>
      </c>
      <c r="G429" s="1">
        <v>3.1583795700000001</v>
      </c>
      <c r="H429" s="1">
        <v>370227.95140000002</v>
      </c>
    </row>
    <row r="430" spans="1:8" x14ac:dyDescent="0.25">
      <c r="A430">
        <v>3865</v>
      </c>
      <c r="B430">
        <v>4</v>
      </c>
      <c r="C430">
        <v>2</v>
      </c>
      <c r="D430">
        <v>12</v>
      </c>
      <c r="E430" s="1">
        <v>1.043130498</v>
      </c>
      <c r="F430">
        <v>1</v>
      </c>
      <c r="G430" s="1">
        <v>2.754624443</v>
      </c>
      <c r="H430" s="1">
        <v>755209.28170000005</v>
      </c>
    </row>
    <row r="431" spans="1:8" x14ac:dyDescent="0.25">
      <c r="A431">
        <v>2904</v>
      </c>
      <c r="B431">
        <v>3</v>
      </c>
      <c r="C431">
        <v>3</v>
      </c>
      <c r="D431">
        <v>39</v>
      </c>
      <c r="E431" s="1">
        <v>1.091667476</v>
      </c>
      <c r="F431">
        <v>0</v>
      </c>
      <c r="G431" s="1">
        <v>5.5442030610000002</v>
      </c>
      <c r="H431" s="1">
        <v>730118.38080000004</v>
      </c>
    </row>
    <row r="432" spans="1:8" x14ac:dyDescent="0.25">
      <c r="A432">
        <v>3367</v>
      </c>
      <c r="B432">
        <v>1</v>
      </c>
      <c r="C432">
        <v>1</v>
      </c>
      <c r="D432">
        <v>7</v>
      </c>
      <c r="E432" s="1">
        <v>32.122813909999998</v>
      </c>
      <c r="F432">
        <v>2</v>
      </c>
      <c r="G432" s="1">
        <v>7.9187241820000001</v>
      </c>
      <c r="H432" s="1">
        <v>654179.48699999996</v>
      </c>
    </row>
    <row r="433" spans="1:8" x14ac:dyDescent="0.25">
      <c r="A433">
        <v>2773</v>
      </c>
      <c r="B433">
        <v>5</v>
      </c>
      <c r="C433">
        <v>2</v>
      </c>
      <c r="D433">
        <v>4</v>
      </c>
      <c r="E433" s="1">
        <v>24.862468320000001</v>
      </c>
      <c r="F433">
        <v>1</v>
      </c>
      <c r="G433" s="1">
        <v>1.5575186670000001</v>
      </c>
      <c r="H433" s="1">
        <v>653324.67310000001</v>
      </c>
    </row>
    <row r="434" spans="1:8" x14ac:dyDescent="0.25">
      <c r="A434">
        <v>1522</v>
      </c>
      <c r="B434">
        <v>3</v>
      </c>
      <c r="C434">
        <v>1</v>
      </c>
      <c r="D434">
        <v>8</v>
      </c>
      <c r="E434" s="1">
        <v>11.15898166</v>
      </c>
      <c r="F434">
        <v>1</v>
      </c>
      <c r="G434" s="1">
        <v>6.1912712770000002</v>
      </c>
      <c r="H434" s="1">
        <v>611097.94099999999</v>
      </c>
    </row>
    <row r="435" spans="1:8" x14ac:dyDescent="0.25">
      <c r="A435">
        <v>4479</v>
      </c>
      <c r="B435">
        <v>3</v>
      </c>
      <c r="C435">
        <v>4</v>
      </c>
      <c r="D435">
        <v>0</v>
      </c>
      <c r="E435" s="1">
        <v>5.0762379270000002</v>
      </c>
      <c r="F435">
        <v>0</v>
      </c>
      <c r="G435" s="1">
        <v>2.072893986</v>
      </c>
      <c r="H435" s="1">
        <v>912970.92850000004</v>
      </c>
    </row>
    <row r="436" spans="1:8" x14ac:dyDescent="0.25">
      <c r="A436">
        <v>1971</v>
      </c>
      <c r="B436">
        <v>1</v>
      </c>
      <c r="C436">
        <v>2</v>
      </c>
      <c r="D436">
        <v>35</v>
      </c>
      <c r="E436" s="1">
        <v>18.151432270000001</v>
      </c>
      <c r="F436">
        <v>0</v>
      </c>
      <c r="G436" s="1">
        <v>1.3281494570000001</v>
      </c>
      <c r="H436" s="1">
        <v>282824.99160000001</v>
      </c>
    </row>
    <row r="437" spans="1:8" x14ac:dyDescent="0.25">
      <c r="A437">
        <v>2543</v>
      </c>
      <c r="B437">
        <v>2</v>
      </c>
      <c r="C437">
        <v>3</v>
      </c>
      <c r="D437">
        <v>34</v>
      </c>
      <c r="E437" s="1">
        <v>0.68444254900000001</v>
      </c>
      <c r="F437">
        <v>2</v>
      </c>
      <c r="G437" s="1">
        <v>1.4746955690000001</v>
      </c>
      <c r="H437" s="1">
        <v>434232.94349999999</v>
      </c>
    </row>
    <row r="438" spans="1:8" x14ac:dyDescent="0.25">
      <c r="A438">
        <v>2087</v>
      </c>
      <c r="B438">
        <v>4</v>
      </c>
      <c r="C438">
        <v>3</v>
      </c>
      <c r="D438">
        <v>1</v>
      </c>
      <c r="E438" s="1">
        <v>32.875274159999996</v>
      </c>
      <c r="F438">
        <v>0</v>
      </c>
      <c r="G438" s="1">
        <v>8.5074769739999994</v>
      </c>
      <c r="H438" s="1">
        <v>778055.99010000005</v>
      </c>
    </row>
    <row r="439" spans="1:8" x14ac:dyDescent="0.25">
      <c r="A439">
        <v>4532</v>
      </c>
      <c r="B439">
        <v>2</v>
      </c>
      <c r="C439">
        <v>3</v>
      </c>
      <c r="D439">
        <v>39</v>
      </c>
      <c r="E439" s="1">
        <v>14.81112162</v>
      </c>
      <c r="F439">
        <v>2</v>
      </c>
      <c r="G439" s="1">
        <v>2.0617523530000001</v>
      </c>
      <c r="H439" s="1">
        <v>697429.99939999997</v>
      </c>
    </row>
    <row r="440" spans="1:8" x14ac:dyDescent="0.25">
      <c r="A440">
        <v>4251</v>
      </c>
      <c r="B440">
        <v>5</v>
      </c>
      <c r="C440">
        <v>2</v>
      </c>
      <c r="D440">
        <v>22</v>
      </c>
      <c r="E440" s="1">
        <v>14.380555960000001</v>
      </c>
      <c r="F440">
        <v>1</v>
      </c>
      <c r="G440" s="1">
        <v>1.40636228</v>
      </c>
      <c r="H440" s="1">
        <v>843029.58180000004</v>
      </c>
    </row>
    <row r="441" spans="1:8" x14ac:dyDescent="0.25">
      <c r="A441">
        <v>3840</v>
      </c>
      <c r="B441">
        <v>3</v>
      </c>
      <c r="C441">
        <v>1</v>
      </c>
      <c r="D441">
        <v>20</v>
      </c>
      <c r="E441" s="1">
        <v>13.975479460000001</v>
      </c>
      <c r="F441">
        <v>1</v>
      </c>
      <c r="G441" s="1">
        <v>4.9410989839999999</v>
      </c>
      <c r="H441" s="1">
        <v>847893.02469999995</v>
      </c>
    </row>
    <row r="442" spans="1:8" x14ac:dyDescent="0.25">
      <c r="A442">
        <v>4166</v>
      </c>
      <c r="B442">
        <v>1</v>
      </c>
      <c r="C442">
        <v>4</v>
      </c>
      <c r="D442">
        <v>33</v>
      </c>
      <c r="E442" s="1">
        <v>2.8918273980000002</v>
      </c>
      <c r="F442">
        <v>2</v>
      </c>
      <c r="G442" s="1">
        <v>8.5959412470000007</v>
      </c>
      <c r="H442" s="1">
        <v>918593.32200000004</v>
      </c>
    </row>
    <row r="443" spans="1:8" x14ac:dyDescent="0.25">
      <c r="A443">
        <v>2726</v>
      </c>
      <c r="B443">
        <v>1</v>
      </c>
      <c r="C443">
        <v>1</v>
      </c>
      <c r="D443">
        <v>13</v>
      </c>
      <c r="E443" s="1">
        <v>22.522117269999999</v>
      </c>
      <c r="F443">
        <v>2</v>
      </c>
      <c r="G443" s="1">
        <v>3.3616753880000001</v>
      </c>
      <c r="H443" s="1">
        <v>424129.21830000001</v>
      </c>
    </row>
    <row r="444" spans="1:8" x14ac:dyDescent="0.25">
      <c r="A444">
        <v>3314</v>
      </c>
      <c r="B444">
        <v>4</v>
      </c>
      <c r="C444">
        <v>1</v>
      </c>
      <c r="D444">
        <v>3</v>
      </c>
      <c r="E444" s="1">
        <v>25.78862488</v>
      </c>
      <c r="F444">
        <v>1</v>
      </c>
      <c r="G444" s="1">
        <v>4.7954135579999999</v>
      </c>
      <c r="H444" s="1">
        <v>788205.78689999995</v>
      </c>
    </row>
    <row r="445" spans="1:8" x14ac:dyDescent="0.25">
      <c r="A445">
        <v>4352</v>
      </c>
      <c r="B445">
        <v>2</v>
      </c>
      <c r="C445">
        <v>4</v>
      </c>
      <c r="D445">
        <v>29</v>
      </c>
      <c r="E445" s="1">
        <v>23.826326219999999</v>
      </c>
      <c r="F445">
        <v>0</v>
      </c>
      <c r="G445" s="1">
        <v>1.3593027929999999</v>
      </c>
      <c r="H445" s="1">
        <v>661695.87390000001</v>
      </c>
    </row>
    <row r="446" spans="1:8" x14ac:dyDescent="0.25">
      <c r="A446">
        <v>995</v>
      </c>
      <c r="B446">
        <v>4</v>
      </c>
      <c r="C446">
        <v>4</v>
      </c>
      <c r="D446">
        <v>30</v>
      </c>
      <c r="E446" s="1">
        <v>5.27602452</v>
      </c>
      <c r="F446">
        <v>1</v>
      </c>
      <c r="G446" s="1">
        <v>5.0417066269999999</v>
      </c>
      <c r="H446" s="1">
        <v>547241.59640000004</v>
      </c>
    </row>
    <row r="447" spans="1:8" x14ac:dyDescent="0.25">
      <c r="A447">
        <v>1128</v>
      </c>
      <c r="B447">
        <v>3</v>
      </c>
      <c r="C447">
        <v>2</v>
      </c>
      <c r="D447">
        <v>37</v>
      </c>
      <c r="E447" s="1">
        <v>20.4699858</v>
      </c>
      <c r="F447">
        <v>0</v>
      </c>
      <c r="G447" s="1">
        <v>6.1985177260000004</v>
      </c>
      <c r="H447" s="1">
        <v>554859.53489999997</v>
      </c>
    </row>
    <row r="448" spans="1:8" x14ac:dyDescent="0.25">
      <c r="A448">
        <v>1765</v>
      </c>
      <c r="B448">
        <v>4</v>
      </c>
      <c r="C448">
        <v>2</v>
      </c>
      <c r="D448">
        <v>10</v>
      </c>
      <c r="E448" s="1">
        <v>20.147214699999999</v>
      </c>
      <c r="F448">
        <v>2</v>
      </c>
      <c r="G448" s="1">
        <v>6.1381634839999997</v>
      </c>
      <c r="H448" s="1">
        <v>708461.48869999999</v>
      </c>
    </row>
    <row r="449" spans="1:8" x14ac:dyDescent="0.25">
      <c r="A449">
        <v>4892</v>
      </c>
      <c r="B449">
        <v>1</v>
      </c>
      <c r="C449">
        <v>2</v>
      </c>
      <c r="D449">
        <v>34</v>
      </c>
      <c r="E449" s="1">
        <v>30.460172180000001</v>
      </c>
      <c r="F449">
        <v>2</v>
      </c>
      <c r="G449" s="1">
        <v>3.9918402300000002</v>
      </c>
      <c r="H449" s="1">
        <v>750922.06649999996</v>
      </c>
    </row>
    <row r="450" spans="1:8" x14ac:dyDescent="0.25">
      <c r="A450">
        <v>1098</v>
      </c>
      <c r="B450">
        <v>1</v>
      </c>
      <c r="C450">
        <v>2</v>
      </c>
      <c r="D450">
        <v>7</v>
      </c>
      <c r="E450" s="1">
        <v>13.57990421</v>
      </c>
      <c r="F450">
        <v>2</v>
      </c>
      <c r="G450" s="1">
        <v>3.8397986259999999</v>
      </c>
      <c r="H450" s="1">
        <v>297386.13870000001</v>
      </c>
    </row>
    <row r="451" spans="1:8" x14ac:dyDescent="0.25">
      <c r="A451">
        <v>795</v>
      </c>
      <c r="B451">
        <v>5</v>
      </c>
      <c r="C451">
        <v>2</v>
      </c>
      <c r="D451">
        <v>2</v>
      </c>
      <c r="E451" s="1">
        <v>13.316265059999999</v>
      </c>
      <c r="F451">
        <v>2</v>
      </c>
      <c r="G451" s="1">
        <v>1.95961257</v>
      </c>
      <c r="H451" s="1">
        <v>470379.93359999999</v>
      </c>
    </row>
    <row r="452" spans="1:8" x14ac:dyDescent="0.25">
      <c r="A452">
        <v>2773</v>
      </c>
      <c r="B452">
        <v>5</v>
      </c>
      <c r="C452">
        <v>4</v>
      </c>
      <c r="D452">
        <v>13</v>
      </c>
      <c r="E452" s="1">
        <v>21.83918353</v>
      </c>
      <c r="F452">
        <v>1</v>
      </c>
      <c r="G452" s="1">
        <v>4.3011848859999997</v>
      </c>
      <c r="H452" s="1">
        <v>1084941.4850000001</v>
      </c>
    </row>
    <row r="453" spans="1:8" x14ac:dyDescent="0.25">
      <c r="A453">
        <v>4760</v>
      </c>
      <c r="B453">
        <v>3</v>
      </c>
      <c r="C453">
        <v>1</v>
      </c>
      <c r="D453">
        <v>12</v>
      </c>
      <c r="E453" s="1">
        <v>22.341006549999999</v>
      </c>
      <c r="F453">
        <v>0</v>
      </c>
      <c r="G453" s="1">
        <v>1.89545202</v>
      </c>
      <c r="H453" s="1">
        <v>750724.88769999996</v>
      </c>
    </row>
    <row r="454" spans="1:8" x14ac:dyDescent="0.25">
      <c r="A454">
        <v>2902</v>
      </c>
      <c r="B454">
        <v>2</v>
      </c>
      <c r="C454">
        <v>2</v>
      </c>
      <c r="D454">
        <v>31</v>
      </c>
      <c r="E454" s="1">
        <v>16.690340339999999</v>
      </c>
      <c r="F454">
        <v>0</v>
      </c>
      <c r="G454" s="1">
        <v>7.8993635019999999</v>
      </c>
      <c r="H454" s="1">
        <v>804734.7341</v>
      </c>
    </row>
    <row r="455" spans="1:8" x14ac:dyDescent="0.25">
      <c r="A455">
        <v>2219</v>
      </c>
      <c r="B455">
        <v>4</v>
      </c>
      <c r="C455">
        <v>2</v>
      </c>
      <c r="D455">
        <v>33</v>
      </c>
      <c r="E455" s="1">
        <v>15.785548</v>
      </c>
      <c r="F455">
        <v>1</v>
      </c>
      <c r="G455" s="1">
        <v>9.6964686800000006</v>
      </c>
      <c r="H455" s="1">
        <v>889097.68969999999</v>
      </c>
    </row>
    <row r="456" spans="1:8" x14ac:dyDescent="0.25">
      <c r="A456">
        <v>1117</v>
      </c>
      <c r="B456">
        <v>3</v>
      </c>
      <c r="C456">
        <v>1</v>
      </c>
      <c r="D456">
        <v>18</v>
      </c>
      <c r="E456" s="1">
        <v>17.548094639999999</v>
      </c>
      <c r="F456">
        <v>1</v>
      </c>
      <c r="G456" s="1">
        <v>9.7306701100000002</v>
      </c>
      <c r="H456" s="1">
        <v>724131.30409999995</v>
      </c>
    </row>
    <row r="457" spans="1:8" x14ac:dyDescent="0.25">
      <c r="A457">
        <v>3182</v>
      </c>
      <c r="B457">
        <v>5</v>
      </c>
      <c r="C457">
        <v>3</v>
      </c>
      <c r="D457">
        <v>37</v>
      </c>
      <c r="E457" s="1">
        <v>30.20606283</v>
      </c>
      <c r="F457">
        <v>1</v>
      </c>
      <c r="G457" s="1">
        <v>8.7856398939999991</v>
      </c>
      <c r="H457" s="1">
        <v>939218.65789999999</v>
      </c>
    </row>
    <row r="458" spans="1:8" x14ac:dyDescent="0.25">
      <c r="A458">
        <v>2773</v>
      </c>
      <c r="B458">
        <v>4</v>
      </c>
      <c r="C458">
        <v>1</v>
      </c>
      <c r="D458">
        <v>15</v>
      </c>
      <c r="E458" s="1">
        <v>16.410258089999999</v>
      </c>
      <c r="F458">
        <v>2</v>
      </c>
      <c r="G458" s="1">
        <v>6.4071293440000003</v>
      </c>
      <c r="H458" s="1">
        <v>938279.37159999995</v>
      </c>
    </row>
    <row r="459" spans="1:8" x14ac:dyDescent="0.25">
      <c r="A459">
        <v>543</v>
      </c>
      <c r="B459">
        <v>5</v>
      </c>
      <c r="C459">
        <v>3</v>
      </c>
      <c r="D459">
        <v>1</v>
      </c>
      <c r="E459" s="1">
        <v>32.92764682</v>
      </c>
      <c r="F459">
        <v>0</v>
      </c>
      <c r="G459" s="1">
        <v>7.3077912749999996</v>
      </c>
      <c r="H459" s="1">
        <v>656789.54520000005</v>
      </c>
    </row>
    <row r="460" spans="1:8" x14ac:dyDescent="0.25">
      <c r="A460">
        <v>3540</v>
      </c>
      <c r="B460">
        <v>4</v>
      </c>
      <c r="C460">
        <v>4</v>
      </c>
      <c r="D460">
        <v>39</v>
      </c>
      <c r="E460" s="1">
        <v>17.888129840000001</v>
      </c>
      <c r="F460">
        <v>1</v>
      </c>
      <c r="G460" s="1">
        <v>3.5668522239999998</v>
      </c>
      <c r="H460" s="1">
        <v>805011.59109999996</v>
      </c>
    </row>
    <row r="461" spans="1:8" x14ac:dyDescent="0.25">
      <c r="A461">
        <v>4891</v>
      </c>
      <c r="B461">
        <v>3</v>
      </c>
      <c r="C461">
        <v>3</v>
      </c>
      <c r="D461">
        <v>16</v>
      </c>
      <c r="E461" s="1">
        <v>33.247423910000002</v>
      </c>
      <c r="F461">
        <v>1</v>
      </c>
      <c r="G461" s="1">
        <v>6.6769337819999999</v>
      </c>
      <c r="H461" s="1">
        <v>937064.51</v>
      </c>
    </row>
    <row r="462" spans="1:8" x14ac:dyDescent="0.25">
      <c r="A462">
        <v>3338</v>
      </c>
      <c r="B462">
        <v>3</v>
      </c>
      <c r="C462">
        <v>4</v>
      </c>
      <c r="D462">
        <v>33</v>
      </c>
      <c r="E462" s="1">
        <v>29.232700609999998</v>
      </c>
      <c r="F462">
        <v>1</v>
      </c>
      <c r="G462" s="1">
        <v>5.1008459449999997</v>
      </c>
      <c r="H462" s="1">
        <v>742317.64509999997</v>
      </c>
    </row>
    <row r="463" spans="1:8" x14ac:dyDescent="0.25">
      <c r="A463">
        <v>4036</v>
      </c>
      <c r="B463">
        <v>4</v>
      </c>
      <c r="C463">
        <v>3</v>
      </c>
      <c r="D463">
        <v>15</v>
      </c>
      <c r="E463" s="1">
        <v>13.003880629999999</v>
      </c>
      <c r="F463">
        <v>2</v>
      </c>
      <c r="G463" s="1">
        <v>5.338156058</v>
      </c>
      <c r="H463" s="1">
        <v>950268.16910000006</v>
      </c>
    </row>
    <row r="464" spans="1:8" x14ac:dyDescent="0.25">
      <c r="A464">
        <v>3622</v>
      </c>
      <c r="B464">
        <v>1</v>
      </c>
      <c r="C464">
        <v>3</v>
      </c>
      <c r="D464">
        <v>37</v>
      </c>
      <c r="E464" s="1">
        <v>30.295629030000001</v>
      </c>
      <c r="F464">
        <v>1</v>
      </c>
      <c r="G464" s="1">
        <v>7.8199890429999996</v>
      </c>
      <c r="H464" s="1">
        <v>703468.04709999997</v>
      </c>
    </row>
    <row r="465" spans="1:8" x14ac:dyDescent="0.25">
      <c r="A465">
        <v>1567</v>
      </c>
      <c r="B465">
        <v>1</v>
      </c>
      <c r="C465">
        <v>3</v>
      </c>
      <c r="D465">
        <v>1</v>
      </c>
      <c r="E465" s="1">
        <v>4.2971833049999999</v>
      </c>
      <c r="F465">
        <v>1</v>
      </c>
      <c r="G465" s="1">
        <v>3.5372652000000002</v>
      </c>
      <c r="H465" s="1">
        <v>453921.8873</v>
      </c>
    </row>
    <row r="466" spans="1:8" x14ac:dyDescent="0.25">
      <c r="A466">
        <v>3016</v>
      </c>
      <c r="B466">
        <v>4</v>
      </c>
      <c r="C466">
        <v>3</v>
      </c>
      <c r="D466">
        <v>1</v>
      </c>
      <c r="E466" s="1">
        <v>32.414127550000003</v>
      </c>
      <c r="F466">
        <v>1</v>
      </c>
      <c r="G466" s="1">
        <v>3.8623565050000002</v>
      </c>
      <c r="H466" s="1">
        <v>780620.42480000004</v>
      </c>
    </row>
    <row r="467" spans="1:8" x14ac:dyDescent="0.25">
      <c r="A467">
        <v>1462</v>
      </c>
      <c r="B467">
        <v>4</v>
      </c>
      <c r="C467">
        <v>4</v>
      </c>
      <c r="D467">
        <v>25</v>
      </c>
      <c r="E467" s="1">
        <v>22.291701270000001</v>
      </c>
      <c r="F467">
        <v>1</v>
      </c>
      <c r="G467" s="1">
        <v>9.3217761200000009</v>
      </c>
      <c r="H467" s="1">
        <v>675310.8003</v>
      </c>
    </row>
    <row r="468" spans="1:8" x14ac:dyDescent="0.25">
      <c r="A468">
        <v>2556</v>
      </c>
      <c r="B468">
        <v>4</v>
      </c>
      <c r="C468">
        <v>3</v>
      </c>
      <c r="D468">
        <v>12</v>
      </c>
      <c r="E468" s="1">
        <v>2.3764808240000002</v>
      </c>
      <c r="F468">
        <v>0</v>
      </c>
      <c r="G468" s="1">
        <v>1.506018654</v>
      </c>
      <c r="H468" s="1">
        <v>706120.13</v>
      </c>
    </row>
    <row r="469" spans="1:8" x14ac:dyDescent="0.25">
      <c r="A469">
        <v>3382</v>
      </c>
      <c r="B469">
        <v>1</v>
      </c>
      <c r="C469">
        <v>1</v>
      </c>
      <c r="D469">
        <v>30</v>
      </c>
      <c r="E469" s="1">
        <v>22.72685697</v>
      </c>
      <c r="F469">
        <v>2</v>
      </c>
      <c r="G469" s="1">
        <v>5.3707086860000004</v>
      </c>
      <c r="H469" s="1">
        <v>662696.77289999998</v>
      </c>
    </row>
    <row r="470" spans="1:8" x14ac:dyDescent="0.25">
      <c r="A470">
        <v>3694</v>
      </c>
      <c r="B470">
        <v>1</v>
      </c>
      <c r="C470">
        <v>2</v>
      </c>
      <c r="D470">
        <v>33</v>
      </c>
      <c r="E470" s="1">
        <v>34.111544070000001</v>
      </c>
      <c r="F470">
        <v>2</v>
      </c>
      <c r="G470" s="1">
        <v>9.2152072040000004</v>
      </c>
      <c r="H470" s="1">
        <v>781732.74129999999</v>
      </c>
    </row>
    <row r="471" spans="1:8" x14ac:dyDescent="0.25">
      <c r="A471">
        <v>1556</v>
      </c>
      <c r="B471">
        <v>4</v>
      </c>
      <c r="C471">
        <v>4</v>
      </c>
      <c r="D471">
        <v>38</v>
      </c>
      <c r="E471" s="1">
        <v>2.908122584</v>
      </c>
      <c r="F471">
        <v>0</v>
      </c>
      <c r="G471" s="1">
        <v>6.4932670699999999</v>
      </c>
      <c r="H471" s="1">
        <v>713258.04029999999</v>
      </c>
    </row>
    <row r="472" spans="1:8" x14ac:dyDescent="0.25">
      <c r="A472">
        <v>1132</v>
      </c>
      <c r="B472">
        <v>5</v>
      </c>
      <c r="C472">
        <v>3</v>
      </c>
      <c r="D472">
        <v>2</v>
      </c>
      <c r="E472" s="1">
        <v>19.636725989999999</v>
      </c>
      <c r="F472">
        <v>0</v>
      </c>
      <c r="G472" s="1">
        <v>5.9176636680000003</v>
      </c>
      <c r="H472" s="1">
        <v>679248.84409999999</v>
      </c>
    </row>
    <row r="473" spans="1:8" x14ac:dyDescent="0.25">
      <c r="A473">
        <v>4730</v>
      </c>
      <c r="B473">
        <v>5</v>
      </c>
      <c r="C473">
        <v>1</v>
      </c>
      <c r="D473">
        <v>7</v>
      </c>
      <c r="E473" s="1">
        <v>26.29890507</v>
      </c>
      <c r="F473">
        <v>2</v>
      </c>
      <c r="G473" s="1">
        <v>3.2476976130000001</v>
      </c>
      <c r="H473" s="1">
        <v>985559.06530000002</v>
      </c>
    </row>
    <row r="474" spans="1:8" x14ac:dyDescent="0.25">
      <c r="A474">
        <v>1353</v>
      </c>
      <c r="B474">
        <v>2</v>
      </c>
      <c r="C474">
        <v>4</v>
      </c>
      <c r="D474">
        <v>22</v>
      </c>
      <c r="E474" s="1">
        <v>28.45392124</v>
      </c>
      <c r="F474">
        <v>1</v>
      </c>
      <c r="G474" s="1">
        <v>4.0894794020000003</v>
      </c>
      <c r="H474" s="1">
        <v>508392.45130000002</v>
      </c>
    </row>
    <row r="475" spans="1:8" x14ac:dyDescent="0.25">
      <c r="A475">
        <v>2939</v>
      </c>
      <c r="B475">
        <v>3</v>
      </c>
      <c r="C475">
        <v>4</v>
      </c>
      <c r="D475">
        <v>13</v>
      </c>
      <c r="E475" s="1">
        <v>14.777047550000001</v>
      </c>
      <c r="F475">
        <v>1</v>
      </c>
      <c r="G475" s="1">
        <v>8.6684357419999998</v>
      </c>
      <c r="H475" s="1">
        <v>851248.32220000005</v>
      </c>
    </row>
    <row r="476" spans="1:8" x14ac:dyDescent="0.25">
      <c r="A476">
        <v>3724</v>
      </c>
      <c r="B476">
        <v>5</v>
      </c>
      <c r="C476">
        <v>2</v>
      </c>
      <c r="D476">
        <v>26</v>
      </c>
      <c r="E476" s="1">
        <v>18</v>
      </c>
      <c r="F476">
        <v>2</v>
      </c>
      <c r="G476" s="1">
        <v>6.0329631859999999</v>
      </c>
      <c r="H476" s="1">
        <v>964246.02870000002</v>
      </c>
    </row>
    <row r="477" spans="1:8" x14ac:dyDescent="0.25">
      <c r="A477">
        <v>3701</v>
      </c>
      <c r="B477">
        <v>1</v>
      </c>
      <c r="C477">
        <v>4</v>
      </c>
      <c r="D477">
        <v>28</v>
      </c>
      <c r="E477" s="1">
        <v>1.9608086179999999</v>
      </c>
      <c r="F477">
        <v>1</v>
      </c>
      <c r="G477" s="1">
        <v>5.6326797439999998</v>
      </c>
      <c r="H477" s="1">
        <v>770204.58409999998</v>
      </c>
    </row>
    <row r="478" spans="1:8" x14ac:dyDescent="0.25">
      <c r="A478">
        <v>1942</v>
      </c>
      <c r="B478">
        <v>5</v>
      </c>
      <c r="C478">
        <v>2</v>
      </c>
      <c r="D478">
        <v>38</v>
      </c>
      <c r="E478" s="1">
        <v>18</v>
      </c>
      <c r="F478">
        <v>0</v>
      </c>
      <c r="G478" s="1">
        <v>1.8962174220000001</v>
      </c>
      <c r="H478" s="1">
        <v>516279.49680000002</v>
      </c>
    </row>
    <row r="479" spans="1:8" x14ac:dyDescent="0.25">
      <c r="A479">
        <v>1591</v>
      </c>
      <c r="B479">
        <v>2</v>
      </c>
      <c r="C479">
        <v>3</v>
      </c>
      <c r="D479">
        <v>38</v>
      </c>
      <c r="E479" s="1">
        <v>16.12543192</v>
      </c>
      <c r="F479">
        <v>1</v>
      </c>
      <c r="G479" s="1">
        <v>1.144253408</v>
      </c>
      <c r="H479" s="1">
        <v>290093.3934</v>
      </c>
    </row>
    <row r="480" spans="1:8" x14ac:dyDescent="0.25">
      <c r="A480">
        <v>3393</v>
      </c>
      <c r="B480">
        <v>2</v>
      </c>
      <c r="C480">
        <v>2</v>
      </c>
      <c r="D480">
        <v>0</v>
      </c>
      <c r="E480" s="1">
        <v>33.231681629999997</v>
      </c>
      <c r="F480">
        <v>1</v>
      </c>
      <c r="G480" s="1">
        <v>9.6731666979999993</v>
      </c>
      <c r="H480" s="1">
        <v>991645.99890000001</v>
      </c>
    </row>
    <row r="481" spans="1:8" x14ac:dyDescent="0.25">
      <c r="A481">
        <v>3081</v>
      </c>
      <c r="B481">
        <v>3</v>
      </c>
      <c r="C481">
        <v>1</v>
      </c>
      <c r="D481">
        <v>16</v>
      </c>
      <c r="E481" s="1">
        <v>2.590869316</v>
      </c>
      <c r="F481">
        <v>1</v>
      </c>
      <c r="G481" s="1">
        <v>4.3928755060000002</v>
      </c>
      <c r="H481" s="1">
        <v>741551.80720000004</v>
      </c>
    </row>
    <row r="482" spans="1:8" x14ac:dyDescent="0.25">
      <c r="A482">
        <v>1617</v>
      </c>
      <c r="B482">
        <v>5</v>
      </c>
      <c r="C482">
        <v>2</v>
      </c>
      <c r="D482">
        <v>29</v>
      </c>
      <c r="E482" s="1">
        <v>24.146139349999999</v>
      </c>
      <c r="F482">
        <v>2</v>
      </c>
      <c r="G482" s="1">
        <v>6.4289175590000003</v>
      </c>
      <c r="H482" s="1">
        <v>629988.9351</v>
      </c>
    </row>
    <row r="483" spans="1:8" x14ac:dyDescent="0.25">
      <c r="A483">
        <v>1940</v>
      </c>
      <c r="B483">
        <v>1</v>
      </c>
      <c r="C483">
        <v>1</v>
      </c>
      <c r="D483">
        <v>12</v>
      </c>
      <c r="E483" s="1">
        <v>1.3613346630000001</v>
      </c>
      <c r="F483">
        <v>0</v>
      </c>
      <c r="G483" s="1">
        <v>1.7174356589999999</v>
      </c>
      <c r="H483" s="1">
        <v>288724.89399999997</v>
      </c>
    </row>
    <row r="484" spans="1:8" x14ac:dyDescent="0.25">
      <c r="A484">
        <v>3636</v>
      </c>
      <c r="B484">
        <v>1</v>
      </c>
      <c r="C484">
        <v>2</v>
      </c>
      <c r="D484">
        <v>20</v>
      </c>
      <c r="E484" s="1">
        <v>6.4144790970000001</v>
      </c>
      <c r="F484">
        <v>1</v>
      </c>
      <c r="G484" s="1">
        <v>7.1480285720000003</v>
      </c>
      <c r="H484" s="1">
        <v>763335.79269999999</v>
      </c>
    </row>
    <row r="485" spans="1:8" x14ac:dyDescent="0.25">
      <c r="A485">
        <v>2786</v>
      </c>
      <c r="B485">
        <v>4</v>
      </c>
      <c r="C485">
        <v>4</v>
      </c>
      <c r="D485">
        <v>18</v>
      </c>
      <c r="E485" s="1">
        <v>16.1484755</v>
      </c>
      <c r="F485">
        <v>2</v>
      </c>
      <c r="G485" s="1">
        <v>9.3931003779999998</v>
      </c>
      <c r="H485" s="1">
        <v>991546.43420000002</v>
      </c>
    </row>
    <row r="486" spans="1:8" x14ac:dyDescent="0.25">
      <c r="A486">
        <v>4119</v>
      </c>
      <c r="B486">
        <v>1</v>
      </c>
      <c r="C486">
        <v>3</v>
      </c>
      <c r="D486">
        <v>18</v>
      </c>
      <c r="E486" s="1">
        <v>16.193099279999998</v>
      </c>
      <c r="F486">
        <v>1</v>
      </c>
      <c r="G486" s="1">
        <v>6.1809872769999998</v>
      </c>
      <c r="H486" s="1">
        <v>833240.13439999998</v>
      </c>
    </row>
    <row r="487" spans="1:8" x14ac:dyDescent="0.25">
      <c r="A487">
        <v>1788</v>
      </c>
      <c r="B487">
        <v>3</v>
      </c>
      <c r="C487">
        <v>1</v>
      </c>
      <c r="D487">
        <v>24</v>
      </c>
      <c r="E487" s="1">
        <v>24.15666873</v>
      </c>
      <c r="F487">
        <v>0</v>
      </c>
      <c r="G487" s="1">
        <v>2.135037901</v>
      </c>
      <c r="H487" s="1">
        <v>458383.15419999999</v>
      </c>
    </row>
    <row r="488" spans="1:8" x14ac:dyDescent="0.25">
      <c r="A488">
        <v>2256</v>
      </c>
      <c r="B488">
        <v>3</v>
      </c>
      <c r="C488">
        <v>2</v>
      </c>
      <c r="D488">
        <v>21</v>
      </c>
      <c r="E488" s="1">
        <v>31.902349699999998</v>
      </c>
      <c r="F488">
        <v>1</v>
      </c>
      <c r="G488" s="1">
        <v>6.2354937469999996</v>
      </c>
      <c r="H488" s="1">
        <v>679782.21140000003</v>
      </c>
    </row>
    <row r="489" spans="1:8" x14ac:dyDescent="0.25">
      <c r="A489">
        <v>1765</v>
      </c>
      <c r="B489">
        <v>1</v>
      </c>
      <c r="C489">
        <v>2</v>
      </c>
      <c r="D489">
        <v>30</v>
      </c>
      <c r="E489" s="1">
        <v>22.546609480000001</v>
      </c>
      <c r="F489">
        <v>0</v>
      </c>
      <c r="G489" s="1">
        <v>7.8971249180000003</v>
      </c>
      <c r="H489" s="1">
        <v>592343.53379999998</v>
      </c>
    </row>
    <row r="490" spans="1:8" x14ac:dyDescent="0.25">
      <c r="A490">
        <v>899</v>
      </c>
      <c r="B490">
        <v>1</v>
      </c>
      <c r="C490">
        <v>2</v>
      </c>
      <c r="D490">
        <v>16</v>
      </c>
      <c r="E490" s="1">
        <v>33.396960880000002</v>
      </c>
      <c r="F490">
        <v>1</v>
      </c>
      <c r="G490" s="1">
        <v>4.657748829</v>
      </c>
      <c r="H490" s="1">
        <v>338437.2819</v>
      </c>
    </row>
    <row r="491" spans="1:8" x14ac:dyDescent="0.25">
      <c r="A491">
        <v>2080</v>
      </c>
      <c r="B491">
        <v>4</v>
      </c>
      <c r="C491">
        <v>4</v>
      </c>
      <c r="D491">
        <v>22</v>
      </c>
      <c r="E491" s="1">
        <v>30.91573958</v>
      </c>
      <c r="F491">
        <v>0</v>
      </c>
      <c r="G491" s="1">
        <v>8.9185397309999992</v>
      </c>
      <c r="H491" s="1">
        <v>766503.04339999997</v>
      </c>
    </row>
    <row r="492" spans="1:8" x14ac:dyDescent="0.25">
      <c r="A492">
        <v>2773</v>
      </c>
      <c r="B492">
        <v>1</v>
      </c>
      <c r="C492">
        <v>4</v>
      </c>
      <c r="D492">
        <v>31</v>
      </c>
      <c r="E492" s="1">
        <v>20.66524295</v>
      </c>
      <c r="F492">
        <v>1</v>
      </c>
      <c r="G492" s="1">
        <v>6.8381465800000001</v>
      </c>
      <c r="H492" s="1">
        <v>449943.0722</v>
      </c>
    </row>
    <row r="493" spans="1:8" x14ac:dyDescent="0.25">
      <c r="A493">
        <v>4712</v>
      </c>
      <c r="B493">
        <v>4</v>
      </c>
      <c r="C493">
        <v>1</v>
      </c>
      <c r="D493">
        <v>9</v>
      </c>
      <c r="E493" s="1">
        <v>29.265822310000001</v>
      </c>
      <c r="F493">
        <v>0</v>
      </c>
      <c r="G493" s="1">
        <v>9.0932402650000004</v>
      </c>
      <c r="H493" s="1">
        <v>1150275.3640000001</v>
      </c>
    </row>
    <row r="494" spans="1:8" x14ac:dyDescent="0.25">
      <c r="A494">
        <v>1724</v>
      </c>
      <c r="B494">
        <v>4</v>
      </c>
      <c r="C494">
        <v>1</v>
      </c>
      <c r="D494">
        <v>9</v>
      </c>
      <c r="E494" s="1">
        <v>22.66892756</v>
      </c>
      <c r="F494">
        <v>1</v>
      </c>
      <c r="G494" s="1">
        <v>6.6115478010000004</v>
      </c>
      <c r="H494" s="1">
        <v>646762.37430000002</v>
      </c>
    </row>
    <row r="495" spans="1:8" x14ac:dyDescent="0.25">
      <c r="A495">
        <v>1555</v>
      </c>
      <c r="B495">
        <v>1</v>
      </c>
      <c r="C495">
        <v>4</v>
      </c>
      <c r="D495">
        <v>35</v>
      </c>
      <c r="E495" s="1">
        <v>3.2102451670000001</v>
      </c>
      <c r="F495">
        <v>1</v>
      </c>
      <c r="G495" s="1">
        <v>2.1815917480000002</v>
      </c>
      <c r="H495" s="1">
        <v>394202.82059999998</v>
      </c>
    </row>
    <row r="496" spans="1:8" x14ac:dyDescent="0.25">
      <c r="A496">
        <v>2227</v>
      </c>
      <c r="B496">
        <v>2</v>
      </c>
      <c r="C496">
        <v>1</v>
      </c>
      <c r="D496">
        <v>7</v>
      </c>
      <c r="E496" s="1">
        <v>26.049482950000002</v>
      </c>
      <c r="F496">
        <v>2</v>
      </c>
      <c r="G496" s="1">
        <v>3.7872254000000001</v>
      </c>
      <c r="H496" s="1">
        <v>479717.37579999998</v>
      </c>
    </row>
    <row r="497" spans="1:8" x14ac:dyDescent="0.25">
      <c r="A497">
        <v>3541</v>
      </c>
      <c r="B497">
        <v>2</v>
      </c>
      <c r="C497">
        <v>3</v>
      </c>
      <c r="D497">
        <v>19</v>
      </c>
      <c r="E497" s="1">
        <v>3.7743412240000001</v>
      </c>
      <c r="F497">
        <v>2</v>
      </c>
      <c r="G497" s="1">
        <v>2.8161545339999998</v>
      </c>
      <c r="H497" s="1">
        <v>632414.07709999999</v>
      </c>
    </row>
    <row r="498" spans="1:8" x14ac:dyDescent="0.25">
      <c r="A498">
        <v>3886</v>
      </c>
      <c r="B498">
        <v>4</v>
      </c>
      <c r="C498">
        <v>3</v>
      </c>
      <c r="D498">
        <v>31</v>
      </c>
      <c r="E498" s="1">
        <v>20.995855930000001</v>
      </c>
      <c r="F498">
        <v>0</v>
      </c>
      <c r="G498" s="1">
        <v>9.1794384789999999</v>
      </c>
      <c r="H498" s="1">
        <v>1023836.552</v>
      </c>
    </row>
    <row r="499" spans="1:8" x14ac:dyDescent="0.25">
      <c r="A499">
        <v>2210</v>
      </c>
      <c r="B499">
        <v>1</v>
      </c>
      <c r="C499">
        <v>4</v>
      </c>
      <c r="D499">
        <v>13</v>
      </c>
      <c r="E499" s="1">
        <v>24.741087100000001</v>
      </c>
      <c r="F499">
        <v>1</v>
      </c>
      <c r="G499" s="1">
        <v>7.8436006059999999</v>
      </c>
      <c r="H499" s="1">
        <v>701284.76569999999</v>
      </c>
    </row>
    <row r="500" spans="1:8" x14ac:dyDescent="0.25">
      <c r="A500">
        <v>3323</v>
      </c>
      <c r="B500">
        <v>2</v>
      </c>
      <c r="C500">
        <v>1</v>
      </c>
      <c r="D500">
        <v>27</v>
      </c>
      <c r="E500" s="1">
        <v>18</v>
      </c>
      <c r="F500">
        <v>0</v>
      </c>
      <c r="G500" s="1">
        <v>7.0875853199999996</v>
      </c>
      <c r="H500" s="1">
        <v>721286.22309999994</v>
      </c>
    </row>
    <row r="501" spans="1:8" x14ac:dyDescent="0.25">
      <c r="A501">
        <v>2614</v>
      </c>
      <c r="B501">
        <v>1</v>
      </c>
      <c r="C501">
        <v>2</v>
      </c>
      <c r="D501">
        <v>23</v>
      </c>
      <c r="E501" s="1">
        <v>8.4624155600000002</v>
      </c>
      <c r="F501">
        <v>2</v>
      </c>
      <c r="G501" s="1">
        <v>3.7086968769999999</v>
      </c>
      <c r="H501" s="1">
        <v>501548.68949999998</v>
      </c>
    </row>
    <row r="502" spans="1:8" x14ac:dyDescent="0.25">
      <c r="A502">
        <v>4586</v>
      </c>
      <c r="B502">
        <v>1</v>
      </c>
      <c r="C502">
        <v>3</v>
      </c>
      <c r="D502">
        <v>14</v>
      </c>
      <c r="E502" s="1">
        <v>32.090692009999998</v>
      </c>
      <c r="F502">
        <v>1</v>
      </c>
      <c r="G502" s="1">
        <v>2.6564029480000002</v>
      </c>
      <c r="H502" s="1">
        <v>673466.91780000005</v>
      </c>
    </row>
    <row r="503" spans="1:8" x14ac:dyDescent="0.25">
      <c r="A503">
        <v>1113</v>
      </c>
      <c r="B503">
        <v>1</v>
      </c>
      <c r="C503">
        <v>4</v>
      </c>
      <c r="D503">
        <v>21</v>
      </c>
      <c r="E503" s="1">
        <v>21.762849979999999</v>
      </c>
      <c r="F503">
        <v>0</v>
      </c>
      <c r="G503" s="1">
        <v>7.8080597919999999</v>
      </c>
      <c r="H503" s="1">
        <v>597200.36259999999</v>
      </c>
    </row>
    <row r="504" spans="1:8" x14ac:dyDescent="0.25">
      <c r="A504">
        <v>4002</v>
      </c>
      <c r="B504">
        <v>5</v>
      </c>
      <c r="C504">
        <v>1</v>
      </c>
      <c r="D504">
        <v>29</v>
      </c>
      <c r="E504" s="1">
        <v>8.9968676490000004</v>
      </c>
      <c r="F504">
        <v>2</v>
      </c>
      <c r="G504" s="1">
        <v>5.2674215130000004</v>
      </c>
      <c r="H504" s="1">
        <v>884718.77119999996</v>
      </c>
    </row>
    <row r="505" spans="1:8" x14ac:dyDescent="0.25">
      <c r="A505">
        <v>4534</v>
      </c>
      <c r="B505">
        <v>1</v>
      </c>
      <c r="C505">
        <v>4</v>
      </c>
      <c r="D505">
        <v>3</v>
      </c>
      <c r="E505" s="1">
        <v>24.3284521</v>
      </c>
      <c r="F505">
        <v>1</v>
      </c>
      <c r="G505" s="1">
        <v>3.0321059689999998</v>
      </c>
      <c r="H505" s="1">
        <v>865509.33790000004</v>
      </c>
    </row>
    <row r="506" spans="1:8" x14ac:dyDescent="0.25">
      <c r="A506">
        <v>3922</v>
      </c>
      <c r="B506">
        <v>5</v>
      </c>
      <c r="C506">
        <v>2</v>
      </c>
      <c r="D506">
        <v>12</v>
      </c>
      <c r="E506" s="1">
        <v>21.08878649</v>
      </c>
      <c r="F506">
        <v>0</v>
      </c>
      <c r="G506" s="1">
        <v>6.5495978030000002</v>
      </c>
      <c r="H506" s="1">
        <v>1063428.125</v>
      </c>
    </row>
    <row r="507" spans="1:8" x14ac:dyDescent="0.25">
      <c r="A507">
        <v>2773</v>
      </c>
      <c r="B507">
        <v>4</v>
      </c>
      <c r="C507">
        <v>3</v>
      </c>
      <c r="D507">
        <v>22</v>
      </c>
      <c r="E507" s="1">
        <v>17.804361650000001</v>
      </c>
      <c r="F507">
        <v>2</v>
      </c>
      <c r="G507" s="1">
        <v>1.3630046689999999</v>
      </c>
      <c r="H507" s="1">
        <v>829921.34609999997</v>
      </c>
    </row>
    <row r="508" spans="1:8" x14ac:dyDescent="0.25">
      <c r="A508">
        <v>2773</v>
      </c>
      <c r="B508">
        <v>2</v>
      </c>
      <c r="C508">
        <v>4</v>
      </c>
      <c r="D508">
        <v>20</v>
      </c>
      <c r="E508" s="1">
        <v>34.178450640000001</v>
      </c>
      <c r="F508">
        <v>1</v>
      </c>
      <c r="G508" s="1">
        <v>3.935532287</v>
      </c>
      <c r="H508" s="1">
        <v>458891.1789</v>
      </c>
    </row>
    <row r="509" spans="1:8" x14ac:dyDescent="0.25">
      <c r="A509">
        <v>4109</v>
      </c>
      <c r="B509">
        <v>2</v>
      </c>
      <c r="C509">
        <v>4</v>
      </c>
      <c r="D509">
        <v>17</v>
      </c>
      <c r="E509" s="1">
        <v>24.079155320000002</v>
      </c>
      <c r="F509">
        <v>2</v>
      </c>
      <c r="G509" s="1">
        <v>5.2170129510000001</v>
      </c>
      <c r="H509" s="1">
        <v>747346.89119999995</v>
      </c>
    </row>
    <row r="510" spans="1:8" x14ac:dyDescent="0.25">
      <c r="A510">
        <v>1481</v>
      </c>
      <c r="B510">
        <v>2</v>
      </c>
      <c r="C510">
        <v>4</v>
      </c>
      <c r="D510">
        <v>11</v>
      </c>
      <c r="E510" s="1">
        <v>13.452718279999999</v>
      </c>
      <c r="F510">
        <v>0</v>
      </c>
      <c r="G510" s="1">
        <v>2.331625007</v>
      </c>
      <c r="H510" s="1">
        <v>375204.06920000003</v>
      </c>
    </row>
    <row r="511" spans="1:8" x14ac:dyDescent="0.25">
      <c r="A511">
        <v>855</v>
      </c>
      <c r="B511">
        <v>2</v>
      </c>
      <c r="C511">
        <v>2</v>
      </c>
      <c r="D511">
        <v>30</v>
      </c>
      <c r="E511" s="1">
        <v>28.102533409999999</v>
      </c>
      <c r="F511">
        <v>1</v>
      </c>
      <c r="G511" s="1">
        <v>9.8618902980000005</v>
      </c>
      <c r="H511" s="1">
        <v>486230.07059999998</v>
      </c>
    </row>
    <row r="512" spans="1:8" x14ac:dyDescent="0.25">
      <c r="A512">
        <v>1294</v>
      </c>
      <c r="B512">
        <v>2</v>
      </c>
      <c r="C512">
        <v>4</v>
      </c>
      <c r="D512">
        <v>20</v>
      </c>
      <c r="E512" s="1">
        <v>31.01812361</v>
      </c>
      <c r="F512">
        <v>1</v>
      </c>
      <c r="G512" s="1">
        <v>2.8818762809999998</v>
      </c>
      <c r="H512" s="1">
        <v>486951.34720000002</v>
      </c>
    </row>
    <row r="513" spans="1:8" x14ac:dyDescent="0.25">
      <c r="A513">
        <v>1784</v>
      </c>
      <c r="B513">
        <v>2</v>
      </c>
      <c r="C513">
        <v>2</v>
      </c>
      <c r="D513">
        <v>33</v>
      </c>
      <c r="E513" s="1">
        <v>4.8201093029999997</v>
      </c>
      <c r="F513">
        <v>1</v>
      </c>
      <c r="G513" s="1">
        <v>2.1731781699999999</v>
      </c>
      <c r="H513" s="1">
        <v>393568.19219999999</v>
      </c>
    </row>
    <row r="514" spans="1:8" x14ac:dyDescent="0.25">
      <c r="A514">
        <v>2358</v>
      </c>
      <c r="B514">
        <v>2</v>
      </c>
      <c r="C514">
        <v>2</v>
      </c>
      <c r="D514">
        <v>17</v>
      </c>
      <c r="E514" s="1">
        <v>7.4190777360000002</v>
      </c>
      <c r="F514">
        <v>2</v>
      </c>
      <c r="G514" s="1">
        <v>2.831813865</v>
      </c>
      <c r="H514" s="1">
        <v>530584.1642</v>
      </c>
    </row>
    <row r="515" spans="1:8" x14ac:dyDescent="0.25">
      <c r="A515">
        <v>3472</v>
      </c>
      <c r="B515">
        <v>4</v>
      </c>
      <c r="C515">
        <v>2</v>
      </c>
      <c r="D515">
        <v>33</v>
      </c>
      <c r="E515" s="1">
        <v>7.9598318150000003</v>
      </c>
      <c r="F515">
        <v>2</v>
      </c>
      <c r="G515" s="1">
        <v>7.9215501980000003</v>
      </c>
      <c r="H515" s="1">
        <v>804541.20979999995</v>
      </c>
    </row>
    <row r="516" spans="1:8" x14ac:dyDescent="0.25">
      <c r="A516">
        <v>2396</v>
      </c>
      <c r="B516">
        <v>1</v>
      </c>
      <c r="C516">
        <v>3</v>
      </c>
      <c r="D516">
        <v>10</v>
      </c>
      <c r="E516" s="1">
        <v>24.346807420000001</v>
      </c>
      <c r="F516">
        <v>1</v>
      </c>
      <c r="G516" s="1">
        <v>4.8295509330000002</v>
      </c>
      <c r="H516" s="1">
        <v>504283.50469999999</v>
      </c>
    </row>
    <row r="517" spans="1:8" x14ac:dyDescent="0.25">
      <c r="A517">
        <v>4685</v>
      </c>
      <c r="B517">
        <v>3</v>
      </c>
      <c r="C517">
        <v>3</v>
      </c>
      <c r="D517">
        <v>11</v>
      </c>
      <c r="E517" s="1">
        <v>21.304864649999999</v>
      </c>
      <c r="F517">
        <v>1</v>
      </c>
      <c r="G517" s="1">
        <v>6.0887434579999997</v>
      </c>
      <c r="H517" s="1">
        <v>1036146.43</v>
      </c>
    </row>
    <row r="518" spans="1:8" x14ac:dyDescent="0.25">
      <c r="A518">
        <v>904</v>
      </c>
      <c r="B518">
        <v>5</v>
      </c>
      <c r="C518">
        <v>3</v>
      </c>
      <c r="D518">
        <v>14</v>
      </c>
      <c r="E518" s="1">
        <v>21.85520898</v>
      </c>
      <c r="F518">
        <v>0</v>
      </c>
      <c r="G518" s="1">
        <v>1.1890824129999999</v>
      </c>
      <c r="H518" s="1">
        <v>479599.1887</v>
      </c>
    </row>
    <row r="519" spans="1:8" x14ac:dyDescent="0.25">
      <c r="A519">
        <v>1614</v>
      </c>
      <c r="B519">
        <v>3</v>
      </c>
      <c r="C519">
        <v>4</v>
      </c>
      <c r="D519">
        <v>30</v>
      </c>
      <c r="E519" s="1">
        <v>32.956678840000002</v>
      </c>
      <c r="F519">
        <v>1</v>
      </c>
      <c r="G519" s="1">
        <v>1.309881777</v>
      </c>
      <c r="H519" s="1">
        <v>399279.9889</v>
      </c>
    </row>
    <row r="520" spans="1:8" x14ac:dyDescent="0.25">
      <c r="A520">
        <v>1931</v>
      </c>
      <c r="B520">
        <v>3</v>
      </c>
      <c r="C520">
        <v>3</v>
      </c>
      <c r="D520">
        <v>28</v>
      </c>
      <c r="E520" s="1">
        <v>27.268947879999999</v>
      </c>
      <c r="F520">
        <v>0</v>
      </c>
      <c r="G520" s="1">
        <v>5.0124299480000003</v>
      </c>
      <c r="H520" s="1">
        <v>603555.89399999997</v>
      </c>
    </row>
    <row r="521" spans="1:8" x14ac:dyDescent="0.25">
      <c r="A521">
        <v>3840</v>
      </c>
      <c r="B521">
        <v>3</v>
      </c>
      <c r="C521">
        <v>1</v>
      </c>
      <c r="D521">
        <v>25</v>
      </c>
      <c r="E521" s="1">
        <v>4.9138238960000002</v>
      </c>
      <c r="F521">
        <v>2</v>
      </c>
      <c r="G521" s="1">
        <v>8.349897189</v>
      </c>
      <c r="H521" s="1">
        <v>899215.04200000002</v>
      </c>
    </row>
    <row r="522" spans="1:8" x14ac:dyDescent="0.25">
      <c r="A522">
        <v>1223</v>
      </c>
      <c r="B522">
        <v>1</v>
      </c>
      <c r="C522">
        <v>3</v>
      </c>
      <c r="D522">
        <v>17</v>
      </c>
      <c r="E522" s="1">
        <v>12.48899434</v>
      </c>
      <c r="F522">
        <v>2</v>
      </c>
      <c r="G522" s="1">
        <v>8.9671499079999997</v>
      </c>
      <c r="H522" s="1">
        <v>581660.38159999996</v>
      </c>
    </row>
    <row r="523" spans="1:8" x14ac:dyDescent="0.25">
      <c r="A523">
        <v>1328</v>
      </c>
      <c r="B523">
        <v>1</v>
      </c>
      <c r="C523">
        <v>2</v>
      </c>
      <c r="D523">
        <v>31</v>
      </c>
      <c r="E523" s="1">
        <v>15.521080789999999</v>
      </c>
      <c r="F523">
        <v>1</v>
      </c>
      <c r="G523" s="1">
        <v>1.7803591080000001</v>
      </c>
      <c r="H523" s="1">
        <v>258761.23329999999</v>
      </c>
    </row>
    <row r="524" spans="1:8" x14ac:dyDescent="0.25">
      <c r="A524">
        <v>533</v>
      </c>
      <c r="B524">
        <v>2</v>
      </c>
      <c r="C524">
        <v>3</v>
      </c>
      <c r="D524">
        <v>21</v>
      </c>
      <c r="E524" s="1">
        <v>18</v>
      </c>
      <c r="F524">
        <v>2</v>
      </c>
      <c r="G524" s="1">
        <v>5.8452679190000003</v>
      </c>
      <c r="H524" s="1">
        <v>434159.55050000001</v>
      </c>
    </row>
    <row r="525" spans="1:8" x14ac:dyDescent="0.25">
      <c r="A525">
        <v>2505</v>
      </c>
      <c r="B525">
        <v>3</v>
      </c>
      <c r="C525">
        <v>2</v>
      </c>
      <c r="D525">
        <v>37</v>
      </c>
      <c r="E525" s="1">
        <v>23.591147020000001</v>
      </c>
      <c r="F525">
        <v>2</v>
      </c>
      <c r="G525" s="1">
        <v>9.2190671769999994</v>
      </c>
      <c r="H525" s="1">
        <v>939581.44830000005</v>
      </c>
    </row>
    <row r="526" spans="1:8" x14ac:dyDescent="0.25">
      <c r="A526">
        <v>4027</v>
      </c>
      <c r="B526">
        <v>2</v>
      </c>
      <c r="C526">
        <v>4</v>
      </c>
      <c r="D526">
        <v>16</v>
      </c>
      <c r="E526" s="1">
        <v>18</v>
      </c>
      <c r="F526">
        <v>1</v>
      </c>
      <c r="G526" s="1">
        <v>4.4917547899999999</v>
      </c>
      <c r="H526" s="1">
        <v>699036.91029999999</v>
      </c>
    </row>
    <row r="527" spans="1:8" x14ac:dyDescent="0.25">
      <c r="A527">
        <v>2252</v>
      </c>
      <c r="B527">
        <v>4</v>
      </c>
      <c r="C527">
        <v>1</v>
      </c>
      <c r="D527">
        <v>22</v>
      </c>
      <c r="E527" s="1">
        <v>11.05877549</v>
      </c>
      <c r="F527">
        <v>0</v>
      </c>
      <c r="G527" s="1">
        <v>8.4660924830000006</v>
      </c>
      <c r="H527" s="1">
        <v>812456.68680000002</v>
      </c>
    </row>
    <row r="528" spans="1:8" x14ac:dyDescent="0.25">
      <c r="A528">
        <v>4575</v>
      </c>
      <c r="B528">
        <v>4</v>
      </c>
      <c r="C528">
        <v>4</v>
      </c>
      <c r="D528">
        <v>23</v>
      </c>
      <c r="E528" s="1">
        <v>18</v>
      </c>
      <c r="F528">
        <v>1</v>
      </c>
      <c r="G528" s="1">
        <v>2.2032608900000001</v>
      </c>
      <c r="H528" s="1">
        <v>876080.68130000005</v>
      </c>
    </row>
    <row r="529" spans="1:8" x14ac:dyDescent="0.25">
      <c r="A529">
        <v>3333</v>
      </c>
      <c r="B529">
        <v>3</v>
      </c>
      <c r="C529">
        <v>2</v>
      </c>
      <c r="D529">
        <v>7</v>
      </c>
      <c r="E529" s="1">
        <v>27.734625059999999</v>
      </c>
      <c r="F529">
        <v>0</v>
      </c>
      <c r="G529" s="1">
        <v>9.4185504069999997</v>
      </c>
      <c r="H529" s="1">
        <v>959438.66500000004</v>
      </c>
    </row>
    <row r="530" spans="1:8" x14ac:dyDescent="0.25">
      <c r="A530">
        <v>3684</v>
      </c>
      <c r="B530">
        <v>3</v>
      </c>
      <c r="C530">
        <v>2</v>
      </c>
      <c r="D530">
        <v>5</v>
      </c>
      <c r="E530" s="1">
        <v>14.85952303</v>
      </c>
      <c r="F530">
        <v>1</v>
      </c>
      <c r="G530" s="1">
        <v>7.7628098579999998</v>
      </c>
      <c r="H530" s="1">
        <v>897434.48210000002</v>
      </c>
    </row>
    <row r="531" spans="1:8" x14ac:dyDescent="0.25">
      <c r="A531">
        <v>4698</v>
      </c>
      <c r="B531">
        <v>4</v>
      </c>
      <c r="C531">
        <v>2</v>
      </c>
      <c r="D531">
        <v>4</v>
      </c>
      <c r="E531" s="1">
        <v>6.3000754299999997</v>
      </c>
      <c r="F531">
        <v>1</v>
      </c>
      <c r="G531" s="1">
        <v>9.4720095349999998</v>
      </c>
      <c r="H531" s="1">
        <v>1182742.017</v>
      </c>
    </row>
    <row r="532" spans="1:8" x14ac:dyDescent="0.25">
      <c r="A532">
        <v>3211</v>
      </c>
      <c r="B532">
        <v>3</v>
      </c>
      <c r="C532">
        <v>1</v>
      </c>
      <c r="D532">
        <v>28</v>
      </c>
      <c r="E532" s="1">
        <v>16.885808300000001</v>
      </c>
      <c r="F532">
        <v>2</v>
      </c>
      <c r="G532" s="1">
        <v>7.0895551020000003</v>
      </c>
      <c r="H532" s="1">
        <v>853144.02060000005</v>
      </c>
    </row>
    <row r="533" spans="1:8" x14ac:dyDescent="0.25">
      <c r="A533">
        <v>1650</v>
      </c>
      <c r="B533">
        <v>2</v>
      </c>
      <c r="C533">
        <v>3</v>
      </c>
      <c r="D533">
        <v>27</v>
      </c>
      <c r="E533" s="1">
        <v>2.405176966</v>
      </c>
      <c r="F533">
        <v>1</v>
      </c>
      <c r="G533" s="1">
        <v>4.2706353879999996</v>
      </c>
      <c r="H533" s="1">
        <v>656863.16009999998</v>
      </c>
    </row>
    <row r="534" spans="1:8" x14ac:dyDescent="0.25">
      <c r="A534">
        <v>3912</v>
      </c>
      <c r="B534">
        <v>2</v>
      </c>
      <c r="C534">
        <v>4</v>
      </c>
      <c r="D534">
        <v>10</v>
      </c>
      <c r="E534" s="1">
        <v>33.012229159999997</v>
      </c>
      <c r="F534">
        <v>1</v>
      </c>
      <c r="G534" s="1">
        <v>9.4436305530000002</v>
      </c>
      <c r="H534" s="1">
        <v>1038068.688</v>
      </c>
    </row>
    <row r="535" spans="1:8" x14ac:dyDescent="0.25">
      <c r="A535">
        <v>1656</v>
      </c>
      <c r="B535">
        <v>3</v>
      </c>
      <c r="C535">
        <v>4</v>
      </c>
      <c r="D535">
        <v>0</v>
      </c>
      <c r="E535" s="1">
        <v>3.081331579</v>
      </c>
      <c r="F535">
        <v>1</v>
      </c>
      <c r="G535" s="1">
        <v>3.4801009870000001</v>
      </c>
      <c r="H535" s="1">
        <v>560898.7622</v>
      </c>
    </row>
    <row r="536" spans="1:8" x14ac:dyDescent="0.25">
      <c r="A536">
        <v>3776</v>
      </c>
      <c r="B536">
        <v>1</v>
      </c>
      <c r="C536">
        <v>3</v>
      </c>
      <c r="D536">
        <v>18</v>
      </c>
      <c r="E536" s="1">
        <v>15.62675668</v>
      </c>
      <c r="F536">
        <v>2</v>
      </c>
      <c r="G536" s="1">
        <v>3.9895526989999999</v>
      </c>
      <c r="H536" s="1">
        <v>672073.98880000005</v>
      </c>
    </row>
    <row r="537" spans="1:8" x14ac:dyDescent="0.25">
      <c r="A537">
        <v>3886</v>
      </c>
      <c r="B537">
        <v>4</v>
      </c>
      <c r="C537">
        <v>4</v>
      </c>
      <c r="D537">
        <v>8</v>
      </c>
      <c r="E537" s="1">
        <v>18.780903510000002</v>
      </c>
      <c r="F537">
        <v>0</v>
      </c>
      <c r="G537" s="1">
        <v>7.3072757619999997</v>
      </c>
      <c r="H537" s="1">
        <v>1011768.97</v>
      </c>
    </row>
    <row r="538" spans="1:8" x14ac:dyDescent="0.25">
      <c r="A538">
        <v>3984</v>
      </c>
      <c r="B538">
        <v>2</v>
      </c>
      <c r="C538">
        <v>1</v>
      </c>
      <c r="D538">
        <v>26</v>
      </c>
      <c r="E538" s="1">
        <v>34.492982210000001</v>
      </c>
      <c r="F538">
        <v>0</v>
      </c>
      <c r="G538" s="1">
        <v>5</v>
      </c>
      <c r="H538" s="1">
        <v>730072.23589999997</v>
      </c>
    </row>
    <row r="539" spans="1:8" x14ac:dyDescent="0.25">
      <c r="A539">
        <v>1796</v>
      </c>
      <c r="B539">
        <v>3</v>
      </c>
      <c r="C539">
        <v>4</v>
      </c>
      <c r="D539">
        <v>33</v>
      </c>
      <c r="E539" s="1">
        <v>6.227752916</v>
      </c>
      <c r="F539">
        <v>2</v>
      </c>
      <c r="G539" s="1">
        <v>9.3646313550000002</v>
      </c>
      <c r="H539" s="1">
        <v>768259.1152</v>
      </c>
    </row>
    <row r="540" spans="1:8" x14ac:dyDescent="0.25">
      <c r="A540">
        <v>4037</v>
      </c>
      <c r="B540">
        <v>2</v>
      </c>
      <c r="C540">
        <v>2</v>
      </c>
      <c r="D540">
        <v>3</v>
      </c>
      <c r="E540" s="1">
        <v>4.4478873920000002</v>
      </c>
      <c r="F540">
        <v>2</v>
      </c>
      <c r="G540" s="1">
        <v>2.8432216819999998</v>
      </c>
      <c r="H540" s="1">
        <v>782138.49029999995</v>
      </c>
    </row>
    <row r="541" spans="1:8" x14ac:dyDescent="0.25">
      <c r="A541">
        <v>3730</v>
      </c>
      <c r="B541">
        <v>4</v>
      </c>
      <c r="C541">
        <v>3</v>
      </c>
      <c r="D541">
        <v>35</v>
      </c>
      <c r="E541" s="1">
        <v>0.80036207400000003</v>
      </c>
      <c r="F541">
        <v>2</v>
      </c>
      <c r="G541" s="1">
        <v>8.1819823169999992</v>
      </c>
      <c r="H541" s="1">
        <v>929967.14359999995</v>
      </c>
    </row>
    <row r="542" spans="1:8" x14ac:dyDescent="0.25">
      <c r="A542">
        <v>3103</v>
      </c>
      <c r="B542">
        <v>4</v>
      </c>
      <c r="C542">
        <v>1</v>
      </c>
      <c r="D542">
        <v>17</v>
      </c>
      <c r="E542" s="1">
        <v>5.867214572</v>
      </c>
      <c r="F542">
        <v>1</v>
      </c>
      <c r="G542" s="1">
        <v>7.6469144809999996</v>
      </c>
      <c r="H542" s="1">
        <v>917859.88989999995</v>
      </c>
    </row>
    <row r="543" spans="1:8" x14ac:dyDescent="0.25">
      <c r="A543">
        <v>870</v>
      </c>
      <c r="B543">
        <v>5</v>
      </c>
      <c r="C543">
        <v>3</v>
      </c>
      <c r="D543">
        <v>14</v>
      </c>
      <c r="E543" s="1">
        <v>7.6509177780000002</v>
      </c>
      <c r="F543">
        <v>2</v>
      </c>
      <c r="G543" s="1">
        <v>1.5741510059999999</v>
      </c>
      <c r="H543" s="1">
        <v>492278.40460000001</v>
      </c>
    </row>
    <row r="544" spans="1:8" x14ac:dyDescent="0.25">
      <c r="A544">
        <v>1753</v>
      </c>
      <c r="B544">
        <v>1</v>
      </c>
      <c r="C544">
        <v>1</v>
      </c>
      <c r="D544">
        <v>12</v>
      </c>
      <c r="E544" s="1">
        <v>22.25504248</v>
      </c>
      <c r="F544">
        <v>2</v>
      </c>
      <c r="G544" s="1">
        <v>4.4850082709999999</v>
      </c>
      <c r="H544" s="1">
        <v>375666.10100000002</v>
      </c>
    </row>
    <row r="545" spans="1:8" x14ac:dyDescent="0.25">
      <c r="A545">
        <v>3183</v>
      </c>
      <c r="B545">
        <v>5</v>
      </c>
      <c r="C545">
        <v>2</v>
      </c>
      <c r="D545">
        <v>18</v>
      </c>
      <c r="E545" s="1">
        <v>8.0798842690000008</v>
      </c>
      <c r="F545">
        <v>2</v>
      </c>
      <c r="G545" s="1">
        <v>3.5448891140000001</v>
      </c>
      <c r="H545" s="1">
        <v>778559.25630000001</v>
      </c>
    </row>
    <row r="546" spans="1:8" x14ac:dyDescent="0.25">
      <c r="A546">
        <v>3231</v>
      </c>
      <c r="B546">
        <v>3</v>
      </c>
      <c r="C546">
        <v>3</v>
      </c>
      <c r="D546">
        <v>5</v>
      </c>
      <c r="E546" s="1">
        <v>1.207968108</v>
      </c>
      <c r="F546">
        <v>0</v>
      </c>
      <c r="G546" s="1">
        <v>3.740413819</v>
      </c>
      <c r="H546" s="1">
        <v>845440.69099999999</v>
      </c>
    </row>
    <row r="547" spans="1:8" x14ac:dyDescent="0.25">
      <c r="A547">
        <v>757</v>
      </c>
      <c r="B547">
        <v>2</v>
      </c>
      <c r="C547">
        <v>4</v>
      </c>
      <c r="D547">
        <v>11</v>
      </c>
      <c r="E547" s="1">
        <v>29.018332919999999</v>
      </c>
      <c r="F547">
        <v>0</v>
      </c>
      <c r="G547" s="1">
        <v>9.8465219160000004</v>
      </c>
      <c r="H547" s="1">
        <v>675850.76789999998</v>
      </c>
    </row>
    <row r="548" spans="1:8" x14ac:dyDescent="0.25">
      <c r="A548">
        <v>3419</v>
      </c>
      <c r="B548">
        <v>3</v>
      </c>
      <c r="C548">
        <v>1</v>
      </c>
      <c r="D548">
        <v>36</v>
      </c>
      <c r="E548" s="1">
        <v>13.11305168</v>
      </c>
      <c r="F548">
        <v>1</v>
      </c>
      <c r="G548" s="1">
        <v>6.7849967209999997</v>
      </c>
      <c r="H548" s="1">
        <v>770449.47409999999</v>
      </c>
    </row>
    <row r="549" spans="1:8" x14ac:dyDescent="0.25">
      <c r="A549">
        <v>1067</v>
      </c>
      <c r="B549">
        <v>4</v>
      </c>
      <c r="C549">
        <v>3</v>
      </c>
      <c r="D549">
        <v>16</v>
      </c>
      <c r="E549" s="1">
        <v>12.702535689999999</v>
      </c>
      <c r="F549">
        <v>0</v>
      </c>
      <c r="G549" s="1">
        <v>7.4590854200000001</v>
      </c>
      <c r="H549" s="1">
        <v>653465.44739999995</v>
      </c>
    </row>
    <row r="550" spans="1:8" x14ac:dyDescent="0.25">
      <c r="A550">
        <v>4868</v>
      </c>
      <c r="B550">
        <v>5</v>
      </c>
      <c r="C550">
        <v>4</v>
      </c>
      <c r="D550">
        <v>22</v>
      </c>
      <c r="E550" s="1">
        <v>10.935526510000001</v>
      </c>
      <c r="F550">
        <v>1</v>
      </c>
      <c r="G550" s="1">
        <v>9.789558736</v>
      </c>
      <c r="H550" s="1">
        <v>1289169.513</v>
      </c>
    </row>
    <row r="551" spans="1:8" x14ac:dyDescent="0.25">
      <c r="A551">
        <v>1545</v>
      </c>
      <c r="B551">
        <v>3</v>
      </c>
      <c r="C551">
        <v>3</v>
      </c>
      <c r="D551">
        <v>25</v>
      </c>
      <c r="E551" s="1">
        <v>34.150378060000001</v>
      </c>
      <c r="F551">
        <v>0</v>
      </c>
      <c r="G551" s="1">
        <v>4.3948160420000004</v>
      </c>
      <c r="H551" s="1">
        <v>574378.89670000004</v>
      </c>
    </row>
    <row r="552" spans="1:8" x14ac:dyDescent="0.25">
      <c r="A552">
        <v>2773</v>
      </c>
      <c r="B552">
        <v>5</v>
      </c>
      <c r="C552">
        <v>3</v>
      </c>
      <c r="D552">
        <v>28</v>
      </c>
      <c r="E552" s="1">
        <v>6.3689818970000003</v>
      </c>
      <c r="F552">
        <v>2</v>
      </c>
      <c r="G552" s="1">
        <v>8.2165615160000005</v>
      </c>
      <c r="H552" s="1">
        <v>1048071.513</v>
      </c>
    </row>
    <row r="553" spans="1:8" x14ac:dyDescent="0.25">
      <c r="A553">
        <v>4119</v>
      </c>
      <c r="B553">
        <v>3</v>
      </c>
      <c r="C553">
        <v>3</v>
      </c>
      <c r="D553">
        <v>32</v>
      </c>
      <c r="E553" s="1">
        <v>31.489213209999999</v>
      </c>
      <c r="F553">
        <v>0</v>
      </c>
      <c r="G553" s="1">
        <v>4.91077867</v>
      </c>
      <c r="H553" s="1">
        <v>921586.22250000003</v>
      </c>
    </row>
    <row r="554" spans="1:8" x14ac:dyDescent="0.25">
      <c r="A554">
        <v>3145</v>
      </c>
      <c r="B554">
        <v>4</v>
      </c>
      <c r="C554">
        <v>1</v>
      </c>
      <c r="D554">
        <v>26</v>
      </c>
      <c r="E554" s="1">
        <v>27.299714959999999</v>
      </c>
      <c r="F554">
        <v>1</v>
      </c>
      <c r="G554" s="1">
        <v>8.8258030460000008</v>
      </c>
      <c r="H554" s="1">
        <v>875248.79940000002</v>
      </c>
    </row>
    <row r="555" spans="1:8" x14ac:dyDescent="0.25">
      <c r="A555">
        <v>939</v>
      </c>
      <c r="B555">
        <v>2</v>
      </c>
      <c r="C555">
        <v>4</v>
      </c>
      <c r="D555">
        <v>24</v>
      </c>
      <c r="E555" s="1">
        <v>3.138558465</v>
      </c>
      <c r="F555">
        <v>0</v>
      </c>
      <c r="G555" s="1">
        <v>2.625917872</v>
      </c>
      <c r="H555" s="1">
        <v>404916.24040000001</v>
      </c>
    </row>
    <row r="556" spans="1:8" x14ac:dyDescent="0.25">
      <c r="A556">
        <v>3179</v>
      </c>
      <c r="B556">
        <v>2</v>
      </c>
      <c r="C556">
        <v>2</v>
      </c>
      <c r="D556">
        <v>9</v>
      </c>
      <c r="E556" s="1">
        <v>34.542153999999996</v>
      </c>
      <c r="F556">
        <v>2</v>
      </c>
      <c r="G556" s="1">
        <v>9.5291755939999998</v>
      </c>
      <c r="H556" s="1">
        <v>849938.40520000004</v>
      </c>
    </row>
    <row r="557" spans="1:8" x14ac:dyDescent="0.25">
      <c r="A557">
        <v>4536</v>
      </c>
      <c r="B557">
        <v>3</v>
      </c>
      <c r="C557">
        <v>1</v>
      </c>
      <c r="D557">
        <v>22</v>
      </c>
      <c r="E557" s="1">
        <v>9.8621257419999999</v>
      </c>
      <c r="F557">
        <v>1</v>
      </c>
      <c r="G557" s="1">
        <v>2.9689453760000002</v>
      </c>
      <c r="H557" s="1">
        <v>747528.78639999998</v>
      </c>
    </row>
    <row r="558" spans="1:8" x14ac:dyDescent="0.25">
      <c r="A558">
        <v>4175</v>
      </c>
      <c r="B558">
        <v>5</v>
      </c>
      <c r="C558">
        <v>1</v>
      </c>
      <c r="D558">
        <v>20</v>
      </c>
      <c r="E558" s="1">
        <v>3.9011109820000001</v>
      </c>
      <c r="F558">
        <v>2</v>
      </c>
      <c r="G558" s="1">
        <v>3.9359845629999999</v>
      </c>
      <c r="H558" s="1">
        <v>883291.49199999997</v>
      </c>
    </row>
    <row r="559" spans="1:8" x14ac:dyDescent="0.25">
      <c r="A559">
        <v>2908</v>
      </c>
      <c r="B559">
        <v>1</v>
      </c>
      <c r="C559">
        <v>1</v>
      </c>
      <c r="D559">
        <v>20</v>
      </c>
      <c r="E559" s="1">
        <v>29.111341079999999</v>
      </c>
      <c r="F559">
        <v>1</v>
      </c>
      <c r="G559" s="1">
        <v>7.8057301069999996</v>
      </c>
      <c r="H559" s="1">
        <v>577552.45460000006</v>
      </c>
    </row>
    <row r="560" spans="1:8" x14ac:dyDescent="0.25">
      <c r="A560">
        <v>3179</v>
      </c>
      <c r="B560">
        <v>3</v>
      </c>
      <c r="C560">
        <v>2</v>
      </c>
      <c r="D560">
        <v>12</v>
      </c>
      <c r="E560" s="1">
        <v>24.880305910000001</v>
      </c>
      <c r="F560">
        <v>1</v>
      </c>
      <c r="G560" s="1">
        <v>4.543796274</v>
      </c>
      <c r="H560" s="1">
        <v>825765.71699999995</v>
      </c>
    </row>
    <row r="561" spans="1:8" x14ac:dyDescent="0.25">
      <c r="A561">
        <v>1324</v>
      </c>
      <c r="B561">
        <v>3</v>
      </c>
      <c r="C561">
        <v>4</v>
      </c>
      <c r="D561">
        <v>36</v>
      </c>
      <c r="E561" s="1">
        <v>21.794048799999999</v>
      </c>
      <c r="F561">
        <v>1</v>
      </c>
      <c r="G561" s="1">
        <v>6.4739023910000002</v>
      </c>
      <c r="H561" s="1">
        <v>521419.42249999999</v>
      </c>
    </row>
    <row r="562" spans="1:8" x14ac:dyDescent="0.25">
      <c r="A562">
        <v>3356</v>
      </c>
      <c r="B562">
        <v>4</v>
      </c>
      <c r="C562">
        <v>4</v>
      </c>
      <c r="D562">
        <v>32</v>
      </c>
      <c r="E562" s="1">
        <v>5.881339798</v>
      </c>
      <c r="F562">
        <v>2</v>
      </c>
      <c r="G562" s="1">
        <v>5.0011615100000002</v>
      </c>
      <c r="H562" s="1">
        <v>798346.13650000002</v>
      </c>
    </row>
    <row r="563" spans="1:8" x14ac:dyDescent="0.25">
      <c r="A563">
        <v>1981</v>
      </c>
      <c r="B563">
        <v>2</v>
      </c>
      <c r="C563">
        <v>4</v>
      </c>
      <c r="D563">
        <v>23</v>
      </c>
      <c r="E563" s="1">
        <v>17.008116009999998</v>
      </c>
      <c r="F563">
        <v>0</v>
      </c>
      <c r="G563" s="1">
        <v>7.6813294340000002</v>
      </c>
      <c r="H563" s="1">
        <v>671448.04310000001</v>
      </c>
    </row>
    <row r="564" spans="1:8" x14ac:dyDescent="0.25">
      <c r="A564">
        <v>3724</v>
      </c>
      <c r="B564">
        <v>3</v>
      </c>
      <c r="C564">
        <v>3</v>
      </c>
      <c r="D564">
        <v>10</v>
      </c>
      <c r="E564" s="1">
        <v>27.42918293</v>
      </c>
      <c r="F564">
        <v>2</v>
      </c>
      <c r="G564" s="1">
        <v>3.0549812709999999</v>
      </c>
      <c r="H564" s="1">
        <v>812339.26269999996</v>
      </c>
    </row>
    <row r="565" spans="1:8" x14ac:dyDescent="0.25">
      <c r="A565">
        <v>4885</v>
      </c>
      <c r="B565">
        <v>3</v>
      </c>
      <c r="C565">
        <v>3</v>
      </c>
      <c r="D565">
        <v>16</v>
      </c>
      <c r="E565" s="1">
        <v>10.97502587</v>
      </c>
      <c r="F565">
        <v>2</v>
      </c>
      <c r="G565" s="1">
        <v>1.526121885</v>
      </c>
      <c r="H565" s="1">
        <v>839507.78659999999</v>
      </c>
    </row>
    <row r="566" spans="1:8" x14ac:dyDescent="0.25">
      <c r="A566">
        <v>655</v>
      </c>
      <c r="B566">
        <v>5</v>
      </c>
      <c r="C566">
        <v>3</v>
      </c>
      <c r="D566">
        <v>3</v>
      </c>
      <c r="E566" s="1">
        <v>11.25329908</v>
      </c>
      <c r="F566">
        <v>2</v>
      </c>
      <c r="G566" s="1">
        <v>3.6993645769999999</v>
      </c>
      <c r="H566" s="1">
        <v>481887.84470000002</v>
      </c>
    </row>
    <row r="567" spans="1:8" x14ac:dyDescent="0.25">
      <c r="A567">
        <v>2238</v>
      </c>
      <c r="B567">
        <v>5</v>
      </c>
      <c r="C567">
        <v>2</v>
      </c>
      <c r="D567">
        <v>24</v>
      </c>
      <c r="E567" s="1">
        <v>0.60836125900000004</v>
      </c>
      <c r="F567">
        <v>2</v>
      </c>
      <c r="G567" s="1">
        <v>5.2687779839999997</v>
      </c>
      <c r="H567" s="1">
        <v>803115.49549999996</v>
      </c>
    </row>
    <row r="568" spans="1:8" x14ac:dyDescent="0.25">
      <c r="A568">
        <v>2344</v>
      </c>
      <c r="B568">
        <v>1</v>
      </c>
      <c r="C568">
        <v>3</v>
      </c>
      <c r="D568">
        <v>29</v>
      </c>
      <c r="E568" s="1">
        <v>6.5113973569999999</v>
      </c>
      <c r="F568">
        <v>1</v>
      </c>
      <c r="G568" s="1">
        <v>2.5121804700000001</v>
      </c>
      <c r="H568" s="1">
        <v>490550.15409999999</v>
      </c>
    </row>
    <row r="569" spans="1:8" x14ac:dyDescent="0.25">
      <c r="A569">
        <v>409</v>
      </c>
      <c r="B569">
        <v>4</v>
      </c>
      <c r="C569">
        <v>2</v>
      </c>
      <c r="D569">
        <v>8</v>
      </c>
      <c r="E569" s="1">
        <v>30.701494069999999</v>
      </c>
      <c r="F569">
        <v>0</v>
      </c>
      <c r="G569" s="1">
        <v>4.1931756069999997</v>
      </c>
      <c r="H569" s="1">
        <v>441676.53100000002</v>
      </c>
    </row>
    <row r="570" spans="1:8" x14ac:dyDescent="0.25">
      <c r="A570">
        <v>3271</v>
      </c>
      <c r="B570">
        <v>1</v>
      </c>
      <c r="C570">
        <v>4</v>
      </c>
      <c r="D570">
        <v>20</v>
      </c>
      <c r="E570" s="1">
        <v>15.74025396</v>
      </c>
      <c r="F570">
        <v>2</v>
      </c>
      <c r="G570" s="1">
        <v>4.5998471649999999</v>
      </c>
      <c r="H570" s="1">
        <v>718690.21770000004</v>
      </c>
    </row>
    <row r="571" spans="1:8" x14ac:dyDescent="0.25">
      <c r="A571">
        <v>1197</v>
      </c>
      <c r="B571">
        <v>5</v>
      </c>
      <c r="C571">
        <v>3</v>
      </c>
      <c r="D571">
        <v>19</v>
      </c>
      <c r="E571" s="1">
        <v>34.45609022</v>
      </c>
      <c r="F571">
        <v>2</v>
      </c>
      <c r="G571" s="1">
        <v>1.516526593</v>
      </c>
      <c r="H571" s="1">
        <v>574335.02339999995</v>
      </c>
    </row>
    <row r="572" spans="1:8" x14ac:dyDescent="0.25">
      <c r="A572">
        <v>1415</v>
      </c>
      <c r="B572">
        <v>2</v>
      </c>
      <c r="C572">
        <v>3</v>
      </c>
      <c r="D572">
        <v>18</v>
      </c>
      <c r="E572" s="1">
        <v>14.15192474</v>
      </c>
      <c r="F572">
        <v>1</v>
      </c>
      <c r="G572" s="1">
        <v>6.2497652339999998</v>
      </c>
      <c r="H572" s="1">
        <v>661817.46699999995</v>
      </c>
    </row>
    <row r="573" spans="1:8" x14ac:dyDescent="0.25">
      <c r="A573">
        <v>2224</v>
      </c>
      <c r="B573">
        <v>5</v>
      </c>
      <c r="C573">
        <v>1</v>
      </c>
      <c r="D573">
        <v>18</v>
      </c>
      <c r="E573" s="1">
        <v>25.173932690000001</v>
      </c>
      <c r="F573">
        <v>2</v>
      </c>
      <c r="G573" s="1">
        <v>8.9590908519999992</v>
      </c>
      <c r="H573" s="1">
        <v>797146.96790000005</v>
      </c>
    </row>
    <row r="574" spans="1:8" x14ac:dyDescent="0.25">
      <c r="A574">
        <v>4869</v>
      </c>
      <c r="B574">
        <v>4</v>
      </c>
      <c r="C574">
        <v>2</v>
      </c>
      <c r="D574">
        <v>11</v>
      </c>
      <c r="E574" s="1">
        <v>10.226206980000001</v>
      </c>
      <c r="F574">
        <v>1</v>
      </c>
      <c r="G574" s="1">
        <v>2.3656862169999999</v>
      </c>
      <c r="H574" s="1">
        <v>982762.38780000003</v>
      </c>
    </row>
    <row r="575" spans="1:8" x14ac:dyDescent="0.25">
      <c r="A575">
        <v>3536</v>
      </c>
      <c r="B575">
        <v>5</v>
      </c>
      <c r="C575">
        <v>4</v>
      </c>
      <c r="D575">
        <v>36</v>
      </c>
      <c r="E575" s="1">
        <v>13.05143262</v>
      </c>
      <c r="F575">
        <v>0</v>
      </c>
      <c r="G575" s="1">
        <v>6.380272121</v>
      </c>
      <c r="H575" s="1">
        <v>977112.14540000004</v>
      </c>
    </row>
    <row r="576" spans="1:8" x14ac:dyDescent="0.25">
      <c r="A576">
        <v>2593</v>
      </c>
      <c r="B576">
        <v>4</v>
      </c>
      <c r="C576">
        <v>1</v>
      </c>
      <c r="D576">
        <v>16</v>
      </c>
      <c r="E576" s="1">
        <v>7.0800465719999996</v>
      </c>
      <c r="F576">
        <v>0</v>
      </c>
      <c r="G576" s="1">
        <v>6.9826528440000004</v>
      </c>
      <c r="H576" s="1">
        <v>802800.83470000001</v>
      </c>
    </row>
    <row r="577" spans="1:8" x14ac:dyDescent="0.25">
      <c r="A577">
        <v>623</v>
      </c>
      <c r="B577">
        <v>4</v>
      </c>
      <c r="C577">
        <v>1</v>
      </c>
      <c r="D577">
        <v>36</v>
      </c>
      <c r="E577" s="1">
        <v>12.47365171</v>
      </c>
      <c r="F577">
        <v>2</v>
      </c>
      <c r="G577" s="1">
        <v>4.7740121240000004</v>
      </c>
      <c r="H577" s="1">
        <v>320396.46580000001</v>
      </c>
    </row>
    <row r="578" spans="1:8" x14ac:dyDescent="0.25">
      <c r="A578">
        <v>4558</v>
      </c>
      <c r="B578">
        <v>4</v>
      </c>
      <c r="C578">
        <v>4</v>
      </c>
      <c r="D578">
        <v>38</v>
      </c>
      <c r="E578" s="1">
        <v>19.379694449999999</v>
      </c>
      <c r="F578">
        <v>2</v>
      </c>
      <c r="G578" s="1">
        <v>7.309878286</v>
      </c>
      <c r="H578" s="1">
        <v>1045766.301</v>
      </c>
    </row>
    <row r="579" spans="1:8" x14ac:dyDescent="0.25">
      <c r="A579">
        <v>4325</v>
      </c>
      <c r="B579">
        <v>4</v>
      </c>
      <c r="C579">
        <v>1</v>
      </c>
      <c r="D579">
        <v>27</v>
      </c>
      <c r="E579" s="1">
        <v>34.716164390000003</v>
      </c>
      <c r="F579">
        <v>2</v>
      </c>
      <c r="G579" s="1">
        <v>4.6965838910000004</v>
      </c>
      <c r="H579" s="1">
        <v>790147.92949999997</v>
      </c>
    </row>
    <row r="580" spans="1:8" x14ac:dyDescent="0.25">
      <c r="A580">
        <v>4400</v>
      </c>
      <c r="B580">
        <v>4</v>
      </c>
      <c r="C580">
        <v>2</v>
      </c>
      <c r="D580">
        <v>34</v>
      </c>
      <c r="E580" s="1">
        <v>23.414959100000001</v>
      </c>
      <c r="F580">
        <v>1</v>
      </c>
      <c r="G580" s="1">
        <v>5.5417355920000002</v>
      </c>
      <c r="H580" s="1">
        <v>947949.92579999997</v>
      </c>
    </row>
    <row r="581" spans="1:8" x14ac:dyDescent="0.25">
      <c r="A581">
        <v>2033</v>
      </c>
      <c r="B581">
        <v>3</v>
      </c>
      <c r="C581">
        <v>2</v>
      </c>
      <c r="D581">
        <v>17</v>
      </c>
      <c r="E581" s="1">
        <v>7.373985427</v>
      </c>
      <c r="F581">
        <v>2</v>
      </c>
      <c r="G581" s="1">
        <v>1.066177401</v>
      </c>
      <c r="H581" s="1">
        <v>455100.14289999998</v>
      </c>
    </row>
    <row r="582" spans="1:8" x14ac:dyDescent="0.25">
      <c r="A582">
        <v>2552</v>
      </c>
      <c r="B582">
        <v>1</v>
      </c>
      <c r="C582">
        <v>3</v>
      </c>
      <c r="D582">
        <v>13</v>
      </c>
      <c r="E582" s="1">
        <v>2.0511697350000002</v>
      </c>
      <c r="F582">
        <v>2</v>
      </c>
      <c r="G582" s="1">
        <v>7.2254810269999998</v>
      </c>
      <c r="H582" s="1">
        <v>602458.16890000005</v>
      </c>
    </row>
    <row r="583" spans="1:8" x14ac:dyDescent="0.25">
      <c r="A583">
        <v>910</v>
      </c>
      <c r="B583">
        <v>3</v>
      </c>
      <c r="C583">
        <v>3</v>
      </c>
      <c r="D583">
        <v>34</v>
      </c>
      <c r="E583" s="1">
        <v>4.8592986050000002</v>
      </c>
      <c r="F583">
        <v>0</v>
      </c>
      <c r="G583" s="1">
        <v>6.9520841109999996</v>
      </c>
      <c r="H583" s="1">
        <v>490892.67330000002</v>
      </c>
    </row>
    <row r="584" spans="1:8" x14ac:dyDescent="0.25">
      <c r="A584">
        <v>784</v>
      </c>
      <c r="B584">
        <v>1</v>
      </c>
      <c r="C584">
        <v>3</v>
      </c>
      <c r="D584">
        <v>6</v>
      </c>
      <c r="E584" s="1">
        <v>19.908154440000001</v>
      </c>
      <c r="F584">
        <v>2</v>
      </c>
      <c r="G584" s="1">
        <v>1.345607896</v>
      </c>
      <c r="H584" s="1">
        <v>302135.1594</v>
      </c>
    </row>
    <row r="585" spans="1:8" x14ac:dyDescent="0.25">
      <c r="A585">
        <v>804</v>
      </c>
      <c r="B585">
        <v>3</v>
      </c>
      <c r="C585">
        <v>1</v>
      </c>
      <c r="D585">
        <v>12</v>
      </c>
      <c r="E585" s="1">
        <v>26.898031339999999</v>
      </c>
      <c r="F585">
        <v>0</v>
      </c>
      <c r="G585" s="1">
        <v>4.3142509670000004</v>
      </c>
      <c r="H585" s="1">
        <v>425369.04350000003</v>
      </c>
    </row>
    <row r="586" spans="1:8" x14ac:dyDescent="0.25">
      <c r="A586">
        <v>4971</v>
      </c>
      <c r="B586">
        <v>2</v>
      </c>
      <c r="C586">
        <v>2</v>
      </c>
      <c r="D586">
        <v>17</v>
      </c>
      <c r="E586" s="1">
        <v>32.944462649999998</v>
      </c>
      <c r="F586">
        <v>2</v>
      </c>
      <c r="G586" s="1">
        <v>9.8112865669999998</v>
      </c>
      <c r="H586" s="1">
        <v>1102007.9509999999</v>
      </c>
    </row>
    <row r="587" spans="1:8" x14ac:dyDescent="0.25">
      <c r="A587">
        <v>2400</v>
      </c>
      <c r="B587">
        <v>5</v>
      </c>
      <c r="C587">
        <v>2</v>
      </c>
      <c r="D587">
        <v>36</v>
      </c>
      <c r="E587" s="1">
        <v>1.0458994340000001</v>
      </c>
      <c r="F587">
        <v>0</v>
      </c>
      <c r="G587" s="1">
        <v>4.7866290630000004</v>
      </c>
      <c r="H587" s="1">
        <v>733454.58680000005</v>
      </c>
    </row>
    <row r="588" spans="1:8" x14ac:dyDescent="0.25">
      <c r="A588">
        <v>3156</v>
      </c>
      <c r="B588">
        <v>2</v>
      </c>
      <c r="C588">
        <v>2</v>
      </c>
      <c r="D588">
        <v>12</v>
      </c>
      <c r="E588" s="1">
        <v>18.535224880000001</v>
      </c>
      <c r="F588">
        <v>2</v>
      </c>
      <c r="G588" s="1">
        <v>5.5175086459999996</v>
      </c>
      <c r="H588" s="1">
        <v>724700.52009999997</v>
      </c>
    </row>
    <row r="589" spans="1:8" x14ac:dyDescent="0.25">
      <c r="A589">
        <v>2068</v>
      </c>
      <c r="B589">
        <v>4</v>
      </c>
      <c r="C589">
        <v>1</v>
      </c>
      <c r="D589">
        <v>35</v>
      </c>
      <c r="E589" s="1">
        <v>16.744923790000001</v>
      </c>
      <c r="F589">
        <v>0</v>
      </c>
      <c r="G589" s="1">
        <v>9.1893714230000008</v>
      </c>
      <c r="H589" s="1">
        <v>737051.72230000002</v>
      </c>
    </row>
    <row r="590" spans="1:8" x14ac:dyDescent="0.25">
      <c r="A590">
        <v>1860</v>
      </c>
      <c r="B590">
        <v>2</v>
      </c>
      <c r="C590">
        <v>2</v>
      </c>
      <c r="D590">
        <v>30</v>
      </c>
      <c r="E590" s="1">
        <v>23.133898259999999</v>
      </c>
      <c r="F590">
        <v>1</v>
      </c>
      <c r="G590" s="1">
        <v>7.4553568830000003</v>
      </c>
      <c r="H590" s="1">
        <v>525884.38769999996</v>
      </c>
    </row>
    <row r="591" spans="1:8" x14ac:dyDescent="0.25">
      <c r="A591">
        <v>4036</v>
      </c>
      <c r="B591">
        <v>3</v>
      </c>
      <c r="C591">
        <v>3</v>
      </c>
      <c r="D591">
        <v>1</v>
      </c>
      <c r="E591" s="1">
        <v>19.80547048</v>
      </c>
      <c r="F591">
        <v>0</v>
      </c>
      <c r="G591" s="1">
        <v>6.2386311799999996</v>
      </c>
      <c r="H591" s="1">
        <v>776080.53410000005</v>
      </c>
    </row>
    <row r="592" spans="1:8" x14ac:dyDescent="0.25">
      <c r="A592">
        <v>3124</v>
      </c>
      <c r="B592">
        <v>4</v>
      </c>
      <c r="C592">
        <v>3</v>
      </c>
      <c r="D592">
        <v>15</v>
      </c>
      <c r="E592" s="1">
        <v>24.202850699999999</v>
      </c>
      <c r="F592">
        <v>0</v>
      </c>
      <c r="G592" s="1">
        <v>8.1802421320000001</v>
      </c>
      <c r="H592" s="1">
        <v>961253.03500000003</v>
      </c>
    </row>
    <row r="593" spans="1:8" x14ac:dyDescent="0.25">
      <c r="A593">
        <v>2773</v>
      </c>
      <c r="B593">
        <v>2</v>
      </c>
      <c r="C593">
        <v>1</v>
      </c>
      <c r="D593">
        <v>8</v>
      </c>
      <c r="E593" s="1">
        <v>23.203849170000002</v>
      </c>
      <c r="F593">
        <v>0</v>
      </c>
      <c r="G593" s="1">
        <v>8.7792963979999996</v>
      </c>
      <c r="H593" s="1">
        <v>980698.99490000005</v>
      </c>
    </row>
    <row r="594" spans="1:8" x14ac:dyDescent="0.25">
      <c r="A594">
        <v>2448</v>
      </c>
      <c r="B594">
        <v>3</v>
      </c>
      <c r="C594">
        <v>3</v>
      </c>
      <c r="D594">
        <v>8</v>
      </c>
      <c r="E594" s="1">
        <v>4.5369045080000001</v>
      </c>
      <c r="F594">
        <v>2</v>
      </c>
      <c r="G594" s="1">
        <v>5.111992646</v>
      </c>
      <c r="H594" s="1">
        <v>708508.73679999996</v>
      </c>
    </row>
    <row r="595" spans="1:8" x14ac:dyDescent="0.25">
      <c r="A595">
        <v>4546</v>
      </c>
      <c r="B595">
        <v>3</v>
      </c>
      <c r="C595">
        <v>1</v>
      </c>
      <c r="D595">
        <v>37</v>
      </c>
      <c r="E595" s="1">
        <v>28.09026802</v>
      </c>
      <c r="F595">
        <v>2</v>
      </c>
      <c r="G595" s="1">
        <v>5.2759752840000003</v>
      </c>
      <c r="H595" s="1">
        <v>799229.10719999997</v>
      </c>
    </row>
    <row r="596" spans="1:8" x14ac:dyDescent="0.25">
      <c r="A596">
        <v>1116</v>
      </c>
      <c r="B596">
        <v>3</v>
      </c>
      <c r="C596">
        <v>3</v>
      </c>
      <c r="D596">
        <v>10</v>
      </c>
      <c r="E596" s="1">
        <v>4.751523862</v>
      </c>
      <c r="F596">
        <v>2</v>
      </c>
      <c r="G596" s="1">
        <v>4.4744584209999996</v>
      </c>
      <c r="H596" s="1">
        <v>460511.60879999999</v>
      </c>
    </row>
    <row r="597" spans="1:8" x14ac:dyDescent="0.25">
      <c r="A597">
        <v>4944</v>
      </c>
      <c r="B597">
        <v>5</v>
      </c>
      <c r="C597">
        <v>2</v>
      </c>
      <c r="D597">
        <v>21</v>
      </c>
      <c r="E597" s="1">
        <v>24.59930657</v>
      </c>
      <c r="F597">
        <v>1</v>
      </c>
      <c r="G597" s="1">
        <v>9.7003552600000003</v>
      </c>
      <c r="H597" s="1">
        <v>1264740.8400000001</v>
      </c>
    </row>
    <row r="598" spans="1:8" x14ac:dyDescent="0.25">
      <c r="A598">
        <v>4983</v>
      </c>
      <c r="B598">
        <v>4</v>
      </c>
      <c r="C598">
        <v>3</v>
      </c>
      <c r="D598">
        <v>32</v>
      </c>
      <c r="E598" s="1">
        <v>14.857015179999999</v>
      </c>
      <c r="F598">
        <v>1</v>
      </c>
      <c r="G598" s="1">
        <v>7.274496289</v>
      </c>
      <c r="H598" s="1">
        <v>1075892.125</v>
      </c>
    </row>
    <row r="599" spans="1:8" x14ac:dyDescent="0.25">
      <c r="A599">
        <v>2223</v>
      </c>
      <c r="B599">
        <v>3</v>
      </c>
      <c r="C599">
        <v>2</v>
      </c>
      <c r="D599">
        <v>35</v>
      </c>
      <c r="E599" s="1">
        <v>18.22785034</v>
      </c>
      <c r="F599">
        <v>0</v>
      </c>
      <c r="G599" s="1">
        <v>1.749007596</v>
      </c>
      <c r="H599" s="1">
        <v>382325.29269999999</v>
      </c>
    </row>
    <row r="600" spans="1:8" x14ac:dyDescent="0.25">
      <c r="A600">
        <v>2481</v>
      </c>
      <c r="B600">
        <v>5</v>
      </c>
      <c r="C600">
        <v>2</v>
      </c>
      <c r="D600">
        <v>22</v>
      </c>
      <c r="E600" s="1">
        <v>31.663781499999999</v>
      </c>
      <c r="F600">
        <v>1</v>
      </c>
      <c r="G600" s="1">
        <v>8.7666366100000008</v>
      </c>
      <c r="H600" s="1">
        <v>904072.38089999999</v>
      </c>
    </row>
    <row r="601" spans="1:8" x14ac:dyDescent="0.25">
      <c r="A601">
        <v>3819</v>
      </c>
      <c r="B601">
        <v>2</v>
      </c>
      <c r="C601">
        <v>3</v>
      </c>
      <c r="D601">
        <v>33</v>
      </c>
      <c r="E601" s="1">
        <v>31.200988559999999</v>
      </c>
      <c r="F601">
        <v>0</v>
      </c>
      <c r="G601" s="1">
        <v>5.3250394679999999</v>
      </c>
      <c r="H601" s="1">
        <v>738236.26269999996</v>
      </c>
    </row>
    <row r="602" spans="1:8" x14ac:dyDescent="0.25">
      <c r="A602">
        <v>1974</v>
      </c>
      <c r="B602">
        <v>5</v>
      </c>
      <c r="C602">
        <v>1</v>
      </c>
      <c r="D602">
        <v>8</v>
      </c>
      <c r="E602" s="1">
        <v>28.716042550000001</v>
      </c>
      <c r="F602">
        <v>0</v>
      </c>
      <c r="G602" s="1">
        <v>1.6187851579999999</v>
      </c>
      <c r="H602" s="1">
        <v>524127.13579999999</v>
      </c>
    </row>
    <row r="603" spans="1:8" x14ac:dyDescent="0.25">
      <c r="A603">
        <v>649</v>
      </c>
      <c r="B603">
        <v>1</v>
      </c>
      <c r="C603">
        <v>1</v>
      </c>
      <c r="D603">
        <v>23</v>
      </c>
      <c r="E603" s="1">
        <v>18.10011913</v>
      </c>
      <c r="F603">
        <v>0</v>
      </c>
      <c r="G603" s="1">
        <v>5.9474552960000002</v>
      </c>
      <c r="H603" s="1">
        <v>403006.9485</v>
      </c>
    </row>
    <row r="604" spans="1:8" x14ac:dyDescent="0.25">
      <c r="A604">
        <v>1073</v>
      </c>
      <c r="B604">
        <v>3</v>
      </c>
      <c r="C604">
        <v>4</v>
      </c>
      <c r="D604">
        <v>7</v>
      </c>
      <c r="E604" s="1">
        <v>18</v>
      </c>
      <c r="F604">
        <v>1</v>
      </c>
      <c r="G604" s="1">
        <v>4.7544785110000003</v>
      </c>
      <c r="H604" s="1">
        <v>535060.70239999995</v>
      </c>
    </row>
    <row r="605" spans="1:8" x14ac:dyDescent="0.25">
      <c r="A605">
        <v>4933</v>
      </c>
      <c r="B605">
        <v>2</v>
      </c>
      <c r="C605">
        <v>1</v>
      </c>
      <c r="D605">
        <v>6</v>
      </c>
      <c r="E605" s="1">
        <v>18.194948419999999</v>
      </c>
      <c r="F605">
        <v>2</v>
      </c>
      <c r="G605" s="1">
        <v>8.8997446440000001</v>
      </c>
      <c r="H605" s="1">
        <v>1053116.547</v>
      </c>
    </row>
    <row r="606" spans="1:8" x14ac:dyDescent="0.25">
      <c r="A606">
        <v>2565</v>
      </c>
      <c r="B606">
        <v>4</v>
      </c>
      <c r="C606">
        <v>4</v>
      </c>
      <c r="D606">
        <v>35</v>
      </c>
      <c r="E606" s="1">
        <v>30.501409850000002</v>
      </c>
      <c r="F606">
        <v>1</v>
      </c>
      <c r="G606" s="1">
        <v>2.8359514319999999</v>
      </c>
      <c r="H606" s="1">
        <v>566539.76800000004</v>
      </c>
    </row>
    <row r="607" spans="1:8" x14ac:dyDescent="0.25">
      <c r="A607">
        <v>1170</v>
      </c>
      <c r="B607">
        <v>3</v>
      </c>
      <c r="C607">
        <v>1</v>
      </c>
      <c r="D607">
        <v>17</v>
      </c>
      <c r="E607" s="1">
        <v>14.395766249999999</v>
      </c>
      <c r="F607">
        <v>0</v>
      </c>
      <c r="G607" s="1">
        <v>8.4381814849999994</v>
      </c>
      <c r="H607" s="1">
        <v>541350.13740000001</v>
      </c>
    </row>
    <row r="608" spans="1:8" x14ac:dyDescent="0.25">
      <c r="A608">
        <v>4362</v>
      </c>
      <c r="B608">
        <v>4</v>
      </c>
      <c r="C608">
        <v>1</v>
      </c>
      <c r="D608">
        <v>2</v>
      </c>
      <c r="E608" s="1">
        <v>33.97311938</v>
      </c>
      <c r="F608">
        <v>0</v>
      </c>
      <c r="G608" s="1">
        <v>5</v>
      </c>
      <c r="H608" s="1">
        <v>969724.55200000003</v>
      </c>
    </row>
    <row r="609" spans="1:8" x14ac:dyDescent="0.25">
      <c r="A609">
        <v>4763</v>
      </c>
      <c r="B609">
        <v>2</v>
      </c>
      <c r="C609">
        <v>2</v>
      </c>
      <c r="D609">
        <v>27</v>
      </c>
      <c r="E609" s="1">
        <v>32.665135159999998</v>
      </c>
      <c r="F609">
        <v>1</v>
      </c>
      <c r="G609" s="1">
        <v>1.491492729</v>
      </c>
      <c r="H609" s="1">
        <v>610453.31969999999</v>
      </c>
    </row>
    <row r="610" spans="1:8" x14ac:dyDescent="0.25">
      <c r="A610">
        <v>2384</v>
      </c>
      <c r="B610">
        <v>5</v>
      </c>
      <c r="C610">
        <v>4</v>
      </c>
      <c r="D610">
        <v>5</v>
      </c>
      <c r="E610" s="1">
        <v>26.085290369999999</v>
      </c>
      <c r="F610">
        <v>0</v>
      </c>
      <c r="G610" s="1">
        <v>9.7466077119999994</v>
      </c>
      <c r="H610" s="1">
        <v>1006858.628</v>
      </c>
    </row>
    <row r="611" spans="1:8" x14ac:dyDescent="0.25">
      <c r="A611">
        <v>1477</v>
      </c>
      <c r="B611">
        <v>5</v>
      </c>
      <c r="C611">
        <v>1</v>
      </c>
      <c r="D611">
        <v>20</v>
      </c>
      <c r="E611" s="1">
        <v>10.139848000000001</v>
      </c>
      <c r="F611">
        <v>0</v>
      </c>
      <c r="G611" s="1">
        <v>5.6135371970000003</v>
      </c>
      <c r="H611" s="1">
        <v>631611.26950000005</v>
      </c>
    </row>
    <row r="612" spans="1:8" x14ac:dyDescent="0.25">
      <c r="A612">
        <v>635</v>
      </c>
      <c r="B612">
        <v>5</v>
      </c>
      <c r="C612">
        <v>4</v>
      </c>
      <c r="D612">
        <v>27</v>
      </c>
      <c r="E612" s="1">
        <v>5.0420488130000001</v>
      </c>
      <c r="F612">
        <v>1</v>
      </c>
      <c r="G612" s="1">
        <v>3.6178916879999998</v>
      </c>
      <c r="H612" s="1">
        <v>531416.96710000001</v>
      </c>
    </row>
    <row r="613" spans="1:8" x14ac:dyDescent="0.25">
      <c r="A613">
        <v>788</v>
      </c>
      <c r="B613">
        <v>1</v>
      </c>
      <c r="C613">
        <v>2</v>
      </c>
      <c r="D613">
        <v>39</v>
      </c>
      <c r="E613" s="1">
        <v>29.98726903</v>
      </c>
      <c r="F613">
        <v>1</v>
      </c>
      <c r="G613" s="1">
        <v>5.2246615780000001</v>
      </c>
      <c r="H613" s="1">
        <v>342423.50449999998</v>
      </c>
    </row>
    <row r="614" spans="1:8" x14ac:dyDescent="0.25">
      <c r="A614">
        <v>3437</v>
      </c>
      <c r="B614">
        <v>4</v>
      </c>
      <c r="C614">
        <v>3</v>
      </c>
      <c r="D614">
        <v>0</v>
      </c>
      <c r="E614" s="1">
        <v>6.2029288720000002</v>
      </c>
      <c r="F614">
        <v>1</v>
      </c>
      <c r="G614" s="1">
        <v>8.7207200520000008</v>
      </c>
      <c r="H614" s="1">
        <v>1028686.335</v>
      </c>
    </row>
    <row r="615" spans="1:8" x14ac:dyDescent="0.25">
      <c r="A615">
        <v>2248</v>
      </c>
      <c r="B615">
        <v>5</v>
      </c>
      <c r="C615">
        <v>4</v>
      </c>
      <c r="D615">
        <v>35</v>
      </c>
      <c r="E615" s="1">
        <v>29.971997219999999</v>
      </c>
      <c r="F615">
        <v>0</v>
      </c>
      <c r="G615" s="1">
        <v>3.744128119</v>
      </c>
      <c r="H615" s="1">
        <v>748470.72389999998</v>
      </c>
    </row>
    <row r="616" spans="1:8" x14ac:dyDescent="0.25">
      <c r="A616">
        <v>2773</v>
      </c>
      <c r="B616">
        <v>1</v>
      </c>
      <c r="C616">
        <v>3</v>
      </c>
      <c r="D616">
        <v>20</v>
      </c>
      <c r="E616" s="1">
        <v>17.431392729999999</v>
      </c>
      <c r="F616">
        <v>0</v>
      </c>
      <c r="G616" s="1">
        <v>2.7340875680000001</v>
      </c>
      <c r="H616" s="1">
        <v>489216.93790000002</v>
      </c>
    </row>
    <row r="617" spans="1:8" x14ac:dyDescent="0.25">
      <c r="A617">
        <v>3774</v>
      </c>
      <c r="B617">
        <v>4</v>
      </c>
      <c r="C617">
        <v>3</v>
      </c>
      <c r="D617">
        <v>34</v>
      </c>
      <c r="E617" s="1">
        <v>14.526209039999999</v>
      </c>
      <c r="F617">
        <v>2</v>
      </c>
      <c r="G617" s="1">
        <v>2.1616412220000001</v>
      </c>
      <c r="H617" s="1">
        <v>746352.56370000006</v>
      </c>
    </row>
    <row r="618" spans="1:8" x14ac:dyDescent="0.25">
      <c r="A618">
        <v>3678</v>
      </c>
      <c r="B618">
        <v>2</v>
      </c>
      <c r="C618">
        <v>3</v>
      </c>
      <c r="D618">
        <v>12</v>
      </c>
      <c r="E618" s="1">
        <v>31.660081869999999</v>
      </c>
      <c r="F618">
        <v>2</v>
      </c>
      <c r="G618" s="1">
        <v>3.6807345859999998</v>
      </c>
      <c r="H618" s="1">
        <v>711322.59990000003</v>
      </c>
    </row>
    <row r="619" spans="1:8" x14ac:dyDescent="0.25">
      <c r="A619">
        <v>2773</v>
      </c>
      <c r="B619">
        <v>1</v>
      </c>
      <c r="C619">
        <v>2</v>
      </c>
      <c r="D619">
        <v>9</v>
      </c>
      <c r="E619" s="1">
        <v>21.332858900000002</v>
      </c>
      <c r="F619">
        <v>1</v>
      </c>
      <c r="G619" s="1">
        <v>8.0204327830000004</v>
      </c>
      <c r="H619" s="1">
        <v>525595.29830000002</v>
      </c>
    </row>
    <row r="620" spans="1:8" x14ac:dyDescent="0.25">
      <c r="A620">
        <v>4381</v>
      </c>
      <c r="B620">
        <v>3</v>
      </c>
      <c r="C620">
        <v>3</v>
      </c>
      <c r="D620">
        <v>9</v>
      </c>
      <c r="E620" s="1">
        <v>20.39318325</v>
      </c>
      <c r="F620">
        <v>2</v>
      </c>
      <c r="G620" s="1">
        <v>5.2446372869999998</v>
      </c>
      <c r="H620" s="1">
        <v>974730.46669999999</v>
      </c>
    </row>
    <row r="621" spans="1:8" x14ac:dyDescent="0.25">
      <c r="A621">
        <v>2522</v>
      </c>
      <c r="B621">
        <v>1</v>
      </c>
      <c r="C621">
        <v>1</v>
      </c>
      <c r="D621">
        <v>12</v>
      </c>
      <c r="E621" s="1">
        <v>19.777425090000001</v>
      </c>
      <c r="F621">
        <v>1</v>
      </c>
      <c r="G621" s="1">
        <v>3.0473344330000001</v>
      </c>
      <c r="H621" s="1">
        <v>567100.90500000003</v>
      </c>
    </row>
    <row r="622" spans="1:8" x14ac:dyDescent="0.25">
      <c r="A622">
        <v>4930</v>
      </c>
      <c r="B622">
        <v>1</v>
      </c>
      <c r="C622">
        <v>4</v>
      </c>
      <c r="D622">
        <v>36</v>
      </c>
      <c r="E622" s="1">
        <v>13.3053483</v>
      </c>
      <c r="F622">
        <v>2</v>
      </c>
      <c r="G622" s="1">
        <v>2.4956649959999999</v>
      </c>
      <c r="H622" s="1">
        <v>768618.27370000002</v>
      </c>
    </row>
    <row r="623" spans="1:8" x14ac:dyDescent="0.25">
      <c r="A623">
        <v>2550</v>
      </c>
      <c r="B623">
        <v>4</v>
      </c>
      <c r="C623">
        <v>3</v>
      </c>
      <c r="D623">
        <v>37</v>
      </c>
      <c r="E623" s="1">
        <v>27.604687070000001</v>
      </c>
      <c r="F623">
        <v>0</v>
      </c>
      <c r="G623" s="1">
        <v>3.9945652890000001</v>
      </c>
      <c r="H623" s="1">
        <v>605626.63529999997</v>
      </c>
    </row>
    <row r="624" spans="1:8" x14ac:dyDescent="0.25">
      <c r="A624">
        <v>1729</v>
      </c>
      <c r="B624">
        <v>2</v>
      </c>
      <c r="C624">
        <v>4</v>
      </c>
      <c r="D624">
        <v>23</v>
      </c>
      <c r="E624" s="1">
        <v>9.2215463189999998</v>
      </c>
      <c r="F624">
        <v>1</v>
      </c>
      <c r="G624" s="1">
        <v>9.459319356</v>
      </c>
      <c r="H624" s="1">
        <v>750246.37860000005</v>
      </c>
    </row>
    <row r="625" spans="1:8" x14ac:dyDescent="0.25">
      <c r="A625">
        <v>1758</v>
      </c>
      <c r="B625">
        <v>3</v>
      </c>
      <c r="C625">
        <v>2</v>
      </c>
      <c r="D625">
        <v>1</v>
      </c>
      <c r="E625" s="1">
        <v>32.891876119999999</v>
      </c>
      <c r="F625">
        <v>1</v>
      </c>
      <c r="G625" s="1">
        <v>4.087240413</v>
      </c>
      <c r="H625" s="1">
        <v>497432.56890000001</v>
      </c>
    </row>
    <row r="626" spans="1:8" x14ac:dyDescent="0.25">
      <c r="A626">
        <v>2882</v>
      </c>
      <c r="B626">
        <v>5</v>
      </c>
      <c r="C626">
        <v>1</v>
      </c>
      <c r="D626">
        <v>21</v>
      </c>
      <c r="E626" s="1">
        <v>31.342489570000001</v>
      </c>
      <c r="F626">
        <v>0</v>
      </c>
      <c r="G626" s="1">
        <v>9.8931166840000007</v>
      </c>
      <c r="H626" s="1">
        <v>841512.91910000006</v>
      </c>
    </row>
    <row r="627" spans="1:8" x14ac:dyDescent="0.25">
      <c r="A627">
        <v>4942</v>
      </c>
      <c r="B627">
        <v>5</v>
      </c>
      <c r="C627">
        <v>2</v>
      </c>
      <c r="D627">
        <v>16</v>
      </c>
      <c r="E627" s="1">
        <v>12.143071239999999</v>
      </c>
      <c r="F627">
        <v>2</v>
      </c>
      <c r="G627" s="1">
        <v>5.3670741020000001</v>
      </c>
      <c r="H627" s="1">
        <v>1032219.683</v>
      </c>
    </row>
    <row r="628" spans="1:8" x14ac:dyDescent="0.25">
      <c r="A628">
        <v>2417</v>
      </c>
      <c r="B628">
        <v>1</v>
      </c>
      <c r="C628">
        <v>2</v>
      </c>
      <c r="D628">
        <v>35</v>
      </c>
      <c r="E628" s="1">
        <v>18</v>
      </c>
      <c r="F628">
        <v>1</v>
      </c>
      <c r="G628" s="1">
        <v>2.612475265</v>
      </c>
      <c r="H628" s="1">
        <v>326441.34139999998</v>
      </c>
    </row>
    <row r="629" spans="1:8" x14ac:dyDescent="0.25">
      <c r="A629">
        <v>1731</v>
      </c>
      <c r="B629">
        <v>4</v>
      </c>
      <c r="C629">
        <v>4</v>
      </c>
      <c r="D629">
        <v>13</v>
      </c>
      <c r="E629" s="1">
        <v>20.276200209999999</v>
      </c>
      <c r="F629">
        <v>1</v>
      </c>
      <c r="G629" s="1">
        <v>9.0202608259999995</v>
      </c>
      <c r="H629" s="1">
        <v>917321.23659999995</v>
      </c>
    </row>
    <row r="630" spans="1:8" x14ac:dyDescent="0.25">
      <c r="A630">
        <v>4744</v>
      </c>
      <c r="B630">
        <v>4</v>
      </c>
      <c r="C630">
        <v>4</v>
      </c>
      <c r="D630">
        <v>9</v>
      </c>
      <c r="E630" s="1">
        <v>12.148900920000001</v>
      </c>
      <c r="F630">
        <v>2</v>
      </c>
      <c r="G630" s="1">
        <v>5.1431983580000002</v>
      </c>
      <c r="H630" s="1">
        <v>1053029.098</v>
      </c>
    </row>
    <row r="631" spans="1:8" x14ac:dyDescent="0.25">
      <c r="A631">
        <v>4661</v>
      </c>
      <c r="B631">
        <v>5</v>
      </c>
      <c r="C631">
        <v>4</v>
      </c>
      <c r="D631">
        <v>34</v>
      </c>
      <c r="E631" s="1">
        <v>34.603996860000002</v>
      </c>
      <c r="F631">
        <v>2</v>
      </c>
      <c r="G631" s="1">
        <v>7.3870420919999997</v>
      </c>
      <c r="H631" s="1">
        <v>1087599.7220000001</v>
      </c>
    </row>
    <row r="632" spans="1:8" x14ac:dyDescent="0.25">
      <c r="A632">
        <v>1758</v>
      </c>
      <c r="B632">
        <v>3</v>
      </c>
      <c r="C632">
        <v>1</v>
      </c>
      <c r="D632">
        <v>24</v>
      </c>
      <c r="E632" s="1">
        <v>1.3706884319999999</v>
      </c>
      <c r="F632">
        <v>0</v>
      </c>
      <c r="G632" s="1">
        <v>9.8534042490000004</v>
      </c>
      <c r="H632" s="1">
        <v>779497.82849999995</v>
      </c>
    </row>
    <row r="633" spans="1:8" x14ac:dyDescent="0.25">
      <c r="A633">
        <v>3577</v>
      </c>
      <c r="B633">
        <v>2</v>
      </c>
      <c r="C633">
        <v>3</v>
      </c>
      <c r="D633">
        <v>2</v>
      </c>
      <c r="E633" s="1">
        <v>9.2162880559999998</v>
      </c>
      <c r="F633">
        <v>2</v>
      </c>
      <c r="G633" s="1">
        <v>1.451578153</v>
      </c>
      <c r="H633" s="1">
        <v>603391.13890000002</v>
      </c>
    </row>
    <row r="634" spans="1:8" x14ac:dyDescent="0.25">
      <c r="A634">
        <v>2528</v>
      </c>
      <c r="B634">
        <v>3</v>
      </c>
      <c r="C634">
        <v>4</v>
      </c>
      <c r="D634">
        <v>37</v>
      </c>
      <c r="E634" s="1">
        <v>18.442555110000001</v>
      </c>
      <c r="F634">
        <v>2</v>
      </c>
      <c r="G634" s="1">
        <v>1.8702510379999999</v>
      </c>
      <c r="H634" s="1">
        <v>508163.00699999998</v>
      </c>
    </row>
    <row r="635" spans="1:8" x14ac:dyDescent="0.25">
      <c r="A635">
        <v>2773</v>
      </c>
      <c r="B635">
        <v>2</v>
      </c>
      <c r="C635">
        <v>4</v>
      </c>
      <c r="D635">
        <v>16</v>
      </c>
      <c r="E635" s="1">
        <v>18.507378620000001</v>
      </c>
      <c r="F635">
        <v>2</v>
      </c>
      <c r="G635" s="1">
        <v>7.484110673</v>
      </c>
      <c r="H635" s="1">
        <v>772606.97250000003</v>
      </c>
    </row>
    <row r="636" spans="1:8" x14ac:dyDescent="0.25">
      <c r="A636">
        <v>537</v>
      </c>
      <c r="B636">
        <v>5</v>
      </c>
      <c r="C636">
        <v>1</v>
      </c>
      <c r="D636">
        <v>11</v>
      </c>
      <c r="E636" s="1">
        <v>20.818191089999999</v>
      </c>
      <c r="F636">
        <v>0</v>
      </c>
      <c r="G636" s="1">
        <v>3.5364250300000002</v>
      </c>
      <c r="H636" s="1">
        <v>484108.16409999999</v>
      </c>
    </row>
    <row r="637" spans="1:8" x14ac:dyDescent="0.25">
      <c r="A637">
        <v>3872</v>
      </c>
      <c r="B637">
        <v>3</v>
      </c>
      <c r="C637">
        <v>3</v>
      </c>
      <c r="D637">
        <v>23</v>
      </c>
      <c r="E637" s="1">
        <v>26.432827929999998</v>
      </c>
      <c r="F637">
        <v>0</v>
      </c>
      <c r="G637" s="1">
        <v>2.6587125729999999</v>
      </c>
      <c r="H637" s="1">
        <v>730423.51329999999</v>
      </c>
    </row>
    <row r="638" spans="1:8" x14ac:dyDescent="0.25">
      <c r="A638">
        <v>3232</v>
      </c>
      <c r="B638">
        <v>4</v>
      </c>
      <c r="C638">
        <v>1</v>
      </c>
      <c r="D638">
        <v>28</v>
      </c>
      <c r="E638" s="1">
        <v>22.009985149999999</v>
      </c>
      <c r="F638">
        <v>1</v>
      </c>
      <c r="G638" s="1">
        <v>1.3542569179999999</v>
      </c>
      <c r="H638" s="1">
        <v>595411.55610000005</v>
      </c>
    </row>
    <row r="639" spans="1:8" x14ac:dyDescent="0.25">
      <c r="A639">
        <v>3979</v>
      </c>
      <c r="B639">
        <v>1</v>
      </c>
      <c r="C639">
        <v>2</v>
      </c>
      <c r="D639">
        <v>24</v>
      </c>
      <c r="E639" s="1">
        <v>18</v>
      </c>
      <c r="F639">
        <v>0</v>
      </c>
      <c r="G639" s="1">
        <v>1.196620408</v>
      </c>
      <c r="H639" s="1">
        <v>559436.13749999995</v>
      </c>
    </row>
    <row r="640" spans="1:8" x14ac:dyDescent="0.25">
      <c r="A640">
        <v>3431</v>
      </c>
      <c r="B640">
        <v>1</v>
      </c>
      <c r="C640">
        <v>4</v>
      </c>
      <c r="D640">
        <v>35</v>
      </c>
      <c r="E640" s="1">
        <v>2.34624897</v>
      </c>
      <c r="F640">
        <v>1</v>
      </c>
      <c r="G640" s="1">
        <v>7.9703704279999998</v>
      </c>
      <c r="H640" s="1">
        <v>847027.23640000005</v>
      </c>
    </row>
    <row r="641" spans="1:8" x14ac:dyDescent="0.25">
      <c r="A641">
        <v>4564</v>
      </c>
      <c r="B641">
        <v>5</v>
      </c>
      <c r="C641">
        <v>4</v>
      </c>
      <c r="D641">
        <v>25</v>
      </c>
      <c r="E641" s="1">
        <v>13.490294929999999</v>
      </c>
      <c r="F641">
        <v>2</v>
      </c>
      <c r="G641" s="1">
        <v>2.209900846</v>
      </c>
      <c r="H641" s="1">
        <v>945923.23670000001</v>
      </c>
    </row>
    <row r="642" spans="1:8" x14ac:dyDescent="0.25">
      <c r="A642">
        <v>2993</v>
      </c>
      <c r="B642">
        <v>4</v>
      </c>
      <c r="C642">
        <v>2</v>
      </c>
      <c r="D642">
        <v>37</v>
      </c>
      <c r="E642" s="1">
        <v>8.5059230199999991</v>
      </c>
      <c r="F642">
        <v>1</v>
      </c>
      <c r="G642" s="1">
        <v>5.2094855439999996</v>
      </c>
      <c r="H642" s="1">
        <v>689281.92350000003</v>
      </c>
    </row>
    <row r="643" spans="1:8" x14ac:dyDescent="0.25">
      <c r="A643">
        <v>4700</v>
      </c>
      <c r="B643">
        <v>3</v>
      </c>
      <c r="C643">
        <v>2</v>
      </c>
      <c r="D643">
        <v>0</v>
      </c>
      <c r="E643" s="1">
        <v>9.6552688500000006</v>
      </c>
      <c r="F643">
        <v>1</v>
      </c>
      <c r="G643" s="1">
        <v>6.4530713369999999</v>
      </c>
      <c r="H643" s="1">
        <v>1019943.911</v>
      </c>
    </row>
    <row r="644" spans="1:8" x14ac:dyDescent="0.25">
      <c r="A644">
        <v>4218</v>
      </c>
      <c r="B644">
        <v>4</v>
      </c>
      <c r="C644">
        <v>2</v>
      </c>
      <c r="D644">
        <v>19</v>
      </c>
      <c r="E644" s="1">
        <v>19.624642860000002</v>
      </c>
      <c r="F644">
        <v>1</v>
      </c>
      <c r="G644" s="1">
        <v>4.8551662049999997</v>
      </c>
      <c r="H644" s="1">
        <v>839245.25100000005</v>
      </c>
    </row>
    <row r="645" spans="1:8" x14ac:dyDescent="0.25">
      <c r="A645">
        <v>4538</v>
      </c>
      <c r="B645">
        <v>1</v>
      </c>
      <c r="C645">
        <v>3</v>
      </c>
      <c r="D645">
        <v>27</v>
      </c>
      <c r="E645" s="1">
        <v>7.3829333650000004</v>
      </c>
      <c r="F645">
        <v>1</v>
      </c>
      <c r="G645" s="1">
        <v>1.2439598709999999</v>
      </c>
      <c r="H645" s="1">
        <v>703298.12190000003</v>
      </c>
    </row>
    <row r="646" spans="1:8" x14ac:dyDescent="0.25">
      <c r="A646">
        <v>4223</v>
      </c>
      <c r="B646">
        <v>1</v>
      </c>
      <c r="C646">
        <v>3</v>
      </c>
      <c r="D646">
        <v>15</v>
      </c>
      <c r="E646" s="1">
        <v>18</v>
      </c>
      <c r="F646">
        <v>0</v>
      </c>
      <c r="G646" s="1">
        <v>8.0515135230000006</v>
      </c>
      <c r="H646" s="1">
        <v>898826.27789999999</v>
      </c>
    </row>
    <row r="647" spans="1:8" x14ac:dyDescent="0.25">
      <c r="A647">
        <v>4442</v>
      </c>
      <c r="B647">
        <v>4</v>
      </c>
      <c r="C647">
        <v>3</v>
      </c>
      <c r="D647">
        <v>16</v>
      </c>
      <c r="E647" s="1">
        <v>8.6794224440000001</v>
      </c>
      <c r="F647">
        <v>0</v>
      </c>
      <c r="G647" s="1">
        <v>1.094619021</v>
      </c>
      <c r="H647" s="1">
        <v>948774.70830000006</v>
      </c>
    </row>
    <row r="648" spans="1:8" x14ac:dyDescent="0.25">
      <c r="A648">
        <v>2306</v>
      </c>
      <c r="B648">
        <v>4</v>
      </c>
      <c r="C648">
        <v>3</v>
      </c>
      <c r="D648">
        <v>39</v>
      </c>
      <c r="E648" s="1">
        <v>33.223351540000003</v>
      </c>
      <c r="F648">
        <v>0</v>
      </c>
      <c r="G648" s="1">
        <v>7.8570090490000002</v>
      </c>
      <c r="H648" s="1">
        <v>751170.61549999996</v>
      </c>
    </row>
    <row r="649" spans="1:8" x14ac:dyDescent="0.25">
      <c r="A649">
        <v>1160</v>
      </c>
      <c r="B649">
        <v>1</v>
      </c>
      <c r="C649">
        <v>4</v>
      </c>
      <c r="D649">
        <v>27</v>
      </c>
      <c r="E649" s="1">
        <v>33.090967759999998</v>
      </c>
      <c r="F649">
        <v>0</v>
      </c>
      <c r="G649" s="1">
        <v>9.0397404439999995</v>
      </c>
      <c r="H649" s="1">
        <v>496941.18780000001</v>
      </c>
    </row>
    <row r="650" spans="1:8" x14ac:dyDescent="0.25">
      <c r="A650">
        <v>3845</v>
      </c>
      <c r="B650">
        <v>3</v>
      </c>
      <c r="C650">
        <v>2</v>
      </c>
      <c r="D650">
        <v>11</v>
      </c>
      <c r="E650" s="1">
        <v>21.542983769999999</v>
      </c>
      <c r="F650">
        <v>1</v>
      </c>
      <c r="G650" s="1">
        <v>4.8955592899999996</v>
      </c>
      <c r="H650" s="1">
        <v>806198.88540000003</v>
      </c>
    </row>
    <row r="651" spans="1:8" x14ac:dyDescent="0.25">
      <c r="A651">
        <v>1299</v>
      </c>
      <c r="B651">
        <v>5</v>
      </c>
      <c r="C651">
        <v>4</v>
      </c>
      <c r="D651">
        <v>26</v>
      </c>
      <c r="E651" s="1">
        <v>18</v>
      </c>
      <c r="F651">
        <v>1</v>
      </c>
      <c r="G651" s="1">
        <v>5.8198822579999998</v>
      </c>
      <c r="H651" s="1">
        <v>684049.18980000005</v>
      </c>
    </row>
    <row r="652" spans="1:8" x14ac:dyDescent="0.25">
      <c r="A652">
        <v>4855</v>
      </c>
      <c r="B652">
        <v>5</v>
      </c>
      <c r="C652">
        <v>2</v>
      </c>
      <c r="D652">
        <v>29</v>
      </c>
      <c r="E652" s="1">
        <v>27.610536270000001</v>
      </c>
      <c r="F652">
        <v>2</v>
      </c>
      <c r="G652" s="1">
        <v>5.2928505340000003</v>
      </c>
      <c r="H652" s="1">
        <v>1088566.4140000001</v>
      </c>
    </row>
    <row r="653" spans="1:8" x14ac:dyDescent="0.25">
      <c r="A653">
        <v>3347</v>
      </c>
      <c r="B653">
        <v>4</v>
      </c>
      <c r="C653">
        <v>4</v>
      </c>
      <c r="D653">
        <v>33</v>
      </c>
      <c r="E653" s="1">
        <v>20.85320196</v>
      </c>
      <c r="F653">
        <v>1</v>
      </c>
      <c r="G653" s="1">
        <v>4.5028775679999997</v>
      </c>
      <c r="H653" s="1">
        <v>775002.67980000004</v>
      </c>
    </row>
    <row r="654" spans="1:8" x14ac:dyDescent="0.25">
      <c r="A654">
        <v>2119</v>
      </c>
      <c r="B654">
        <v>5</v>
      </c>
      <c r="C654">
        <v>4</v>
      </c>
      <c r="D654">
        <v>36</v>
      </c>
      <c r="E654" s="1">
        <v>0.72201479700000004</v>
      </c>
      <c r="F654">
        <v>1</v>
      </c>
      <c r="G654" s="1">
        <v>8.986820818</v>
      </c>
      <c r="H654" s="1">
        <v>831548.4118</v>
      </c>
    </row>
    <row r="655" spans="1:8" x14ac:dyDescent="0.25">
      <c r="A655">
        <v>680</v>
      </c>
      <c r="B655">
        <v>1</v>
      </c>
      <c r="C655">
        <v>2</v>
      </c>
      <c r="D655">
        <v>5</v>
      </c>
      <c r="E655" s="1">
        <v>27.15181187</v>
      </c>
      <c r="F655">
        <v>1</v>
      </c>
      <c r="G655" s="1">
        <v>9.0454015959999996</v>
      </c>
      <c r="H655" s="1">
        <v>543530.19660000002</v>
      </c>
    </row>
    <row r="656" spans="1:8" x14ac:dyDescent="0.25">
      <c r="A656">
        <v>3666</v>
      </c>
      <c r="B656">
        <v>1</v>
      </c>
      <c r="C656">
        <v>3</v>
      </c>
      <c r="D656">
        <v>6</v>
      </c>
      <c r="E656" s="1">
        <v>24.73584778</v>
      </c>
      <c r="F656">
        <v>2</v>
      </c>
      <c r="G656" s="1">
        <v>4.0223472820000001</v>
      </c>
      <c r="H656" s="1">
        <v>622680.18429999996</v>
      </c>
    </row>
    <row r="657" spans="1:8" x14ac:dyDescent="0.25">
      <c r="A657">
        <v>2287</v>
      </c>
      <c r="B657">
        <v>4</v>
      </c>
      <c r="C657">
        <v>2</v>
      </c>
      <c r="D657">
        <v>31</v>
      </c>
      <c r="E657" s="1">
        <v>21.726251040000001</v>
      </c>
      <c r="F657">
        <v>0</v>
      </c>
      <c r="G657" s="1">
        <v>6.5356277860000001</v>
      </c>
      <c r="H657" s="1">
        <v>679467.96279999998</v>
      </c>
    </row>
    <row r="658" spans="1:8" x14ac:dyDescent="0.25">
      <c r="A658">
        <v>3666</v>
      </c>
      <c r="B658">
        <v>4</v>
      </c>
      <c r="C658">
        <v>1</v>
      </c>
      <c r="D658">
        <v>31</v>
      </c>
      <c r="E658" s="1">
        <v>26.734638749999998</v>
      </c>
      <c r="F658">
        <v>1</v>
      </c>
      <c r="G658" s="1">
        <v>5</v>
      </c>
      <c r="H658" s="1">
        <v>928623.74</v>
      </c>
    </row>
    <row r="659" spans="1:8" x14ac:dyDescent="0.25">
      <c r="A659">
        <v>1066</v>
      </c>
      <c r="B659">
        <v>4</v>
      </c>
      <c r="C659">
        <v>1</v>
      </c>
      <c r="D659">
        <v>24</v>
      </c>
      <c r="E659" s="1">
        <v>18.195814680000002</v>
      </c>
      <c r="F659">
        <v>2</v>
      </c>
      <c r="G659" s="1">
        <v>9.6585264899999999</v>
      </c>
      <c r="H659" s="1">
        <v>665485.66489999997</v>
      </c>
    </row>
    <row r="660" spans="1:8" x14ac:dyDescent="0.25">
      <c r="A660">
        <v>4588</v>
      </c>
      <c r="B660">
        <v>3</v>
      </c>
      <c r="C660">
        <v>2</v>
      </c>
      <c r="D660">
        <v>32</v>
      </c>
      <c r="E660" s="1">
        <v>24.79087286</v>
      </c>
      <c r="F660">
        <v>2</v>
      </c>
      <c r="G660" s="1">
        <v>5.5806313640000003</v>
      </c>
      <c r="H660" s="1">
        <v>917057.16810000001</v>
      </c>
    </row>
    <row r="661" spans="1:8" x14ac:dyDescent="0.25">
      <c r="A661">
        <v>1071</v>
      </c>
      <c r="B661">
        <v>5</v>
      </c>
      <c r="C661">
        <v>4</v>
      </c>
      <c r="D661">
        <v>20</v>
      </c>
      <c r="E661" s="1">
        <v>32.763436990000002</v>
      </c>
      <c r="F661">
        <v>2</v>
      </c>
      <c r="G661" s="1">
        <v>5.0754232479999999</v>
      </c>
      <c r="H661" s="1">
        <v>606210.06030000001</v>
      </c>
    </row>
    <row r="662" spans="1:8" x14ac:dyDescent="0.25">
      <c r="A662">
        <v>2369</v>
      </c>
      <c r="B662">
        <v>4</v>
      </c>
      <c r="C662">
        <v>1</v>
      </c>
      <c r="D662">
        <v>11</v>
      </c>
      <c r="E662" s="1">
        <v>13.46527305</v>
      </c>
      <c r="F662">
        <v>0</v>
      </c>
      <c r="G662" s="1">
        <v>3.5082488430000001</v>
      </c>
      <c r="H662" s="1">
        <v>598725.58160000003</v>
      </c>
    </row>
    <row r="663" spans="1:8" x14ac:dyDescent="0.25">
      <c r="A663">
        <v>4556</v>
      </c>
      <c r="B663">
        <v>2</v>
      </c>
      <c r="C663">
        <v>1</v>
      </c>
      <c r="D663">
        <v>15</v>
      </c>
      <c r="E663" s="1">
        <v>24.930203299999999</v>
      </c>
      <c r="F663">
        <v>1</v>
      </c>
      <c r="G663" s="1">
        <v>9.6298468590000006</v>
      </c>
      <c r="H663" s="1">
        <v>993805.05169999995</v>
      </c>
    </row>
    <row r="664" spans="1:8" x14ac:dyDescent="0.25">
      <c r="A664">
        <v>3522</v>
      </c>
      <c r="B664">
        <v>2</v>
      </c>
      <c r="C664">
        <v>4</v>
      </c>
      <c r="D664">
        <v>15</v>
      </c>
      <c r="E664" s="1">
        <v>16.911229720000001</v>
      </c>
      <c r="F664">
        <v>2</v>
      </c>
      <c r="G664" s="1">
        <v>2.2853287400000002</v>
      </c>
      <c r="H664" s="1">
        <v>686166.20290000003</v>
      </c>
    </row>
    <row r="665" spans="1:8" x14ac:dyDescent="0.25">
      <c r="A665">
        <v>4300</v>
      </c>
      <c r="B665">
        <v>3</v>
      </c>
      <c r="C665">
        <v>3</v>
      </c>
      <c r="D665">
        <v>35</v>
      </c>
      <c r="E665" s="1">
        <v>23.766787990000001</v>
      </c>
      <c r="F665">
        <v>0</v>
      </c>
      <c r="G665" s="1">
        <v>6.2184661840000004</v>
      </c>
      <c r="H665" s="1">
        <v>833979.82409999997</v>
      </c>
    </row>
    <row r="666" spans="1:8" x14ac:dyDescent="0.25">
      <c r="A666">
        <v>923</v>
      </c>
      <c r="B666">
        <v>5</v>
      </c>
      <c r="C666">
        <v>3</v>
      </c>
      <c r="D666">
        <v>12</v>
      </c>
      <c r="E666" s="1">
        <v>26.81982008</v>
      </c>
      <c r="F666">
        <v>2</v>
      </c>
      <c r="G666" s="1">
        <v>3.5429524080000001</v>
      </c>
      <c r="H666" s="1">
        <v>550048.65500000003</v>
      </c>
    </row>
    <row r="667" spans="1:8" x14ac:dyDescent="0.25">
      <c r="A667">
        <v>2793</v>
      </c>
      <c r="B667">
        <v>4</v>
      </c>
      <c r="C667">
        <v>4</v>
      </c>
      <c r="D667">
        <v>6</v>
      </c>
      <c r="E667" s="1">
        <v>2.0681112650000002</v>
      </c>
      <c r="F667">
        <v>2</v>
      </c>
      <c r="G667" s="1">
        <v>3.5110746129999999</v>
      </c>
      <c r="H667" s="1">
        <v>822692.79310000001</v>
      </c>
    </row>
    <row r="668" spans="1:8" x14ac:dyDescent="0.25">
      <c r="A668">
        <v>3517</v>
      </c>
      <c r="B668">
        <v>2</v>
      </c>
      <c r="C668">
        <v>3</v>
      </c>
      <c r="D668">
        <v>35</v>
      </c>
      <c r="E668" s="1">
        <v>22.80771532</v>
      </c>
      <c r="F668">
        <v>2</v>
      </c>
      <c r="G668" s="1">
        <v>4.6447172859999997</v>
      </c>
      <c r="H668" s="1">
        <v>683248.82429999998</v>
      </c>
    </row>
    <row r="669" spans="1:8" x14ac:dyDescent="0.25">
      <c r="A669">
        <v>2993</v>
      </c>
      <c r="B669">
        <v>5</v>
      </c>
      <c r="C669">
        <v>2</v>
      </c>
      <c r="D669">
        <v>8</v>
      </c>
      <c r="E669" s="1">
        <v>8.3225708619999992</v>
      </c>
      <c r="F669">
        <v>2</v>
      </c>
      <c r="G669" s="1">
        <v>9.9891364219999996</v>
      </c>
      <c r="H669" s="1">
        <v>1062920.8770000001</v>
      </c>
    </row>
    <row r="670" spans="1:8" x14ac:dyDescent="0.25">
      <c r="A670">
        <v>2368</v>
      </c>
      <c r="B670">
        <v>1</v>
      </c>
      <c r="C670">
        <v>3</v>
      </c>
      <c r="D670">
        <v>31</v>
      </c>
      <c r="E670" s="1">
        <v>23.61612255</v>
      </c>
      <c r="F670">
        <v>2</v>
      </c>
      <c r="G670" s="1">
        <v>1.494696762</v>
      </c>
      <c r="H670" s="1">
        <v>307412.52830000001</v>
      </c>
    </row>
    <row r="671" spans="1:8" x14ac:dyDescent="0.25">
      <c r="A671">
        <v>2153</v>
      </c>
      <c r="B671">
        <v>3</v>
      </c>
      <c r="C671">
        <v>1</v>
      </c>
      <c r="D671">
        <v>10</v>
      </c>
      <c r="E671" s="1">
        <v>16.657391409999999</v>
      </c>
      <c r="F671">
        <v>0</v>
      </c>
      <c r="G671" s="1">
        <v>6.2068763640000002</v>
      </c>
      <c r="H671" s="1">
        <v>644160.35239999997</v>
      </c>
    </row>
    <row r="672" spans="1:8" x14ac:dyDescent="0.25">
      <c r="A672">
        <v>2696</v>
      </c>
      <c r="B672">
        <v>5</v>
      </c>
      <c r="C672">
        <v>1</v>
      </c>
      <c r="D672">
        <v>7</v>
      </c>
      <c r="E672" s="1">
        <v>27.187569589999999</v>
      </c>
      <c r="F672">
        <v>1</v>
      </c>
      <c r="G672" s="1">
        <v>1.7431494219999999</v>
      </c>
      <c r="H672" s="1">
        <v>642439.99990000005</v>
      </c>
    </row>
    <row r="673" spans="1:8" x14ac:dyDescent="0.25">
      <c r="A673">
        <v>2661</v>
      </c>
      <c r="B673">
        <v>5</v>
      </c>
      <c r="C673">
        <v>3</v>
      </c>
      <c r="D673">
        <v>32</v>
      </c>
      <c r="E673" s="1">
        <v>4.7573281249999999</v>
      </c>
      <c r="F673">
        <v>1</v>
      </c>
      <c r="G673" s="1">
        <v>2.39068747</v>
      </c>
      <c r="H673" s="1">
        <v>750258.56629999995</v>
      </c>
    </row>
    <row r="674" spans="1:8" x14ac:dyDescent="0.25">
      <c r="A674">
        <v>2686</v>
      </c>
      <c r="B674">
        <v>3</v>
      </c>
      <c r="C674">
        <v>2</v>
      </c>
      <c r="D674">
        <v>22</v>
      </c>
      <c r="E674" s="1">
        <v>22.108121130000001</v>
      </c>
      <c r="F674">
        <v>1</v>
      </c>
      <c r="G674" s="1">
        <v>5</v>
      </c>
      <c r="H674" s="1">
        <v>618782.93859999999</v>
      </c>
    </row>
    <row r="675" spans="1:8" x14ac:dyDescent="0.25">
      <c r="A675">
        <v>4602</v>
      </c>
      <c r="B675">
        <v>5</v>
      </c>
      <c r="C675">
        <v>1</v>
      </c>
      <c r="D675">
        <v>20</v>
      </c>
      <c r="E675" s="1">
        <v>18</v>
      </c>
      <c r="F675">
        <v>1</v>
      </c>
      <c r="G675" s="1">
        <v>5.5941411820000004</v>
      </c>
      <c r="H675" s="1">
        <v>959892.82330000005</v>
      </c>
    </row>
    <row r="676" spans="1:8" x14ac:dyDescent="0.25">
      <c r="A676">
        <v>3278</v>
      </c>
      <c r="B676">
        <v>1</v>
      </c>
      <c r="C676">
        <v>3</v>
      </c>
      <c r="D676">
        <v>7</v>
      </c>
      <c r="E676" s="1">
        <v>29.927878840000002</v>
      </c>
      <c r="F676">
        <v>0</v>
      </c>
      <c r="G676" s="1">
        <v>3.3291316750000002</v>
      </c>
      <c r="H676" s="1">
        <v>578928.41500000004</v>
      </c>
    </row>
    <row r="677" spans="1:8" x14ac:dyDescent="0.25">
      <c r="A677">
        <v>4543</v>
      </c>
      <c r="B677">
        <v>1</v>
      </c>
      <c r="C677">
        <v>3</v>
      </c>
      <c r="D677">
        <v>21</v>
      </c>
      <c r="E677" s="1">
        <v>32.529230939999998</v>
      </c>
      <c r="F677">
        <v>0</v>
      </c>
      <c r="G677" s="1">
        <v>3.8481141779999999</v>
      </c>
      <c r="H677" s="1">
        <v>775111.41570000001</v>
      </c>
    </row>
    <row r="678" spans="1:8" x14ac:dyDescent="0.25">
      <c r="A678">
        <v>4044</v>
      </c>
      <c r="B678">
        <v>3</v>
      </c>
      <c r="C678">
        <v>2</v>
      </c>
      <c r="D678">
        <v>3</v>
      </c>
      <c r="E678" s="1">
        <v>34.875741130000002</v>
      </c>
      <c r="F678">
        <v>0</v>
      </c>
      <c r="G678" s="1">
        <v>1.7827031820000001</v>
      </c>
      <c r="H678" s="1">
        <v>759968.56830000004</v>
      </c>
    </row>
    <row r="679" spans="1:8" x14ac:dyDescent="0.25">
      <c r="A679">
        <v>4832</v>
      </c>
      <c r="B679">
        <v>4</v>
      </c>
      <c r="C679">
        <v>3</v>
      </c>
      <c r="D679">
        <v>39</v>
      </c>
      <c r="E679" s="1">
        <v>27.962255379999998</v>
      </c>
      <c r="F679">
        <v>2</v>
      </c>
      <c r="G679" s="1">
        <v>3.7289780549999998</v>
      </c>
      <c r="H679" s="1">
        <v>878682.73369999998</v>
      </c>
    </row>
    <row r="680" spans="1:8" x14ac:dyDescent="0.25">
      <c r="A680">
        <v>2455</v>
      </c>
      <c r="B680">
        <v>2</v>
      </c>
      <c r="C680">
        <v>3</v>
      </c>
      <c r="D680">
        <v>2</v>
      </c>
      <c r="E680" s="1">
        <v>26.503825429999999</v>
      </c>
      <c r="F680">
        <v>2</v>
      </c>
      <c r="G680" s="1">
        <v>9.6990259539999997</v>
      </c>
      <c r="H680" s="1">
        <v>874203.41570000001</v>
      </c>
    </row>
    <row r="681" spans="1:8" x14ac:dyDescent="0.25">
      <c r="A681">
        <v>1676</v>
      </c>
      <c r="B681">
        <v>4</v>
      </c>
      <c r="C681">
        <v>2</v>
      </c>
      <c r="D681">
        <v>20</v>
      </c>
      <c r="E681" s="1">
        <v>7.9347761810000002</v>
      </c>
      <c r="F681">
        <v>2</v>
      </c>
      <c r="G681" s="1">
        <v>9.5023664350000008</v>
      </c>
      <c r="H681" s="1">
        <v>779486.48360000004</v>
      </c>
    </row>
    <row r="682" spans="1:8" x14ac:dyDescent="0.25">
      <c r="A682">
        <v>3166</v>
      </c>
      <c r="B682">
        <v>5</v>
      </c>
      <c r="C682">
        <v>4</v>
      </c>
      <c r="D682">
        <v>28</v>
      </c>
      <c r="E682" s="1">
        <v>12.09224354</v>
      </c>
      <c r="F682">
        <v>1</v>
      </c>
      <c r="G682" s="1">
        <v>4.0139046110000001</v>
      </c>
      <c r="H682" s="1">
        <v>830123.53029999998</v>
      </c>
    </row>
    <row r="683" spans="1:8" x14ac:dyDescent="0.25">
      <c r="A683">
        <v>2773</v>
      </c>
      <c r="B683">
        <v>2</v>
      </c>
      <c r="C683">
        <v>4</v>
      </c>
      <c r="D683">
        <v>33</v>
      </c>
      <c r="E683" s="1">
        <v>16.566047690000001</v>
      </c>
      <c r="F683">
        <v>2</v>
      </c>
      <c r="G683" s="1">
        <v>6.1376854270000001</v>
      </c>
      <c r="H683" s="1">
        <v>448329.13400000002</v>
      </c>
    </row>
    <row r="684" spans="1:8" x14ac:dyDescent="0.25">
      <c r="A684">
        <v>1038</v>
      </c>
      <c r="B684">
        <v>3</v>
      </c>
      <c r="C684">
        <v>3</v>
      </c>
      <c r="D684">
        <v>33</v>
      </c>
      <c r="E684" s="1">
        <v>27.181646149999999</v>
      </c>
      <c r="F684">
        <v>1</v>
      </c>
      <c r="G684" s="1">
        <v>9.1863585200000006</v>
      </c>
      <c r="H684" s="1">
        <v>662572.43980000005</v>
      </c>
    </row>
    <row r="685" spans="1:8" x14ac:dyDescent="0.25">
      <c r="A685">
        <v>455</v>
      </c>
      <c r="B685">
        <v>3</v>
      </c>
      <c r="C685">
        <v>4</v>
      </c>
      <c r="D685">
        <v>27</v>
      </c>
      <c r="E685" s="1">
        <v>32.06632235</v>
      </c>
      <c r="F685">
        <v>2</v>
      </c>
      <c r="G685" s="1">
        <v>1.055654404</v>
      </c>
      <c r="H685" s="1">
        <v>281005.58350000001</v>
      </c>
    </row>
    <row r="686" spans="1:8" x14ac:dyDescent="0.25">
      <c r="A686">
        <v>925</v>
      </c>
      <c r="B686">
        <v>2</v>
      </c>
      <c r="C686">
        <v>4</v>
      </c>
      <c r="D686">
        <v>12</v>
      </c>
      <c r="E686" s="1">
        <v>7.0252989509999999</v>
      </c>
      <c r="F686">
        <v>1</v>
      </c>
      <c r="G686" s="1">
        <v>8.2961521329999997</v>
      </c>
      <c r="H686" s="1">
        <v>742099.40830000001</v>
      </c>
    </row>
    <row r="687" spans="1:8" x14ac:dyDescent="0.25">
      <c r="A687">
        <v>4969</v>
      </c>
      <c r="B687">
        <v>1</v>
      </c>
      <c r="C687">
        <v>3</v>
      </c>
      <c r="D687">
        <v>14</v>
      </c>
      <c r="E687" s="1">
        <v>32.321678220000003</v>
      </c>
      <c r="F687">
        <v>2</v>
      </c>
      <c r="G687" s="1">
        <v>9.5353259749999992</v>
      </c>
      <c r="H687" s="1">
        <v>998599.28949999996</v>
      </c>
    </row>
    <row r="688" spans="1:8" x14ac:dyDescent="0.25">
      <c r="A688">
        <v>2773</v>
      </c>
      <c r="B688">
        <v>2</v>
      </c>
      <c r="C688">
        <v>4</v>
      </c>
      <c r="D688">
        <v>22</v>
      </c>
      <c r="E688" s="1">
        <v>24.49905051</v>
      </c>
      <c r="F688">
        <v>2</v>
      </c>
      <c r="G688" s="1">
        <v>1.821931609</v>
      </c>
      <c r="H688" s="1">
        <v>780793.77370000002</v>
      </c>
    </row>
    <row r="689" spans="1:8" x14ac:dyDescent="0.25">
      <c r="A689">
        <v>2525</v>
      </c>
      <c r="B689">
        <v>5</v>
      </c>
      <c r="C689">
        <v>3</v>
      </c>
      <c r="D689">
        <v>25</v>
      </c>
      <c r="E689" s="1">
        <v>21.57159021</v>
      </c>
      <c r="F689">
        <v>0</v>
      </c>
      <c r="G689" s="1">
        <v>2.4530291740000001</v>
      </c>
      <c r="H689" s="1">
        <v>632303.73120000004</v>
      </c>
    </row>
    <row r="690" spans="1:8" x14ac:dyDescent="0.25">
      <c r="A690">
        <v>3687</v>
      </c>
      <c r="B690">
        <v>1</v>
      </c>
      <c r="C690">
        <v>1</v>
      </c>
      <c r="D690">
        <v>3</v>
      </c>
      <c r="E690" s="1">
        <v>7.3945238590000004</v>
      </c>
      <c r="F690">
        <v>2</v>
      </c>
      <c r="G690" s="1">
        <v>9.6467167249999992</v>
      </c>
      <c r="H690" s="1">
        <v>847752.53390000004</v>
      </c>
    </row>
    <row r="691" spans="1:8" x14ac:dyDescent="0.25">
      <c r="A691">
        <v>764</v>
      </c>
      <c r="B691">
        <v>3</v>
      </c>
      <c r="C691">
        <v>2</v>
      </c>
      <c r="D691">
        <v>25</v>
      </c>
      <c r="E691" s="1">
        <v>2.4156136319999999</v>
      </c>
      <c r="F691">
        <v>2</v>
      </c>
      <c r="G691" s="1">
        <v>5.8378612929999996</v>
      </c>
      <c r="H691" s="1">
        <v>481027.67440000002</v>
      </c>
    </row>
    <row r="692" spans="1:8" x14ac:dyDescent="0.25">
      <c r="A692">
        <v>2046</v>
      </c>
      <c r="B692">
        <v>2</v>
      </c>
      <c r="C692">
        <v>2</v>
      </c>
      <c r="D692">
        <v>39</v>
      </c>
      <c r="E692" s="1">
        <v>20.112038999999999</v>
      </c>
      <c r="F692">
        <v>0</v>
      </c>
      <c r="G692" s="1">
        <v>1.1277697099999999</v>
      </c>
      <c r="H692" s="1">
        <v>349330.35389999999</v>
      </c>
    </row>
    <row r="693" spans="1:8" x14ac:dyDescent="0.25">
      <c r="A693">
        <v>1318</v>
      </c>
      <c r="B693">
        <v>4</v>
      </c>
      <c r="C693">
        <v>4</v>
      </c>
      <c r="D693">
        <v>8</v>
      </c>
      <c r="E693" s="1">
        <v>22.97729107</v>
      </c>
      <c r="F693">
        <v>1</v>
      </c>
      <c r="G693" s="1">
        <v>3.3186879889999998</v>
      </c>
      <c r="H693" s="1">
        <v>706350.26069999998</v>
      </c>
    </row>
    <row r="694" spans="1:8" x14ac:dyDescent="0.25">
      <c r="A694">
        <v>3197</v>
      </c>
      <c r="B694">
        <v>3</v>
      </c>
      <c r="C694">
        <v>4</v>
      </c>
      <c r="D694">
        <v>4</v>
      </c>
      <c r="E694" s="1">
        <v>7.7719600030000002</v>
      </c>
      <c r="F694">
        <v>0</v>
      </c>
      <c r="G694" s="1">
        <v>5</v>
      </c>
      <c r="H694" s="1">
        <v>876754.49190000002</v>
      </c>
    </row>
    <row r="695" spans="1:8" x14ac:dyDescent="0.25">
      <c r="A695">
        <v>1931</v>
      </c>
      <c r="B695">
        <v>5</v>
      </c>
      <c r="C695">
        <v>4</v>
      </c>
      <c r="D695">
        <v>31</v>
      </c>
      <c r="E695" s="1">
        <v>19.6977391</v>
      </c>
      <c r="F695">
        <v>1</v>
      </c>
      <c r="G695" s="1">
        <v>7.2361801989999996</v>
      </c>
      <c r="H695" s="1">
        <v>743111.66280000005</v>
      </c>
    </row>
    <row r="696" spans="1:8" x14ac:dyDescent="0.25">
      <c r="A696">
        <v>2773</v>
      </c>
      <c r="B696">
        <v>4</v>
      </c>
      <c r="C696">
        <v>2</v>
      </c>
      <c r="D696">
        <v>19</v>
      </c>
      <c r="E696" s="1">
        <v>30.049022399999998</v>
      </c>
      <c r="F696">
        <v>1</v>
      </c>
      <c r="G696" s="1">
        <v>7.5984434030000001</v>
      </c>
      <c r="H696" s="1">
        <v>943914.73840000003</v>
      </c>
    </row>
    <row r="697" spans="1:8" x14ac:dyDescent="0.25">
      <c r="A697">
        <v>2306</v>
      </c>
      <c r="B697">
        <v>2</v>
      </c>
      <c r="C697">
        <v>1</v>
      </c>
      <c r="D697">
        <v>10</v>
      </c>
      <c r="E697" s="1">
        <v>29.309775120000001</v>
      </c>
      <c r="F697">
        <v>2</v>
      </c>
      <c r="G697" s="1">
        <v>9.9587936159999995</v>
      </c>
      <c r="H697" s="1">
        <v>637375.08010000002</v>
      </c>
    </row>
    <row r="698" spans="1:8" x14ac:dyDescent="0.25">
      <c r="A698">
        <v>2773</v>
      </c>
      <c r="B698">
        <v>2</v>
      </c>
      <c r="C698">
        <v>1</v>
      </c>
      <c r="D698">
        <v>14</v>
      </c>
      <c r="E698" s="1">
        <v>32.493753730000002</v>
      </c>
      <c r="F698">
        <v>1</v>
      </c>
      <c r="G698" s="1">
        <v>3.5876007940000001</v>
      </c>
      <c r="H698" s="1">
        <v>610485.56209999998</v>
      </c>
    </row>
    <row r="699" spans="1:8" x14ac:dyDescent="0.25">
      <c r="A699">
        <v>4980</v>
      </c>
      <c r="B699">
        <v>4</v>
      </c>
      <c r="C699">
        <v>2</v>
      </c>
      <c r="D699">
        <v>31</v>
      </c>
      <c r="E699" s="1">
        <v>13.123060430000001</v>
      </c>
      <c r="F699">
        <v>2</v>
      </c>
      <c r="G699" s="1">
        <v>5.8439809169999997</v>
      </c>
      <c r="H699" s="1">
        <v>1010475.91</v>
      </c>
    </row>
    <row r="700" spans="1:8" x14ac:dyDescent="0.25">
      <c r="A700">
        <v>2475</v>
      </c>
      <c r="B700">
        <v>2</v>
      </c>
      <c r="C700">
        <v>1</v>
      </c>
      <c r="D700">
        <v>27</v>
      </c>
      <c r="E700" s="1">
        <v>11.47271025</v>
      </c>
      <c r="F700">
        <v>2</v>
      </c>
      <c r="G700" s="1">
        <v>5.7999119309999996</v>
      </c>
      <c r="H700" s="1">
        <v>627517.43099999998</v>
      </c>
    </row>
    <row r="701" spans="1:8" x14ac:dyDescent="0.25">
      <c r="A701">
        <v>2773</v>
      </c>
      <c r="B701">
        <v>5</v>
      </c>
      <c r="C701">
        <v>2</v>
      </c>
      <c r="D701">
        <v>21</v>
      </c>
      <c r="E701" s="1">
        <v>26.35519721</v>
      </c>
      <c r="F701">
        <v>1</v>
      </c>
      <c r="G701" s="1">
        <v>4.6508073349999997</v>
      </c>
      <c r="H701" s="1">
        <v>596740.61010000005</v>
      </c>
    </row>
    <row r="702" spans="1:8" x14ac:dyDescent="0.25">
      <c r="A702">
        <v>2773</v>
      </c>
      <c r="B702">
        <v>1</v>
      </c>
      <c r="C702">
        <v>1</v>
      </c>
      <c r="D702">
        <v>16</v>
      </c>
      <c r="E702" s="1">
        <v>15.373377980000001</v>
      </c>
      <c r="F702">
        <v>0</v>
      </c>
      <c r="G702" s="1">
        <v>2.5224570449999999</v>
      </c>
      <c r="H702" s="1">
        <v>276099.73389999999</v>
      </c>
    </row>
    <row r="703" spans="1:8" x14ac:dyDescent="0.25">
      <c r="A703">
        <v>2376</v>
      </c>
      <c r="B703">
        <v>5</v>
      </c>
      <c r="C703">
        <v>3</v>
      </c>
      <c r="D703">
        <v>25</v>
      </c>
      <c r="E703" s="1">
        <v>3.5204289090000001</v>
      </c>
      <c r="F703">
        <v>1</v>
      </c>
      <c r="G703" s="1">
        <v>9.7971090689999993</v>
      </c>
      <c r="H703" s="1">
        <v>954193.01870000002</v>
      </c>
    </row>
    <row r="704" spans="1:8" x14ac:dyDescent="0.25">
      <c r="A704">
        <v>1696</v>
      </c>
      <c r="B704">
        <v>5</v>
      </c>
      <c r="C704">
        <v>3</v>
      </c>
      <c r="D704">
        <v>6</v>
      </c>
      <c r="E704" s="1">
        <v>10.256639010000001</v>
      </c>
      <c r="F704">
        <v>2</v>
      </c>
      <c r="G704" s="1">
        <v>8.67985468</v>
      </c>
      <c r="H704" s="1">
        <v>825023.18720000004</v>
      </c>
    </row>
    <row r="705" spans="1:8" x14ac:dyDescent="0.25">
      <c r="A705">
        <v>525</v>
      </c>
      <c r="B705">
        <v>2</v>
      </c>
      <c r="C705">
        <v>2</v>
      </c>
      <c r="D705">
        <v>25</v>
      </c>
      <c r="E705" s="1">
        <v>14.94108885</v>
      </c>
      <c r="F705">
        <v>1</v>
      </c>
      <c r="G705" s="1">
        <v>5.4849972549999997</v>
      </c>
      <c r="H705" s="1">
        <v>313585.12920000002</v>
      </c>
    </row>
    <row r="706" spans="1:8" x14ac:dyDescent="0.25">
      <c r="A706">
        <v>3996</v>
      </c>
      <c r="B706">
        <v>1</v>
      </c>
      <c r="C706">
        <v>1</v>
      </c>
      <c r="D706">
        <v>24</v>
      </c>
      <c r="E706" s="1">
        <v>10.591816680000001</v>
      </c>
      <c r="F706">
        <v>1</v>
      </c>
      <c r="G706" s="1">
        <v>6.4292088039999999</v>
      </c>
      <c r="H706" s="1">
        <v>768295.36609999998</v>
      </c>
    </row>
    <row r="707" spans="1:8" x14ac:dyDescent="0.25">
      <c r="A707">
        <v>3683</v>
      </c>
      <c r="B707">
        <v>2</v>
      </c>
      <c r="C707">
        <v>4</v>
      </c>
      <c r="D707">
        <v>9</v>
      </c>
      <c r="E707" s="1">
        <v>11.9610922</v>
      </c>
      <c r="F707">
        <v>2</v>
      </c>
      <c r="G707" s="1">
        <v>3.0453494820000002</v>
      </c>
      <c r="H707" s="1">
        <v>684153.06359999999</v>
      </c>
    </row>
    <row r="708" spans="1:8" x14ac:dyDescent="0.25">
      <c r="A708">
        <v>2003</v>
      </c>
      <c r="B708">
        <v>3</v>
      </c>
      <c r="C708">
        <v>1</v>
      </c>
      <c r="D708">
        <v>18</v>
      </c>
      <c r="E708" s="1">
        <v>10.635268760000001</v>
      </c>
      <c r="F708">
        <v>0</v>
      </c>
      <c r="G708" s="1">
        <v>5.8940836340000002</v>
      </c>
      <c r="H708" s="1">
        <v>583439.09719999996</v>
      </c>
    </row>
    <row r="709" spans="1:8" x14ac:dyDescent="0.25">
      <c r="A709">
        <v>466</v>
      </c>
      <c r="B709">
        <v>3</v>
      </c>
      <c r="C709">
        <v>3</v>
      </c>
      <c r="D709">
        <v>10</v>
      </c>
      <c r="E709" s="1">
        <v>1.931721268</v>
      </c>
      <c r="F709">
        <v>1</v>
      </c>
      <c r="G709" s="1">
        <v>7.254731198</v>
      </c>
      <c r="H709" s="1">
        <v>463452.96799999999</v>
      </c>
    </row>
    <row r="710" spans="1:8" x14ac:dyDescent="0.25">
      <c r="A710">
        <v>632</v>
      </c>
      <c r="B710">
        <v>2</v>
      </c>
      <c r="C710">
        <v>3</v>
      </c>
      <c r="D710">
        <v>12</v>
      </c>
      <c r="E710" s="1">
        <v>22.47976718</v>
      </c>
      <c r="F710">
        <v>2</v>
      </c>
      <c r="G710" s="1">
        <v>5.636503255</v>
      </c>
      <c r="H710" s="1">
        <v>461064.63880000002</v>
      </c>
    </row>
    <row r="711" spans="1:8" x14ac:dyDescent="0.25">
      <c r="A711">
        <v>2556</v>
      </c>
      <c r="B711">
        <v>2</v>
      </c>
      <c r="C711">
        <v>1</v>
      </c>
      <c r="D711">
        <v>7</v>
      </c>
      <c r="E711" s="1">
        <v>21.106588500000001</v>
      </c>
      <c r="F711">
        <v>2</v>
      </c>
      <c r="G711" s="1">
        <v>9.9125665349999998</v>
      </c>
      <c r="H711" s="1">
        <v>877634.28359999997</v>
      </c>
    </row>
    <row r="712" spans="1:8" x14ac:dyDescent="0.25">
      <c r="A712">
        <v>1569</v>
      </c>
      <c r="B712">
        <v>1</v>
      </c>
      <c r="C712">
        <v>1</v>
      </c>
      <c r="D712">
        <v>39</v>
      </c>
      <c r="E712" s="1">
        <v>23.041730699999999</v>
      </c>
      <c r="F712">
        <v>1</v>
      </c>
      <c r="G712" s="1">
        <v>5</v>
      </c>
      <c r="H712" s="1">
        <v>350721.00109999999</v>
      </c>
    </row>
    <row r="713" spans="1:8" x14ac:dyDescent="0.25">
      <c r="A713">
        <v>2558</v>
      </c>
      <c r="B713">
        <v>2</v>
      </c>
      <c r="C713">
        <v>4</v>
      </c>
      <c r="D713">
        <v>3</v>
      </c>
      <c r="E713" s="1">
        <v>7.1346914129999996</v>
      </c>
      <c r="F713">
        <v>1</v>
      </c>
      <c r="G713" s="1">
        <v>4.3387634129999997</v>
      </c>
      <c r="H713" s="1">
        <v>591157.57530000003</v>
      </c>
    </row>
    <row r="714" spans="1:8" x14ac:dyDescent="0.25">
      <c r="A714">
        <v>4606</v>
      </c>
      <c r="B714">
        <v>1</v>
      </c>
      <c r="C714">
        <v>4</v>
      </c>
      <c r="D714">
        <v>30</v>
      </c>
      <c r="E714" s="1">
        <v>10.700081689999999</v>
      </c>
      <c r="F714">
        <v>1</v>
      </c>
      <c r="G714" s="1">
        <v>7.9493682489999999</v>
      </c>
      <c r="H714" s="1">
        <v>958400.26309999998</v>
      </c>
    </row>
    <row r="715" spans="1:8" x14ac:dyDescent="0.25">
      <c r="A715">
        <v>1893</v>
      </c>
      <c r="B715">
        <v>4</v>
      </c>
      <c r="C715">
        <v>1</v>
      </c>
      <c r="D715">
        <v>27</v>
      </c>
      <c r="E715" s="1">
        <v>21.876749480000001</v>
      </c>
      <c r="F715">
        <v>0</v>
      </c>
      <c r="G715" s="1">
        <v>2.534162604</v>
      </c>
      <c r="H715" s="1">
        <v>472496.2697</v>
      </c>
    </row>
    <row r="716" spans="1:8" x14ac:dyDescent="0.25">
      <c r="A716">
        <v>4407</v>
      </c>
      <c r="B716">
        <v>3</v>
      </c>
      <c r="C716">
        <v>1</v>
      </c>
      <c r="D716">
        <v>10</v>
      </c>
      <c r="E716" s="1">
        <v>21.187151109999999</v>
      </c>
      <c r="F716">
        <v>0</v>
      </c>
      <c r="G716" s="1">
        <v>4.4606423230000001</v>
      </c>
      <c r="H716" s="1">
        <v>846417.93160000001</v>
      </c>
    </row>
    <row r="717" spans="1:8" x14ac:dyDescent="0.25">
      <c r="A717">
        <v>2872</v>
      </c>
      <c r="B717">
        <v>1</v>
      </c>
      <c r="C717">
        <v>1</v>
      </c>
      <c r="D717">
        <v>20</v>
      </c>
      <c r="E717" s="1">
        <v>17.96839567</v>
      </c>
      <c r="F717">
        <v>0</v>
      </c>
      <c r="G717" s="1">
        <v>4.1226305529999996</v>
      </c>
      <c r="H717" s="1">
        <v>540276.60290000006</v>
      </c>
    </row>
    <row r="718" spans="1:8" x14ac:dyDescent="0.25">
      <c r="A718">
        <v>3060</v>
      </c>
      <c r="B718">
        <v>4</v>
      </c>
      <c r="C718">
        <v>1</v>
      </c>
      <c r="D718">
        <v>37</v>
      </c>
      <c r="E718" s="1">
        <v>12.58925713</v>
      </c>
      <c r="F718">
        <v>0</v>
      </c>
      <c r="G718" s="1">
        <v>4.8862638560000002</v>
      </c>
      <c r="H718" s="1">
        <v>689734.70360000001</v>
      </c>
    </row>
    <row r="719" spans="1:8" x14ac:dyDescent="0.25">
      <c r="A719">
        <v>3139</v>
      </c>
      <c r="B719">
        <v>1</v>
      </c>
      <c r="C719">
        <v>2</v>
      </c>
      <c r="D719">
        <v>23</v>
      </c>
      <c r="E719" s="1">
        <v>31.996119660000002</v>
      </c>
      <c r="F719">
        <v>1</v>
      </c>
      <c r="G719" s="1">
        <v>8.0360184330000006</v>
      </c>
      <c r="H719" s="1">
        <v>732502.0784</v>
      </c>
    </row>
    <row r="720" spans="1:8" x14ac:dyDescent="0.25">
      <c r="A720">
        <v>2161</v>
      </c>
      <c r="B720">
        <v>1</v>
      </c>
      <c r="C720">
        <v>1</v>
      </c>
      <c r="D720">
        <v>30</v>
      </c>
      <c r="E720" s="1">
        <v>12.22207336</v>
      </c>
      <c r="F720">
        <v>2</v>
      </c>
      <c r="G720" s="1">
        <v>5.3575572889999998</v>
      </c>
      <c r="H720" s="1">
        <v>527310.72620000003</v>
      </c>
    </row>
    <row r="721" spans="1:8" x14ac:dyDescent="0.25">
      <c r="A721">
        <v>3914</v>
      </c>
      <c r="B721">
        <v>3</v>
      </c>
      <c r="C721">
        <v>4</v>
      </c>
      <c r="D721">
        <v>25</v>
      </c>
      <c r="E721" s="1">
        <v>16.218860899999999</v>
      </c>
      <c r="F721">
        <v>2</v>
      </c>
      <c r="G721" s="1">
        <v>8.1461300520000002</v>
      </c>
      <c r="H721" s="1">
        <v>893444.47219999996</v>
      </c>
    </row>
    <row r="722" spans="1:8" x14ac:dyDescent="0.25">
      <c r="A722">
        <v>2375</v>
      </c>
      <c r="B722">
        <v>5</v>
      </c>
      <c r="C722">
        <v>3</v>
      </c>
      <c r="D722">
        <v>4</v>
      </c>
      <c r="E722" s="1">
        <v>23.894927169999999</v>
      </c>
      <c r="F722">
        <v>2</v>
      </c>
      <c r="G722" s="1">
        <v>6.1884001279999996</v>
      </c>
      <c r="H722" s="1">
        <v>810246.64240000001</v>
      </c>
    </row>
    <row r="723" spans="1:8" x14ac:dyDescent="0.25">
      <c r="A723">
        <v>2762</v>
      </c>
      <c r="B723">
        <v>5</v>
      </c>
      <c r="C723">
        <v>3</v>
      </c>
      <c r="D723">
        <v>19</v>
      </c>
      <c r="E723" s="1">
        <v>19.23423936</v>
      </c>
      <c r="F723">
        <v>2</v>
      </c>
      <c r="G723" s="1">
        <v>4.0786249120000004</v>
      </c>
      <c r="H723" s="1">
        <v>748424.07709999999</v>
      </c>
    </row>
    <row r="724" spans="1:8" x14ac:dyDescent="0.25">
      <c r="A724">
        <v>1276</v>
      </c>
      <c r="B724">
        <v>1</v>
      </c>
      <c r="C724">
        <v>1</v>
      </c>
      <c r="D724">
        <v>10</v>
      </c>
      <c r="E724" s="1">
        <v>12.46756618</v>
      </c>
      <c r="F724">
        <v>2</v>
      </c>
      <c r="G724" s="1">
        <v>8.2898086929999995</v>
      </c>
      <c r="H724" s="1">
        <v>480112.19319999998</v>
      </c>
    </row>
    <row r="725" spans="1:8" x14ac:dyDescent="0.25">
      <c r="A725">
        <v>4212</v>
      </c>
      <c r="B725">
        <v>2</v>
      </c>
      <c r="C725">
        <v>3</v>
      </c>
      <c r="D725">
        <v>32</v>
      </c>
      <c r="E725" s="1">
        <v>15.529745269999999</v>
      </c>
      <c r="F725">
        <v>2</v>
      </c>
      <c r="G725" s="1">
        <v>5</v>
      </c>
      <c r="H725" s="1">
        <v>820488.14509999997</v>
      </c>
    </row>
    <row r="726" spans="1:8" x14ac:dyDescent="0.25">
      <c r="A726">
        <v>3848</v>
      </c>
      <c r="B726">
        <v>4</v>
      </c>
      <c r="C726">
        <v>2</v>
      </c>
      <c r="D726">
        <v>37</v>
      </c>
      <c r="E726" s="1">
        <v>27.90958822</v>
      </c>
      <c r="F726">
        <v>1</v>
      </c>
      <c r="G726" s="1">
        <v>3.019446818</v>
      </c>
      <c r="H726" s="1">
        <v>694902.99639999995</v>
      </c>
    </row>
    <row r="727" spans="1:8" x14ac:dyDescent="0.25">
      <c r="A727">
        <v>1712</v>
      </c>
      <c r="B727">
        <v>2</v>
      </c>
      <c r="C727">
        <v>3</v>
      </c>
      <c r="D727">
        <v>26</v>
      </c>
      <c r="E727" s="1">
        <v>10.09545586</v>
      </c>
      <c r="F727">
        <v>0</v>
      </c>
      <c r="G727" s="1">
        <v>5.5405263160000002</v>
      </c>
      <c r="H727" s="1">
        <v>547853.23450000002</v>
      </c>
    </row>
    <row r="728" spans="1:8" x14ac:dyDescent="0.25">
      <c r="A728">
        <v>1860</v>
      </c>
      <c r="B728">
        <v>2</v>
      </c>
      <c r="C728">
        <v>1</v>
      </c>
      <c r="D728">
        <v>33</v>
      </c>
      <c r="E728" s="1">
        <v>5.4078057719999997</v>
      </c>
      <c r="F728">
        <v>2</v>
      </c>
      <c r="G728" s="1">
        <v>3.3476432140000001</v>
      </c>
      <c r="H728" s="1">
        <v>440795.12469999999</v>
      </c>
    </row>
    <row r="729" spans="1:8" x14ac:dyDescent="0.25">
      <c r="A729">
        <v>3109</v>
      </c>
      <c r="B729">
        <v>1</v>
      </c>
      <c r="C729">
        <v>1</v>
      </c>
      <c r="D729">
        <v>14</v>
      </c>
      <c r="E729" s="1">
        <v>11.30413046</v>
      </c>
      <c r="F729">
        <v>1</v>
      </c>
      <c r="G729" s="1">
        <v>1.081783315</v>
      </c>
      <c r="H729" s="1">
        <v>421830.89740000002</v>
      </c>
    </row>
    <row r="730" spans="1:8" x14ac:dyDescent="0.25">
      <c r="A730">
        <v>2724</v>
      </c>
      <c r="B730">
        <v>1</v>
      </c>
      <c r="C730">
        <v>4</v>
      </c>
      <c r="D730">
        <v>31</v>
      </c>
      <c r="E730" s="1">
        <v>29.80893043</v>
      </c>
      <c r="F730">
        <v>2</v>
      </c>
      <c r="G730" s="1">
        <v>6.8346777459999997</v>
      </c>
      <c r="H730" s="1">
        <v>571225.06180000002</v>
      </c>
    </row>
    <row r="731" spans="1:8" x14ac:dyDescent="0.25">
      <c r="A731">
        <v>2133</v>
      </c>
      <c r="B731">
        <v>1</v>
      </c>
      <c r="C731">
        <v>1</v>
      </c>
      <c r="D731">
        <v>20</v>
      </c>
      <c r="E731" s="1">
        <v>18</v>
      </c>
      <c r="F731">
        <v>2</v>
      </c>
      <c r="G731" s="1">
        <v>5.5998443929999997</v>
      </c>
      <c r="H731" s="1">
        <v>493165.83159999998</v>
      </c>
    </row>
    <row r="732" spans="1:8" x14ac:dyDescent="0.25">
      <c r="A732">
        <v>2005</v>
      </c>
      <c r="B732">
        <v>1</v>
      </c>
      <c r="C732">
        <v>1</v>
      </c>
      <c r="D732">
        <v>4</v>
      </c>
      <c r="E732" s="1">
        <v>34.713514529999998</v>
      </c>
      <c r="F732">
        <v>0</v>
      </c>
      <c r="G732" s="1">
        <v>5.00966033</v>
      </c>
      <c r="H732" s="1">
        <v>512388.1692</v>
      </c>
    </row>
    <row r="733" spans="1:8" x14ac:dyDescent="0.25">
      <c r="A733">
        <v>2963</v>
      </c>
      <c r="B733">
        <v>5</v>
      </c>
      <c r="C733">
        <v>2</v>
      </c>
      <c r="D733">
        <v>20</v>
      </c>
      <c r="E733" s="1">
        <v>19.164600010000001</v>
      </c>
      <c r="F733">
        <v>0</v>
      </c>
      <c r="G733" s="1">
        <v>9.7027166319999996</v>
      </c>
      <c r="H733" s="1">
        <v>998077.00890000002</v>
      </c>
    </row>
    <row r="734" spans="1:8" x14ac:dyDescent="0.25">
      <c r="A734">
        <v>3821</v>
      </c>
      <c r="B734">
        <v>1</v>
      </c>
      <c r="C734">
        <v>4</v>
      </c>
      <c r="D734">
        <v>37</v>
      </c>
      <c r="E734" s="1">
        <v>34.477178170000002</v>
      </c>
      <c r="F734">
        <v>0</v>
      </c>
      <c r="G734" s="1">
        <v>6.1407926560000003</v>
      </c>
      <c r="H734" s="1">
        <v>706114.22389999998</v>
      </c>
    </row>
    <row r="735" spans="1:8" x14ac:dyDescent="0.25">
      <c r="A735">
        <v>3917</v>
      </c>
      <c r="B735">
        <v>5</v>
      </c>
      <c r="C735">
        <v>2</v>
      </c>
      <c r="D735">
        <v>21</v>
      </c>
      <c r="E735" s="1">
        <v>32.895376560000003</v>
      </c>
      <c r="F735">
        <v>2</v>
      </c>
      <c r="G735" s="1">
        <v>5</v>
      </c>
      <c r="H735" s="1">
        <v>1085815.9140000001</v>
      </c>
    </row>
    <row r="736" spans="1:8" x14ac:dyDescent="0.25">
      <c r="A736">
        <v>2797</v>
      </c>
      <c r="B736">
        <v>5</v>
      </c>
      <c r="C736">
        <v>3</v>
      </c>
      <c r="D736">
        <v>17</v>
      </c>
      <c r="E736" s="1">
        <v>16.122073140000001</v>
      </c>
      <c r="F736">
        <v>2</v>
      </c>
      <c r="G736" s="1">
        <v>2.2550521259999998</v>
      </c>
      <c r="H736" s="1">
        <v>691120.23049999995</v>
      </c>
    </row>
    <row r="737" spans="1:8" x14ac:dyDescent="0.25">
      <c r="A737">
        <v>4135</v>
      </c>
      <c r="B737">
        <v>1</v>
      </c>
      <c r="C737">
        <v>1</v>
      </c>
      <c r="D737">
        <v>13</v>
      </c>
      <c r="E737" s="1">
        <v>7.3479420739999997</v>
      </c>
      <c r="F737">
        <v>2</v>
      </c>
      <c r="G737" s="1">
        <v>6.1228581679999996</v>
      </c>
      <c r="H737" s="1">
        <v>758584.37289999996</v>
      </c>
    </row>
    <row r="738" spans="1:8" x14ac:dyDescent="0.25">
      <c r="A738">
        <v>3270</v>
      </c>
      <c r="B738">
        <v>3</v>
      </c>
      <c r="C738">
        <v>3</v>
      </c>
      <c r="D738">
        <v>9</v>
      </c>
      <c r="E738" s="1">
        <v>6.1885247909999999</v>
      </c>
      <c r="F738">
        <v>0</v>
      </c>
      <c r="G738" s="1">
        <v>5</v>
      </c>
      <c r="H738" s="1">
        <v>965062.68290000001</v>
      </c>
    </row>
    <row r="739" spans="1:8" x14ac:dyDescent="0.25">
      <c r="A739">
        <v>1560</v>
      </c>
      <c r="B739">
        <v>4</v>
      </c>
      <c r="C739">
        <v>2</v>
      </c>
      <c r="D739">
        <v>12</v>
      </c>
      <c r="E739" s="1">
        <v>8.7796330539999996</v>
      </c>
      <c r="F739">
        <v>1</v>
      </c>
      <c r="G739" s="1">
        <v>6.2479518159999996</v>
      </c>
      <c r="H739" s="1">
        <v>698486.1335</v>
      </c>
    </row>
    <row r="740" spans="1:8" x14ac:dyDescent="0.25">
      <c r="A740">
        <v>642</v>
      </c>
      <c r="B740">
        <v>2</v>
      </c>
      <c r="C740">
        <v>3</v>
      </c>
      <c r="D740">
        <v>30</v>
      </c>
      <c r="E740" s="1">
        <v>24.999576099999999</v>
      </c>
      <c r="F740">
        <v>2</v>
      </c>
      <c r="G740" s="1">
        <v>7.4621276029999999</v>
      </c>
      <c r="H740" s="1">
        <v>527111.4166</v>
      </c>
    </row>
    <row r="741" spans="1:8" x14ac:dyDescent="0.25">
      <c r="A741">
        <v>2773</v>
      </c>
      <c r="B741">
        <v>5</v>
      </c>
      <c r="C741">
        <v>1</v>
      </c>
      <c r="D741">
        <v>29</v>
      </c>
      <c r="E741" s="1">
        <v>9.9167748180000004</v>
      </c>
      <c r="F741">
        <v>2</v>
      </c>
      <c r="G741" s="1">
        <v>4.3483921099999998</v>
      </c>
      <c r="H741" s="1">
        <v>781222.32759999996</v>
      </c>
    </row>
    <row r="742" spans="1:8" x14ac:dyDescent="0.25">
      <c r="A742">
        <v>1463</v>
      </c>
      <c r="B742">
        <v>4</v>
      </c>
      <c r="C742">
        <v>2</v>
      </c>
      <c r="D742">
        <v>2</v>
      </c>
      <c r="E742" s="1">
        <v>12.2791718</v>
      </c>
      <c r="F742">
        <v>2</v>
      </c>
      <c r="G742" s="1">
        <v>1.832045653</v>
      </c>
      <c r="H742" s="1">
        <v>544415.06680000003</v>
      </c>
    </row>
    <row r="743" spans="1:8" x14ac:dyDescent="0.25">
      <c r="A743">
        <v>4724</v>
      </c>
      <c r="B743">
        <v>3</v>
      </c>
      <c r="C743">
        <v>2</v>
      </c>
      <c r="D743">
        <v>29</v>
      </c>
      <c r="E743" s="1">
        <v>15.982868740000001</v>
      </c>
      <c r="F743">
        <v>1</v>
      </c>
      <c r="G743" s="1">
        <v>5</v>
      </c>
      <c r="H743" s="1">
        <v>874451.49320000003</v>
      </c>
    </row>
    <row r="744" spans="1:8" x14ac:dyDescent="0.25">
      <c r="A744">
        <v>2995</v>
      </c>
      <c r="B744">
        <v>2</v>
      </c>
      <c r="C744">
        <v>2</v>
      </c>
      <c r="D744">
        <v>5</v>
      </c>
      <c r="E744" s="1">
        <v>32.006527470000002</v>
      </c>
      <c r="F744">
        <v>2</v>
      </c>
      <c r="G744" s="1">
        <v>4.5503145180000004</v>
      </c>
      <c r="H744" s="1">
        <v>592109.38419999997</v>
      </c>
    </row>
    <row r="745" spans="1:8" x14ac:dyDescent="0.25">
      <c r="A745">
        <v>1319</v>
      </c>
      <c r="B745">
        <v>2</v>
      </c>
      <c r="C745">
        <v>2</v>
      </c>
      <c r="D745">
        <v>28</v>
      </c>
      <c r="E745" s="1">
        <v>7.0340729169999996</v>
      </c>
      <c r="F745">
        <v>1</v>
      </c>
      <c r="G745" s="1">
        <v>8.8035416410000007</v>
      </c>
      <c r="H745" s="1">
        <v>606987.12379999994</v>
      </c>
    </row>
    <row r="746" spans="1:8" x14ac:dyDescent="0.25">
      <c r="A746">
        <v>405</v>
      </c>
      <c r="B746">
        <v>5</v>
      </c>
      <c r="C746">
        <v>2</v>
      </c>
      <c r="D746">
        <v>7</v>
      </c>
      <c r="E746" s="1">
        <v>0.67341606499999995</v>
      </c>
      <c r="F746">
        <v>2</v>
      </c>
      <c r="G746" s="1">
        <v>3.1959577210000001</v>
      </c>
      <c r="H746" s="1">
        <v>476786.68050000002</v>
      </c>
    </row>
    <row r="747" spans="1:8" x14ac:dyDescent="0.25">
      <c r="A747">
        <v>867</v>
      </c>
      <c r="B747">
        <v>1</v>
      </c>
      <c r="C747">
        <v>1</v>
      </c>
      <c r="D747">
        <v>32</v>
      </c>
      <c r="E747" s="1">
        <v>2.573326158</v>
      </c>
      <c r="F747">
        <v>1</v>
      </c>
      <c r="G747" s="1">
        <v>9.7006080479999994</v>
      </c>
      <c r="H747" s="1">
        <v>450278.69559999998</v>
      </c>
    </row>
    <row r="748" spans="1:8" x14ac:dyDescent="0.25">
      <c r="A748">
        <v>4570</v>
      </c>
      <c r="B748">
        <v>3</v>
      </c>
      <c r="C748">
        <v>2</v>
      </c>
      <c r="D748">
        <v>20</v>
      </c>
      <c r="E748" s="1">
        <v>31.714438789999999</v>
      </c>
      <c r="F748">
        <v>2</v>
      </c>
      <c r="G748" s="1">
        <v>5</v>
      </c>
      <c r="H748" s="1">
        <v>1054993.338</v>
      </c>
    </row>
    <row r="749" spans="1:8" x14ac:dyDescent="0.25">
      <c r="A749">
        <v>403</v>
      </c>
      <c r="B749">
        <v>5</v>
      </c>
      <c r="C749">
        <v>1</v>
      </c>
      <c r="D749">
        <v>10</v>
      </c>
      <c r="E749" s="1">
        <v>22.839318039999998</v>
      </c>
      <c r="F749">
        <v>0</v>
      </c>
      <c r="G749" s="1">
        <v>3.2286847879999998</v>
      </c>
      <c r="H749" s="1">
        <v>423214.29450000002</v>
      </c>
    </row>
    <row r="750" spans="1:8" x14ac:dyDescent="0.25">
      <c r="A750">
        <v>1045</v>
      </c>
      <c r="B750">
        <v>3</v>
      </c>
      <c r="C750">
        <v>1</v>
      </c>
      <c r="D750">
        <v>12</v>
      </c>
      <c r="E750" s="1">
        <v>9.9199013669999996</v>
      </c>
      <c r="F750">
        <v>0</v>
      </c>
      <c r="G750" s="1">
        <v>4.1324675989999999</v>
      </c>
      <c r="H750" s="1">
        <v>449838.52169999998</v>
      </c>
    </row>
    <row r="751" spans="1:8" x14ac:dyDescent="0.25">
      <c r="A751">
        <v>517</v>
      </c>
      <c r="B751">
        <v>1</v>
      </c>
      <c r="C751">
        <v>2</v>
      </c>
      <c r="D751">
        <v>20</v>
      </c>
      <c r="E751" s="1">
        <v>6.6131412850000002</v>
      </c>
      <c r="F751">
        <v>0</v>
      </c>
      <c r="G751" s="1">
        <v>9.060001668</v>
      </c>
      <c r="H751" s="1">
        <v>529734.74750000006</v>
      </c>
    </row>
    <row r="752" spans="1:8" x14ac:dyDescent="0.25">
      <c r="A752">
        <v>3328</v>
      </c>
      <c r="B752">
        <v>1</v>
      </c>
      <c r="C752">
        <v>2</v>
      </c>
      <c r="D752">
        <v>30</v>
      </c>
      <c r="E752" s="1">
        <v>10.652202409999999</v>
      </c>
      <c r="F752">
        <v>0</v>
      </c>
      <c r="G752" s="1">
        <v>9.6995999879999992</v>
      </c>
      <c r="H752" s="1">
        <v>835913.93240000005</v>
      </c>
    </row>
    <row r="753" spans="1:8" x14ac:dyDescent="0.25">
      <c r="A753">
        <v>2951</v>
      </c>
      <c r="B753">
        <v>5</v>
      </c>
      <c r="C753">
        <v>4</v>
      </c>
      <c r="D753">
        <v>27</v>
      </c>
      <c r="E753" s="1">
        <v>4.4604939899999998</v>
      </c>
      <c r="F753">
        <v>2</v>
      </c>
      <c r="G753" s="1">
        <v>4.9909519260000001</v>
      </c>
      <c r="H753" s="1">
        <v>837716.9031</v>
      </c>
    </row>
    <row r="754" spans="1:8" x14ac:dyDescent="0.25">
      <c r="A754">
        <v>4689</v>
      </c>
      <c r="B754">
        <v>1</v>
      </c>
      <c r="C754">
        <v>1</v>
      </c>
      <c r="D754">
        <v>5</v>
      </c>
      <c r="E754" s="1">
        <v>32.982885400000001</v>
      </c>
      <c r="F754">
        <v>0</v>
      </c>
      <c r="G754" s="1">
        <v>3.8889734109999998</v>
      </c>
      <c r="H754" s="1">
        <v>713069.57700000005</v>
      </c>
    </row>
    <row r="755" spans="1:8" x14ac:dyDescent="0.25">
      <c r="A755">
        <v>1246</v>
      </c>
      <c r="B755">
        <v>4</v>
      </c>
      <c r="C755">
        <v>2</v>
      </c>
      <c r="D755">
        <v>15</v>
      </c>
      <c r="E755" s="1">
        <v>27.55511302</v>
      </c>
      <c r="F755">
        <v>1</v>
      </c>
      <c r="G755" s="1">
        <v>5.7348461190000002</v>
      </c>
      <c r="H755" s="1">
        <v>507633.6053</v>
      </c>
    </row>
    <row r="756" spans="1:8" x14ac:dyDescent="0.25">
      <c r="A756">
        <v>3162</v>
      </c>
      <c r="B756">
        <v>2</v>
      </c>
      <c r="C756">
        <v>2</v>
      </c>
      <c r="D756">
        <v>3</v>
      </c>
      <c r="E756" s="1">
        <v>16.452495599999999</v>
      </c>
      <c r="F756">
        <v>0</v>
      </c>
      <c r="G756" s="1">
        <v>7.189922857</v>
      </c>
      <c r="H756" s="1">
        <v>885596.92279999994</v>
      </c>
    </row>
    <row r="757" spans="1:8" x14ac:dyDescent="0.25">
      <c r="A757">
        <v>1541</v>
      </c>
      <c r="B757">
        <v>5</v>
      </c>
      <c r="C757">
        <v>2</v>
      </c>
      <c r="D757">
        <v>34</v>
      </c>
      <c r="E757" s="1">
        <v>30.341209880000001</v>
      </c>
      <c r="F757">
        <v>0</v>
      </c>
      <c r="G757" s="1">
        <v>3.4612706379999998</v>
      </c>
      <c r="H757" s="1">
        <v>520531.52899999998</v>
      </c>
    </row>
    <row r="758" spans="1:8" x14ac:dyDescent="0.25">
      <c r="A758">
        <v>2210</v>
      </c>
      <c r="B758">
        <v>3</v>
      </c>
      <c r="C758">
        <v>4</v>
      </c>
      <c r="D758">
        <v>25</v>
      </c>
      <c r="E758" s="1">
        <v>9.1063080480000007</v>
      </c>
      <c r="F758">
        <v>0</v>
      </c>
      <c r="G758" s="1">
        <v>7.628258572</v>
      </c>
      <c r="H758" s="1">
        <v>765428.228</v>
      </c>
    </row>
    <row r="759" spans="1:8" x14ac:dyDescent="0.25">
      <c r="A759">
        <v>1123</v>
      </c>
      <c r="B759">
        <v>4</v>
      </c>
      <c r="C759">
        <v>4</v>
      </c>
      <c r="D759">
        <v>11</v>
      </c>
      <c r="E759" s="1">
        <v>25.240659610000002</v>
      </c>
      <c r="F759">
        <v>2</v>
      </c>
      <c r="G759" s="1">
        <v>1.464916214</v>
      </c>
      <c r="H759" s="1">
        <v>407056.0551</v>
      </c>
    </row>
    <row r="760" spans="1:8" x14ac:dyDescent="0.25">
      <c r="A760">
        <v>624</v>
      </c>
      <c r="B760">
        <v>5</v>
      </c>
      <c r="C760">
        <v>3</v>
      </c>
      <c r="D760">
        <v>10</v>
      </c>
      <c r="E760" s="1">
        <v>30.036571219999999</v>
      </c>
      <c r="F760">
        <v>1</v>
      </c>
      <c r="G760" s="1">
        <v>1.4436504349999999</v>
      </c>
      <c r="H760" s="1">
        <v>554354.05570000003</v>
      </c>
    </row>
    <row r="761" spans="1:8" x14ac:dyDescent="0.25">
      <c r="A761">
        <v>4608</v>
      </c>
      <c r="B761">
        <v>1</v>
      </c>
      <c r="C761">
        <v>1</v>
      </c>
      <c r="D761">
        <v>36</v>
      </c>
      <c r="E761" s="1">
        <v>12.808520550000001</v>
      </c>
      <c r="F761">
        <v>1</v>
      </c>
      <c r="G761" s="1">
        <v>4.4765893459999999</v>
      </c>
      <c r="H761" s="1">
        <v>667144.39139999996</v>
      </c>
    </row>
    <row r="762" spans="1:8" x14ac:dyDescent="0.25">
      <c r="A762">
        <v>2448</v>
      </c>
      <c r="B762">
        <v>1</v>
      </c>
      <c r="C762">
        <v>3</v>
      </c>
      <c r="D762">
        <v>24</v>
      </c>
      <c r="E762" s="1">
        <v>26.632523370000001</v>
      </c>
      <c r="F762">
        <v>0</v>
      </c>
      <c r="G762" s="1">
        <v>4.1812587289999996</v>
      </c>
      <c r="H762" s="1">
        <v>491619.1678</v>
      </c>
    </row>
    <row r="763" spans="1:8" x14ac:dyDescent="0.25">
      <c r="A763">
        <v>4815</v>
      </c>
      <c r="B763">
        <v>1</v>
      </c>
      <c r="C763">
        <v>2</v>
      </c>
      <c r="D763">
        <v>17</v>
      </c>
      <c r="E763" s="1">
        <v>10.67999605</v>
      </c>
      <c r="F763">
        <v>0</v>
      </c>
      <c r="G763" s="1">
        <v>3.8406989380000001</v>
      </c>
      <c r="H763" s="1">
        <v>812199.80530000001</v>
      </c>
    </row>
    <row r="764" spans="1:8" x14ac:dyDescent="0.25">
      <c r="A764">
        <v>1973</v>
      </c>
      <c r="B764">
        <v>1</v>
      </c>
      <c r="C764">
        <v>4</v>
      </c>
      <c r="D764">
        <v>18</v>
      </c>
      <c r="E764" s="1">
        <v>10.810571169999999</v>
      </c>
      <c r="F764">
        <v>0</v>
      </c>
      <c r="G764" s="1">
        <v>5.4191778639999999</v>
      </c>
      <c r="H764" s="1">
        <v>601321.90610000002</v>
      </c>
    </row>
    <row r="765" spans="1:8" x14ac:dyDescent="0.25">
      <c r="A765">
        <v>2228</v>
      </c>
      <c r="B765">
        <v>3</v>
      </c>
      <c r="C765">
        <v>4</v>
      </c>
      <c r="D765">
        <v>22</v>
      </c>
      <c r="E765" s="1">
        <v>4.1934726600000003</v>
      </c>
      <c r="F765">
        <v>1</v>
      </c>
      <c r="G765" s="1">
        <v>3.8866022409999998</v>
      </c>
      <c r="H765" s="1">
        <v>690430.48340000003</v>
      </c>
    </row>
    <row r="766" spans="1:8" x14ac:dyDescent="0.25">
      <c r="A766">
        <v>2317</v>
      </c>
      <c r="B766">
        <v>4</v>
      </c>
      <c r="C766">
        <v>3</v>
      </c>
      <c r="D766">
        <v>37</v>
      </c>
      <c r="E766" s="1">
        <v>15.682002600000001</v>
      </c>
      <c r="F766">
        <v>0</v>
      </c>
      <c r="G766" s="1">
        <v>2.7303212659999998</v>
      </c>
      <c r="H766" s="1">
        <v>670110.27209999994</v>
      </c>
    </row>
    <row r="767" spans="1:8" x14ac:dyDescent="0.25">
      <c r="A767">
        <v>4634</v>
      </c>
      <c r="B767">
        <v>3</v>
      </c>
      <c r="C767">
        <v>4</v>
      </c>
      <c r="D767">
        <v>17</v>
      </c>
      <c r="E767" s="1">
        <v>25.675060770000002</v>
      </c>
      <c r="F767">
        <v>1</v>
      </c>
      <c r="G767" s="1">
        <v>3.7852259419999998</v>
      </c>
      <c r="H767" s="1">
        <v>880284.32929999998</v>
      </c>
    </row>
    <row r="768" spans="1:8" x14ac:dyDescent="0.25">
      <c r="A768">
        <v>2426</v>
      </c>
      <c r="B768">
        <v>3</v>
      </c>
      <c r="C768">
        <v>2</v>
      </c>
      <c r="D768">
        <v>25</v>
      </c>
      <c r="E768" s="1">
        <v>32.937617789999997</v>
      </c>
      <c r="F768">
        <v>1</v>
      </c>
      <c r="G768" s="1">
        <v>9.7741384549999992</v>
      </c>
      <c r="H768" s="1">
        <v>739877.57149999996</v>
      </c>
    </row>
    <row r="769" spans="1:8" x14ac:dyDescent="0.25">
      <c r="A769">
        <v>4144</v>
      </c>
      <c r="B769">
        <v>3</v>
      </c>
      <c r="C769">
        <v>4</v>
      </c>
      <c r="D769">
        <v>5</v>
      </c>
      <c r="E769" s="1">
        <v>21.330996219999999</v>
      </c>
      <c r="F769">
        <v>0</v>
      </c>
      <c r="G769" s="1">
        <v>4.7000207530000004</v>
      </c>
      <c r="H769" s="1">
        <v>900437.07949999999</v>
      </c>
    </row>
    <row r="770" spans="1:8" x14ac:dyDescent="0.25">
      <c r="A770">
        <v>1301</v>
      </c>
      <c r="B770">
        <v>2</v>
      </c>
      <c r="C770">
        <v>3</v>
      </c>
      <c r="D770">
        <v>3</v>
      </c>
      <c r="E770" s="1">
        <v>30.278176049999999</v>
      </c>
      <c r="F770">
        <v>1</v>
      </c>
      <c r="G770" s="1">
        <v>5.0024149920000003</v>
      </c>
      <c r="H770" s="1">
        <v>510190.95419999998</v>
      </c>
    </row>
    <row r="771" spans="1:8" x14ac:dyDescent="0.25">
      <c r="A771">
        <v>2439</v>
      </c>
      <c r="B771">
        <v>2</v>
      </c>
      <c r="C771">
        <v>2</v>
      </c>
      <c r="D771">
        <v>28</v>
      </c>
      <c r="E771" s="1">
        <v>28.876065400000002</v>
      </c>
      <c r="F771">
        <v>2</v>
      </c>
      <c r="G771" s="1">
        <v>6.1889049099999998</v>
      </c>
      <c r="H771" s="1">
        <v>704333.40040000004</v>
      </c>
    </row>
    <row r="772" spans="1:8" x14ac:dyDescent="0.25">
      <c r="A772">
        <v>409</v>
      </c>
      <c r="B772">
        <v>1</v>
      </c>
      <c r="C772">
        <v>3</v>
      </c>
      <c r="D772">
        <v>33</v>
      </c>
      <c r="E772" s="1">
        <v>6.4803353279999998</v>
      </c>
      <c r="F772">
        <v>0</v>
      </c>
      <c r="G772" s="1">
        <v>9.8500669159999994</v>
      </c>
      <c r="H772" s="1">
        <v>437471.89970000001</v>
      </c>
    </row>
    <row r="773" spans="1:8" x14ac:dyDescent="0.25">
      <c r="A773">
        <v>660</v>
      </c>
      <c r="B773">
        <v>3</v>
      </c>
      <c r="C773">
        <v>4</v>
      </c>
      <c r="D773">
        <v>16</v>
      </c>
      <c r="E773" s="1">
        <v>17.260701300000001</v>
      </c>
      <c r="F773">
        <v>0</v>
      </c>
      <c r="G773" s="1">
        <v>3.1744114880000001</v>
      </c>
      <c r="H773" s="1">
        <v>478414.2328</v>
      </c>
    </row>
    <row r="774" spans="1:8" x14ac:dyDescent="0.25">
      <c r="A774">
        <v>2073</v>
      </c>
      <c r="B774">
        <v>5</v>
      </c>
      <c r="C774">
        <v>3</v>
      </c>
      <c r="D774">
        <v>15</v>
      </c>
      <c r="E774" s="1">
        <v>4.5338619759999998</v>
      </c>
      <c r="F774">
        <v>1</v>
      </c>
      <c r="G774" s="1">
        <v>7.1315389949999997</v>
      </c>
      <c r="H774" s="1">
        <v>846216.48529999994</v>
      </c>
    </row>
    <row r="775" spans="1:8" x14ac:dyDescent="0.25">
      <c r="A775">
        <v>2619</v>
      </c>
      <c r="B775">
        <v>2</v>
      </c>
      <c r="C775">
        <v>3</v>
      </c>
      <c r="D775">
        <v>1</v>
      </c>
      <c r="E775" s="1">
        <v>24.034284069999998</v>
      </c>
      <c r="F775">
        <v>1</v>
      </c>
      <c r="G775" s="1">
        <v>7.4438622419999998</v>
      </c>
      <c r="H775" s="1">
        <v>805874.59030000004</v>
      </c>
    </row>
    <row r="776" spans="1:8" x14ac:dyDescent="0.25">
      <c r="A776">
        <v>2460</v>
      </c>
      <c r="B776">
        <v>3</v>
      </c>
      <c r="C776">
        <v>1</v>
      </c>
      <c r="D776">
        <v>33</v>
      </c>
      <c r="E776" s="1">
        <v>33.271538550000002</v>
      </c>
      <c r="F776">
        <v>0</v>
      </c>
      <c r="G776" s="1">
        <v>6.4659197510000004</v>
      </c>
      <c r="H776" s="1">
        <v>562829.74639999995</v>
      </c>
    </row>
    <row r="777" spans="1:8" x14ac:dyDescent="0.25">
      <c r="A777">
        <v>4113</v>
      </c>
      <c r="B777">
        <v>4</v>
      </c>
      <c r="C777">
        <v>4</v>
      </c>
      <c r="D777">
        <v>7</v>
      </c>
      <c r="E777" s="1">
        <v>5.2295863039999997</v>
      </c>
      <c r="F777">
        <v>2</v>
      </c>
      <c r="G777" s="1">
        <v>1.797205057</v>
      </c>
      <c r="H777" s="1">
        <v>821482.19129999995</v>
      </c>
    </row>
    <row r="778" spans="1:8" x14ac:dyDescent="0.25">
      <c r="A778">
        <v>2019</v>
      </c>
      <c r="B778">
        <v>5</v>
      </c>
      <c r="C778">
        <v>4</v>
      </c>
      <c r="D778">
        <v>12</v>
      </c>
      <c r="E778" s="1">
        <v>25.818968009999999</v>
      </c>
      <c r="F778">
        <v>1</v>
      </c>
      <c r="G778" s="1">
        <v>7.0918504819999999</v>
      </c>
      <c r="H778" s="1">
        <v>870769.20620000002</v>
      </c>
    </row>
    <row r="779" spans="1:8" x14ac:dyDescent="0.25">
      <c r="A779">
        <v>720</v>
      </c>
      <c r="B779">
        <v>5</v>
      </c>
      <c r="C779">
        <v>3</v>
      </c>
      <c r="D779">
        <v>20</v>
      </c>
      <c r="E779" s="1">
        <v>22.312216200000002</v>
      </c>
      <c r="F779">
        <v>1</v>
      </c>
      <c r="G779" s="1">
        <v>1.5768523990000001</v>
      </c>
      <c r="H779" s="1">
        <v>474727.32299999997</v>
      </c>
    </row>
    <row r="780" spans="1:8" x14ac:dyDescent="0.25">
      <c r="A780">
        <v>1742</v>
      </c>
      <c r="B780">
        <v>2</v>
      </c>
      <c r="C780">
        <v>1</v>
      </c>
      <c r="D780">
        <v>29</v>
      </c>
      <c r="E780" s="1">
        <v>20.634373780000001</v>
      </c>
      <c r="F780">
        <v>2</v>
      </c>
      <c r="G780" s="1">
        <v>6.3652838459999996</v>
      </c>
      <c r="H780" s="1">
        <v>553302.64150000003</v>
      </c>
    </row>
    <row r="781" spans="1:8" x14ac:dyDescent="0.25">
      <c r="A781">
        <v>2776</v>
      </c>
      <c r="B781">
        <v>1</v>
      </c>
      <c r="C781">
        <v>4</v>
      </c>
      <c r="D781">
        <v>31</v>
      </c>
      <c r="E781" s="1">
        <v>13.9591481</v>
      </c>
      <c r="F781">
        <v>2</v>
      </c>
      <c r="G781" s="1">
        <v>7.6562305950000002</v>
      </c>
      <c r="H781" s="1">
        <v>725765.26989999996</v>
      </c>
    </row>
    <row r="782" spans="1:8" x14ac:dyDescent="0.25">
      <c r="A782">
        <v>3232</v>
      </c>
      <c r="B782">
        <v>4</v>
      </c>
      <c r="C782">
        <v>2</v>
      </c>
      <c r="D782">
        <v>35</v>
      </c>
      <c r="E782" s="1">
        <v>12.752041849999999</v>
      </c>
      <c r="F782">
        <v>0</v>
      </c>
      <c r="G782" s="1">
        <v>2.8987290159999999</v>
      </c>
      <c r="H782" s="1">
        <v>644669.99670000002</v>
      </c>
    </row>
    <row r="783" spans="1:8" x14ac:dyDescent="0.25">
      <c r="A783">
        <v>3224</v>
      </c>
      <c r="B783">
        <v>5</v>
      </c>
      <c r="C783">
        <v>3</v>
      </c>
      <c r="D783">
        <v>29</v>
      </c>
      <c r="E783" s="1">
        <v>2.0610970210000001</v>
      </c>
      <c r="F783">
        <v>2</v>
      </c>
      <c r="G783" s="1">
        <v>8.5745980680000002</v>
      </c>
      <c r="H783" s="1">
        <v>930832.92740000004</v>
      </c>
    </row>
    <row r="784" spans="1:8" x14ac:dyDescent="0.25">
      <c r="A784">
        <v>2394</v>
      </c>
      <c r="B784">
        <v>2</v>
      </c>
      <c r="C784">
        <v>4</v>
      </c>
      <c r="D784">
        <v>0</v>
      </c>
      <c r="E784" s="1">
        <v>8.0178504349999997</v>
      </c>
      <c r="F784">
        <v>0</v>
      </c>
      <c r="G784" s="1">
        <v>1.2731842499999999</v>
      </c>
      <c r="H784" s="1">
        <v>587149.25769999996</v>
      </c>
    </row>
    <row r="785" spans="1:8" x14ac:dyDescent="0.25">
      <c r="A785">
        <v>3358</v>
      </c>
      <c r="B785">
        <v>5</v>
      </c>
      <c r="C785">
        <v>2</v>
      </c>
      <c r="D785">
        <v>38</v>
      </c>
      <c r="E785" s="1">
        <v>18</v>
      </c>
      <c r="F785">
        <v>2</v>
      </c>
      <c r="G785" s="1">
        <v>8.5943157729999999</v>
      </c>
      <c r="H785" s="1">
        <v>1000391.701</v>
      </c>
    </row>
    <row r="786" spans="1:8" x14ac:dyDescent="0.25">
      <c r="A786">
        <v>2438</v>
      </c>
      <c r="B786">
        <v>4</v>
      </c>
      <c r="C786">
        <v>4</v>
      </c>
      <c r="D786">
        <v>16</v>
      </c>
      <c r="E786" s="1">
        <v>20.558890139999999</v>
      </c>
      <c r="F786">
        <v>1</v>
      </c>
      <c r="G786" s="1">
        <v>5.1429614560000001</v>
      </c>
      <c r="H786" s="1">
        <v>707150.99140000006</v>
      </c>
    </row>
    <row r="787" spans="1:8" x14ac:dyDescent="0.25">
      <c r="A787">
        <v>3890</v>
      </c>
      <c r="B787">
        <v>4</v>
      </c>
      <c r="C787">
        <v>2</v>
      </c>
      <c r="D787">
        <v>20</v>
      </c>
      <c r="E787" s="1">
        <v>4.1519366379999996</v>
      </c>
      <c r="F787">
        <v>0</v>
      </c>
      <c r="G787" s="1">
        <v>2.9582914589999998</v>
      </c>
      <c r="H787" s="1">
        <v>773975.06980000006</v>
      </c>
    </row>
    <row r="788" spans="1:8" x14ac:dyDescent="0.25">
      <c r="A788">
        <v>4077</v>
      </c>
      <c r="B788">
        <v>3</v>
      </c>
      <c r="C788">
        <v>3</v>
      </c>
      <c r="D788">
        <v>23</v>
      </c>
      <c r="E788" s="1">
        <v>30.61916909</v>
      </c>
      <c r="F788">
        <v>0</v>
      </c>
      <c r="G788" s="1">
        <v>2.2040033050000001</v>
      </c>
      <c r="H788" s="1">
        <v>702133.43799999997</v>
      </c>
    </row>
    <row r="789" spans="1:8" x14ac:dyDescent="0.25">
      <c r="A789">
        <v>1518</v>
      </c>
      <c r="B789">
        <v>3</v>
      </c>
      <c r="C789">
        <v>4</v>
      </c>
      <c r="D789">
        <v>21</v>
      </c>
      <c r="E789" s="1">
        <v>18.54843421</v>
      </c>
      <c r="F789">
        <v>0</v>
      </c>
      <c r="G789" s="1">
        <v>9.5797645080000002</v>
      </c>
      <c r="H789" s="1">
        <v>641378.70739999996</v>
      </c>
    </row>
    <row r="790" spans="1:8" x14ac:dyDescent="0.25">
      <c r="A790">
        <v>2004</v>
      </c>
      <c r="B790">
        <v>4</v>
      </c>
      <c r="C790">
        <v>4</v>
      </c>
      <c r="D790">
        <v>28</v>
      </c>
      <c r="E790" s="1">
        <v>24.63930186</v>
      </c>
      <c r="F790">
        <v>2</v>
      </c>
      <c r="G790" s="1">
        <v>1.6539902879999999</v>
      </c>
      <c r="H790" s="1">
        <v>492796.53889999999</v>
      </c>
    </row>
    <row r="791" spans="1:8" x14ac:dyDescent="0.25">
      <c r="A791">
        <v>4427</v>
      </c>
      <c r="B791">
        <v>3</v>
      </c>
      <c r="C791">
        <v>1</v>
      </c>
      <c r="D791">
        <v>21</v>
      </c>
      <c r="E791" s="1">
        <v>18</v>
      </c>
      <c r="F791">
        <v>1</v>
      </c>
      <c r="G791" s="1">
        <v>5</v>
      </c>
      <c r="H791" s="1">
        <v>702210.25879999995</v>
      </c>
    </row>
    <row r="792" spans="1:8" x14ac:dyDescent="0.25">
      <c r="A792">
        <v>635</v>
      </c>
      <c r="B792">
        <v>3</v>
      </c>
      <c r="C792">
        <v>3</v>
      </c>
      <c r="D792">
        <v>8</v>
      </c>
      <c r="E792" s="1">
        <v>19.840003410000001</v>
      </c>
      <c r="F792">
        <v>0</v>
      </c>
      <c r="G792" s="1">
        <v>4.1304011269999998</v>
      </c>
      <c r="H792" s="1">
        <v>415032.0894</v>
      </c>
    </row>
    <row r="793" spans="1:8" x14ac:dyDescent="0.25">
      <c r="A793">
        <v>2369</v>
      </c>
      <c r="B793">
        <v>5</v>
      </c>
      <c r="C793">
        <v>2</v>
      </c>
      <c r="D793">
        <v>36</v>
      </c>
      <c r="E793" s="1">
        <v>33.021741609999999</v>
      </c>
      <c r="F793">
        <v>0</v>
      </c>
      <c r="G793" s="1">
        <v>6.5821136410000003</v>
      </c>
      <c r="H793" s="1">
        <v>699097.05830000003</v>
      </c>
    </row>
    <row r="794" spans="1:8" x14ac:dyDescent="0.25">
      <c r="A794">
        <v>4829</v>
      </c>
      <c r="B794">
        <v>5</v>
      </c>
      <c r="C794">
        <v>4</v>
      </c>
      <c r="D794">
        <v>9</v>
      </c>
      <c r="E794" s="1">
        <v>3.3543243669999998</v>
      </c>
      <c r="F794">
        <v>0</v>
      </c>
      <c r="G794" s="1">
        <v>5.9032097669999999</v>
      </c>
      <c r="H794" s="1">
        <v>1081226.6580000001</v>
      </c>
    </row>
    <row r="795" spans="1:8" x14ac:dyDescent="0.25">
      <c r="A795">
        <v>2308</v>
      </c>
      <c r="B795">
        <v>3</v>
      </c>
      <c r="C795">
        <v>4</v>
      </c>
      <c r="D795">
        <v>35</v>
      </c>
      <c r="E795" s="1">
        <v>9.2608531309999993</v>
      </c>
      <c r="F795">
        <v>0</v>
      </c>
      <c r="G795" s="1">
        <v>2.1307914320000001</v>
      </c>
      <c r="H795" s="1">
        <v>649429.88910000003</v>
      </c>
    </row>
    <row r="796" spans="1:8" x14ac:dyDescent="0.25">
      <c r="A796">
        <v>775</v>
      </c>
      <c r="B796">
        <v>5</v>
      </c>
      <c r="C796">
        <v>2</v>
      </c>
      <c r="D796">
        <v>36</v>
      </c>
      <c r="E796" s="1">
        <v>27.40959728</v>
      </c>
      <c r="F796">
        <v>1</v>
      </c>
      <c r="G796" s="1">
        <v>3.607551854</v>
      </c>
      <c r="H796" s="1">
        <v>496814.71480000002</v>
      </c>
    </row>
    <row r="797" spans="1:8" x14ac:dyDescent="0.25">
      <c r="A797">
        <v>3930</v>
      </c>
      <c r="B797">
        <v>4</v>
      </c>
      <c r="C797">
        <v>3</v>
      </c>
      <c r="D797">
        <v>27</v>
      </c>
      <c r="E797" s="1">
        <v>3.9064336370000001</v>
      </c>
      <c r="F797">
        <v>2</v>
      </c>
      <c r="G797" s="1">
        <v>3.1487659400000001</v>
      </c>
      <c r="H797" s="1">
        <v>788740.01610000001</v>
      </c>
    </row>
    <row r="798" spans="1:8" x14ac:dyDescent="0.25">
      <c r="A798">
        <v>3035</v>
      </c>
      <c r="B798">
        <v>1</v>
      </c>
      <c r="C798">
        <v>1</v>
      </c>
      <c r="D798">
        <v>27</v>
      </c>
      <c r="E798" s="1">
        <v>3.1103080849999998</v>
      </c>
      <c r="F798">
        <v>1</v>
      </c>
      <c r="G798" s="1">
        <v>2.9218856899999999</v>
      </c>
      <c r="H798" s="1">
        <v>516031.03529999999</v>
      </c>
    </row>
    <row r="799" spans="1:8" x14ac:dyDescent="0.25">
      <c r="A799">
        <v>1970</v>
      </c>
      <c r="B799">
        <v>4</v>
      </c>
      <c r="C799">
        <v>1</v>
      </c>
      <c r="D799">
        <v>20</v>
      </c>
      <c r="E799" s="1">
        <v>12.973178259999999</v>
      </c>
      <c r="F799">
        <v>0</v>
      </c>
      <c r="G799" s="1">
        <v>4.7002990279999999</v>
      </c>
      <c r="H799" s="1">
        <v>615825.44819999998</v>
      </c>
    </row>
    <row r="800" spans="1:8" x14ac:dyDescent="0.25">
      <c r="A800">
        <v>2960</v>
      </c>
      <c r="B800">
        <v>3</v>
      </c>
      <c r="C800">
        <v>4</v>
      </c>
      <c r="D800">
        <v>23</v>
      </c>
      <c r="E800" s="1">
        <v>3.6797945670000001</v>
      </c>
      <c r="F800">
        <v>1</v>
      </c>
      <c r="G800" s="1">
        <v>7.3362830729999997</v>
      </c>
      <c r="H800" s="1">
        <v>926685.92379999999</v>
      </c>
    </row>
    <row r="801" spans="1:8" x14ac:dyDescent="0.25">
      <c r="A801">
        <v>3791</v>
      </c>
      <c r="B801">
        <v>3</v>
      </c>
      <c r="C801">
        <v>3</v>
      </c>
      <c r="D801">
        <v>39</v>
      </c>
      <c r="E801" s="1">
        <v>20.685206260000001</v>
      </c>
      <c r="F801">
        <v>0</v>
      </c>
      <c r="G801" s="1">
        <v>2.9570763900000001</v>
      </c>
      <c r="H801" s="1">
        <v>633244.99490000005</v>
      </c>
    </row>
    <row r="802" spans="1:8" x14ac:dyDescent="0.25">
      <c r="A802">
        <v>3365</v>
      </c>
      <c r="B802">
        <v>4</v>
      </c>
      <c r="C802">
        <v>4</v>
      </c>
      <c r="D802">
        <v>1</v>
      </c>
      <c r="E802" s="1">
        <v>8.3064961529999994</v>
      </c>
      <c r="F802">
        <v>2</v>
      </c>
      <c r="G802" s="1">
        <v>4.3001099170000003</v>
      </c>
      <c r="H802" s="1">
        <v>935949.99170000001</v>
      </c>
    </row>
    <row r="803" spans="1:8" x14ac:dyDescent="0.25">
      <c r="A803">
        <v>4043</v>
      </c>
      <c r="B803">
        <v>5</v>
      </c>
      <c r="C803">
        <v>2</v>
      </c>
      <c r="D803">
        <v>7</v>
      </c>
      <c r="E803" s="1">
        <v>31.401579730000002</v>
      </c>
      <c r="F803">
        <v>2</v>
      </c>
      <c r="G803" s="1">
        <v>4.5182568420000004</v>
      </c>
      <c r="H803" s="1">
        <v>887392.63890000002</v>
      </c>
    </row>
    <row r="804" spans="1:8" x14ac:dyDescent="0.25">
      <c r="A804">
        <v>4250</v>
      </c>
      <c r="B804">
        <v>5</v>
      </c>
      <c r="C804">
        <v>1</v>
      </c>
      <c r="D804">
        <v>26</v>
      </c>
      <c r="E804" s="1">
        <v>27.530752790000001</v>
      </c>
      <c r="F804">
        <v>2</v>
      </c>
      <c r="G804" s="1">
        <v>9.7881087650000005</v>
      </c>
      <c r="H804" s="1">
        <v>1021435.101</v>
      </c>
    </row>
    <row r="805" spans="1:8" x14ac:dyDescent="0.25">
      <c r="A805">
        <v>1272</v>
      </c>
      <c r="B805">
        <v>3</v>
      </c>
      <c r="C805">
        <v>3</v>
      </c>
      <c r="D805">
        <v>21</v>
      </c>
      <c r="E805" s="1">
        <v>24.63982961</v>
      </c>
      <c r="F805">
        <v>0</v>
      </c>
      <c r="G805" s="1">
        <v>9.5919972120000008</v>
      </c>
      <c r="H805" s="1">
        <v>733566.97199999995</v>
      </c>
    </row>
    <row r="806" spans="1:8" x14ac:dyDescent="0.25">
      <c r="A806">
        <v>1652</v>
      </c>
      <c r="B806">
        <v>2</v>
      </c>
      <c r="C806">
        <v>2</v>
      </c>
      <c r="D806">
        <v>36</v>
      </c>
      <c r="E806" s="1">
        <v>21.78456894</v>
      </c>
      <c r="F806">
        <v>1</v>
      </c>
      <c r="G806" s="1">
        <v>8.2012382450000008</v>
      </c>
      <c r="H806" s="1">
        <v>646150.59759999998</v>
      </c>
    </row>
    <row r="807" spans="1:8" x14ac:dyDescent="0.25">
      <c r="A807">
        <v>1714</v>
      </c>
      <c r="B807">
        <v>5</v>
      </c>
      <c r="C807">
        <v>1</v>
      </c>
      <c r="D807">
        <v>26</v>
      </c>
      <c r="E807" s="1">
        <v>30.289567699999999</v>
      </c>
      <c r="F807">
        <v>2</v>
      </c>
      <c r="G807" s="1">
        <v>3.174930287</v>
      </c>
      <c r="H807" s="1">
        <v>644638.30859999999</v>
      </c>
    </row>
    <row r="808" spans="1:8" x14ac:dyDescent="0.25">
      <c r="A808">
        <v>3298</v>
      </c>
      <c r="B808">
        <v>4</v>
      </c>
      <c r="C808">
        <v>4</v>
      </c>
      <c r="D808">
        <v>28</v>
      </c>
      <c r="E808" s="1">
        <v>8.1956411229999997</v>
      </c>
      <c r="F808">
        <v>0</v>
      </c>
      <c r="G808" s="1">
        <v>1.6123358270000001</v>
      </c>
      <c r="H808" s="1">
        <v>651973.70810000005</v>
      </c>
    </row>
    <row r="809" spans="1:8" x14ac:dyDescent="0.25">
      <c r="A809">
        <v>477</v>
      </c>
      <c r="B809">
        <v>5</v>
      </c>
      <c r="C809">
        <v>2</v>
      </c>
      <c r="D809">
        <v>2</v>
      </c>
      <c r="E809" s="1">
        <v>30.622255079999999</v>
      </c>
      <c r="F809">
        <v>0</v>
      </c>
      <c r="G809" s="1">
        <v>3.8521372390000002</v>
      </c>
      <c r="H809" s="1">
        <v>506338.09120000002</v>
      </c>
    </row>
    <row r="810" spans="1:8" x14ac:dyDescent="0.25">
      <c r="A810">
        <v>3021</v>
      </c>
      <c r="B810">
        <v>4</v>
      </c>
      <c r="C810">
        <v>3</v>
      </c>
      <c r="D810">
        <v>12</v>
      </c>
      <c r="E810" s="1">
        <v>27.737484299999998</v>
      </c>
      <c r="F810">
        <v>1</v>
      </c>
      <c r="G810" s="1">
        <v>3.4011509449999999</v>
      </c>
      <c r="H810" s="1">
        <v>702469.74919999996</v>
      </c>
    </row>
    <row r="811" spans="1:8" x14ac:dyDescent="0.25">
      <c r="A811">
        <v>4627</v>
      </c>
      <c r="B811">
        <v>3</v>
      </c>
      <c r="C811">
        <v>4</v>
      </c>
      <c r="D811">
        <v>9</v>
      </c>
      <c r="E811" s="1">
        <v>26.311548510000001</v>
      </c>
      <c r="F811">
        <v>2</v>
      </c>
      <c r="G811" s="1">
        <v>5.5533322009999999</v>
      </c>
      <c r="H811" s="1">
        <v>1029073.901</v>
      </c>
    </row>
    <row r="812" spans="1:8" x14ac:dyDescent="0.25">
      <c r="A812">
        <v>1000</v>
      </c>
      <c r="B812">
        <v>5</v>
      </c>
      <c r="C812">
        <v>4</v>
      </c>
      <c r="D812">
        <v>35</v>
      </c>
      <c r="E812" s="1">
        <v>19.863320890000001</v>
      </c>
      <c r="F812">
        <v>0</v>
      </c>
      <c r="G812" s="1">
        <v>7.9995511910000001</v>
      </c>
      <c r="H812" s="1">
        <v>636662.58869999996</v>
      </c>
    </row>
    <row r="813" spans="1:8" x14ac:dyDescent="0.25">
      <c r="A813">
        <v>1465</v>
      </c>
      <c r="B813">
        <v>4</v>
      </c>
      <c r="C813">
        <v>1</v>
      </c>
      <c r="D813">
        <v>20</v>
      </c>
      <c r="E813" s="1">
        <v>8.9954235530000002</v>
      </c>
      <c r="F813">
        <v>1</v>
      </c>
      <c r="G813" s="1">
        <v>8.7249064500000006</v>
      </c>
      <c r="H813" s="1">
        <v>662164.63390000002</v>
      </c>
    </row>
    <row r="814" spans="1:8" x14ac:dyDescent="0.25">
      <c r="A814">
        <v>2536</v>
      </c>
      <c r="B814">
        <v>3</v>
      </c>
      <c r="C814">
        <v>2</v>
      </c>
      <c r="D814">
        <v>26</v>
      </c>
      <c r="E814" s="1">
        <v>15.1124031</v>
      </c>
      <c r="F814">
        <v>2</v>
      </c>
      <c r="G814" s="1">
        <v>8.6037767689999995</v>
      </c>
      <c r="H814" s="1">
        <v>745008.72490000003</v>
      </c>
    </row>
    <row r="815" spans="1:8" x14ac:dyDescent="0.25">
      <c r="A815">
        <v>2849</v>
      </c>
      <c r="B815">
        <v>2</v>
      </c>
      <c r="C815">
        <v>4</v>
      </c>
      <c r="D815">
        <v>33</v>
      </c>
      <c r="E815" s="1">
        <v>27.878187579999999</v>
      </c>
      <c r="F815">
        <v>1</v>
      </c>
      <c r="G815" s="1">
        <v>4.2370800510000004</v>
      </c>
      <c r="H815" s="1">
        <v>627494.12300000002</v>
      </c>
    </row>
    <row r="816" spans="1:8" x14ac:dyDescent="0.25">
      <c r="A816">
        <v>2743</v>
      </c>
      <c r="B816">
        <v>4</v>
      </c>
      <c r="C816">
        <v>3</v>
      </c>
      <c r="D816">
        <v>0</v>
      </c>
      <c r="E816" s="1">
        <v>1.5963577099999999</v>
      </c>
      <c r="F816">
        <v>1</v>
      </c>
      <c r="G816" s="1">
        <v>7.1851090910000002</v>
      </c>
      <c r="H816" s="1">
        <v>872115.76379999996</v>
      </c>
    </row>
    <row r="817" spans="1:8" x14ac:dyDescent="0.25">
      <c r="A817">
        <v>2263</v>
      </c>
      <c r="B817">
        <v>2</v>
      </c>
      <c r="C817">
        <v>2</v>
      </c>
      <c r="D817">
        <v>31</v>
      </c>
      <c r="E817" s="1">
        <v>27.48075154</v>
      </c>
      <c r="F817">
        <v>0</v>
      </c>
      <c r="G817" s="1">
        <v>3.8155077780000002</v>
      </c>
      <c r="H817" s="1">
        <v>513911.90100000001</v>
      </c>
    </row>
    <row r="818" spans="1:8" x14ac:dyDescent="0.25">
      <c r="A818">
        <v>1718</v>
      </c>
      <c r="B818">
        <v>2</v>
      </c>
      <c r="C818">
        <v>3</v>
      </c>
      <c r="D818">
        <v>24</v>
      </c>
      <c r="E818" s="1">
        <v>8.7824405470000002</v>
      </c>
      <c r="F818">
        <v>0</v>
      </c>
      <c r="G818" s="1">
        <v>1.5481498890000001</v>
      </c>
      <c r="H818" s="1">
        <v>448257.06569999998</v>
      </c>
    </row>
    <row r="819" spans="1:8" x14ac:dyDescent="0.25">
      <c r="A819">
        <v>3997</v>
      </c>
      <c r="B819">
        <v>1</v>
      </c>
      <c r="C819">
        <v>4</v>
      </c>
      <c r="D819">
        <v>28</v>
      </c>
      <c r="E819" s="1">
        <v>5.4786674250000003</v>
      </c>
      <c r="F819">
        <v>0</v>
      </c>
      <c r="G819" s="1">
        <v>7.3140873900000001</v>
      </c>
      <c r="H819" s="1">
        <v>907964.37150000001</v>
      </c>
    </row>
    <row r="820" spans="1:8" x14ac:dyDescent="0.25">
      <c r="A820">
        <v>4162</v>
      </c>
      <c r="B820">
        <v>5</v>
      </c>
      <c r="C820">
        <v>3</v>
      </c>
      <c r="D820">
        <v>6</v>
      </c>
      <c r="E820" s="1">
        <v>4.4916954770000004</v>
      </c>
      <c r="F820">
        <v>1</v>
      </c>
      <c r="G820" s="1">
        <v>1.0884479730000001</v>
      </c>
      <c r="H820" s="1">
        <v>945179.75769999996</v>
      </c>
    </row>
    <row r="821" spans="1:8" x14ac:dyDescent="0.25">
      <c r="A821">
        <v>2773</v>
      </c>
      <c r="B821">
        <v>4</v>
      </c>
      <c r="C821">
        <v>1</v>
      </c>
      <c r="D821">
        <v>2</v>
      </c>
      <c r="E821" s="1">
        <v>1.440125412</v>
      </c>
      <c r="F821">
        <v>0</v>
      </c>
      <c r="G821" s="1">
        <v>4.6826432870000003</v>
      </c>
      <c r="H821" s="1">
        <v>742736.87479999999</v>
      </c>
    </row>
    <row r="822" spans="1:8" x14ac:dyDescent="0.25">
      <c r="A822">
        <v>1392</v>
      </c>
      <c r="B822">
        <v>2</v>
      </c>
      <c r="C822">
        <v>3</v>
      </c>
      <c r="D822">
        <v>19</v>
      </c>
      <c r="E822" s="1">
        <v>18.56373374</v>
      </c>
      <c r="F822">
        <v>1</v>
      </c>
      <c r="G822" s="1">
        <v>3.964413424</v>
      </c>
      <c r="H822" s="1">
        <v>388926.10080000001</v>
      </c>
    </row>
    <row r="823" spans="1:8" x14ac:dyDescent="0.25">
      <c r="A823">
        <v>3112</v>
      </c>
      <c r="B823">
        <v>1</v>
      </c>
      <c r="C823">
        <v>2</v>
      </c>
      <c r="D823">
        <v>19</v>
      </c>
      <c r="E823" s="1">
        <v>8.0299656079999995</v>
      </c>
      <c r="F823">
        <v>1</v>
      </c>
      <c r="G823" s="1">
        <v>7.2403978469999997</v>
      </c>
      <c r="H823" s="1">
        <v>791179.79110000003</v>
      </c>
    </row>
    <row r="824" spans="1:8" x14ac:dyDescent="0.25">
      <c r="A824">
        <v>2592</v>
      </c>
      <c r="B824">
        <v>3</v>
      </c>
      <c r="C824">
        <v>3</v>
      </c>
      <c r="D824">
        <v>29</v>
      </c>
      <c r="E824" s="1">
        <v>34.635395920000001</v>
      </c>
      <c r="F824">
        <v>0</v>
      </c>
      <c r="G824" s="1">
        <v>5</v>
      </c>
      <c r="H824" s="1">
        <v>726677.4645</v>
      </c>
    </row>
    <row r="825" spans="1:8" x14ac:dyDescent="0.25">
      <c r="A825">
        <v>1648</v>
      </c>
      <c r="B825">
        <v>4</v>
      </c>
      <c r="C825">
        <v>3</v>
      </c>
      <c r="D825">
        <v>34</v>
      </c>
      <c r="E825" s="1">
        <v>20.31806808</v>
      </c>
      <c r="F825">
        <v>2</v>
      </c>
      <c r="G825" s="1">
        <v>3.7368517240000001</v>
      </c>
      <c r="H825" s="1">
        <v>584277.89179999998</v>
      </c>
    </row>
    <row r="826" spans="1:8" x14ac:dyDescent="0.25">
      <c r="A826">
        <v>3454</v>
      </c>
      <c r="B826">
        <v>2</v>
      </c>
      <c r="C826">
        <v>1</v>
      </c>
      <c r="D826">
        <v>34</v>
      </c>
      <c r="E826" s="1">
        <v>5.257041793</v>
      </c>
      <c r="F826">
        <v>2</v>
      </c>
      <c r="G826" s="1">
        <v>8.3046431300000005</v>
      </c>
      <c r="H826" s="1">
        <v>879466.87329999998</v>
      </c>
    </row>
    <row r="827" spans="1:8" x14ac:dyDescent="0.25">
      <c r="A827">
        <v>4998</v>
      </c>
      <c r="B827">
        <v>5</v>
      </c>
      <c r="C827">
        <v>3</v>
      </c>
      <c r="D827">
        <v>38</v>
      </c>
      <c r="E827" s="1">
        <v>24.262307660000001</v>
      </c>
      <c r="F827">
        <v>2</v>
      </c>
      <c r="G827" s="1">
        <v>3.6452508450000001</v>
      </c>
      <c r="H827" s="1">
        <v>996010.97279999999</v>
      </c>
    </row>
    <row r="828" spans="1:8" x14ac:dyDescent="0.25">
      <c r="A828">
        <v>4433</v>
      </c>
      <c r="B828">
        <v>1</v>
      </c>
      <c r="C828">
        <v>3</v>
      </c>
      <c r="D828">
        <v>26</v>
      </c>
      <c r="E828" s="1">
        <v>18</v>
      </c>
      <c r="F828">
        <v>1</v>
      </c>
      <c r="G828" s="1">
        <v>5.0169372399999999</v>
      </c>
      <c r="H828" s="1">
        <v>698621.31940000004</v>
      </c>
    </row>
    <row r="829" spans="1:8" x14ac:dyDescent="0.25">
      <c r="A829">
        <v>2397</v>
      </c>
      <c r="B829">
        <v>2</v>
      </c>
      <c r="C829">
        <v>4</v>
      </c>
      <c r="D829">
        <v>25</v>
      </c>
      <c r="E829" s="1">
        <v>26.208692589999998</v>
      </c>
      <c r="F829">
        <v>1</v>
      </c>
      <c r="G829" s="1">
        <v>7.5431667429999996</v>
      </c>
      <c r="H829" s="1">
        <v>674143.02249999996</v>
      </c>
    </row>
    <row r="830" spans="1:8" x14ac:dyDescent="0.25">
      <c r="A830">
        <v>4087</v>
      </c>
      <c r="B830">
        <v>5</v>
      </c>
      <c r="C830">
        <v>4</v>
      </c>
      <c r="D830">
        <v>20</v>
      </c>
      <c r="E830" s="1">
        <v>3.1371752060000002</v>
      </c>
      <c r="F830">
        <v>1</v>
      </c>
      <c r="G830" s="1">
        <v>7.236282063</v>
      </c>
      <c r="H830" s="1">
        <v>1185322.743</v>
      </c>
    </row>
    <row r="831" spans="1:8" x14ac:dyDescent="0.25">
      <c r="A831">
        <v>2551</v>
      </c>
      <c r="B831">
        <v>2</v>
      </c>
      <c r="C831">
        <v>2</v>
      </c>
      <c r="D831">
        <v>16</v>
      </c>
      <c r="E831" s="1">
        <v>31.408004250000001</v>
      </c>
      <c r="F831">
        <v>0</v>
      </c>
      <c r="G831" s="1">
        <v>9.8863162510000002</v>
      </c>
      <c r="H831" s="1">
        <v>774004.50939999998</v>
      </c>
    </row>
    <row r="832" spans="1:8" x14ac:dyDescent="0.25">
      <c r="A832">
        <v>4418</v>
      </c>
      <c r="B832">
        <v>4</v>
      </c>
      <c r="C832">
        <v>4</v>
      </c>
      <c r="D832">
        <v>17</v>
      </c>
      <c r="E832" s="1">
        <v>27.89056381</v>
      </c>
      <c r="F832">
        <v>1</v>
      </c>
      <c r="G832" s="1">
        <v>3.0264492180000002</v>
      </c>
      <c r="H832" s="1">
        <v>899360.79969999997</v>
      </c>
    </row>
    <row r="833" spans="1:8" x14ac:dyDescent="0.25">
      <c r="A833">
        <v>3510</v>
      </c>
      <c r="B833">
        <v>4</v>
      </c>
      <c r="C833">
        <v>4</v>
      </c>
      <c r="D833">
        <v>28</v>
      </c>
      <c r="E833" s="1">
        <v>5.9614845540000001</v>
      </c>
      <c r="F833">
        <v>0</v>
      </c>
      <c r="G833" s="1">
        <v>6.9608612220000001</v>
      </c>
      <c r="H833" s="1">
        <v>992633.44290000002</v>
      </c>
    </row>
    <row r="834" spans="1:8" x14ac:dyDescent="0.25">
      <c r="A834">
        <v>2370</v>
      </c>
      <c r="B834">
        <v>4</v>
      </c>
      <c r="C834">
        <v>3</v>
      </c>
      <c r="D834">
        <v>19</v>
      </c>
      <c r="E834" s="1">
        <v>2.286613161</v>
      </c>
      <c r="F834">
        <v>0</v>
      </c>
      <c r="G834" s="1">
        <v>6.4871371739999999</v>
      </c>
      <c r="H834" s="1">
        <v>857271.71030000004</v>
      </c>
    </row>
    <row r="835" spans="1:8" x14ac:dyDescent="0.25">
      <c r="A835">
        <v>597</v>
      </c>
      <c r="B835">
        <v>1</v>
      </c>
      <c r="C835">
        <v>4</v>
      </c>
      <c r="D835">
        <v>26</v>
      </c>
      <c r="E835" s="1">
        <v>19.727214849999999</v>
      </c>
      <c r="F835">
        <v>2</v>
      </c>
      <c r="G835" s="1">
        <v>9.2358860899999993</v>
      </c>
      <c r="H835" s="1">
        <v>543424.61199999996</v>
      </c>
    </row>
    <row r="836" spans="1:8" x14ac:dyDescent="0.25">
      <c r="A836">
        <v>3026</v>
      </c>
      <c r="B836">
        <v>4</v>
      </c>
      <c r="C836">
        <v>1</v>
      </c>
      <c r="D836">
        <v>17</v>
      </c>
      <c r="E836" s="1">
        <v>5.8832354909999998</v>
      </c>
      <c r="F836">
        <v>1</v>
      </c>
      <c r="G836" s="1">
        <v>2.4072592749999999</v>
      </c>
      <c r="H836" s="1">
        <v>636152.09920000006</v>
      </c>
    </row>
    <row r="837" spans="1:8" x14ac:dyDescent="0.25">
      <c r="A837">
        <v>1602</v>
      </c>
      <c r="B837">
        <v>5</v>
      </c>
      <c r="C837">
        <v>4</v>
      </c>
      <c r="D837">
        <v>3</v>
      </c>
      <c r="E837" s="1">
        <v>18</v>
      </c>
      <c r="F837">
        <v>2</v>
      </c>
      <c r="G837" s="1">
        <v>5</v>
      </c>
      <c r="H837" s="1">
        <v>807313.83479999995</v>
      </c>
    </row>
    <row r="838" spans="1:8" x14ac:dyDescent="0.25">
      <c r="A838">
        <v>2435</v>
      </c>
      <c r="B838">
        <v>2</v>
      </c>
      <c r="C838">
        <v>1</v>
      </c>
      <c r="D838">
        <v>0</v>
      </c>
      <c r="E838" s="1">
        <v>12.86254566</v>
      </c>
      <c r="F838">
        <v>0</v>
      </c>
      <c r="G838" s="1">
        <v>6.1144175460000003</v>
      </c>
      <c r="H838" s="1">
        <v>690377.82460000005</v>
      </c>
    </row>
    <row r="839" spans="1:8" x14ac:dyDescent="0.25">
      <c r="A839">
        <v>877</v>
      </c>
      <c r="B839">
        <v>3</v>
      </c>
      <c r="C839">
        <v>1</v>
      </c>
      <c r="D839">
        <v>0</v>
      </c>
      <c r="E839" s="1">
        <v>31.994789340000001</v>
      </c>
      <c r="F839">
        <v>0</v>
      </c>
      <c r="G839" s="1">
        <v>3.4719928279999999</v>
      </c>
      <c r="H839" s="1">
        <v>403806.00569999998</v>
      </c>
    </row>
    <row r="840" spans="1:8" x14ac:dyDescent="0.25">
      <c r="A840">
        <v>1654</v>
      </c>
      <c r="B840">
        <v>5</v>
      </c>
      <c r="C840">
        <v>4</v>
      </c>
      <c r="D840">
        <v>25</v>
      </c>
      <c r="E840" s="1">
        <v>20.01624194</v>
      </c>
      <c r="F840">
        <v>0</v>
      </c>
      <c r="G840" s="1">
        <v>5.2699142270000001</v>
      </c>
      <c r="H840" s="1">
        <v>686387.20620000002</v>
      </c>
    </row>
    <row r="841" spans="1:8" x14ac:dyDescent="0.25">
      <c r="A841">
        <v>1322</v>
      </c>
      <c r="B841">
        <v>5</v>
      </c>
      <c r="C841">
        <v>3</v>
      </c>
      <c r="D841">
        <v>19</v>
      </c>
      <c r="E841" s="1">
        <v>6.8021972560000004</v>
      </c>
      <c r="F841">
        <v>1</v>
      </c>
      <c r="G841" s="1">
        <v>4.0039893739999997</v>
      </c>
      <c r="H841" s="1">
        <v>664701.89469999995</v>
      </c>
    </row>
    <row r="842" spans="1:8" x14ac:dyDescent="0.25">
      <c r="A842">
        <v>2773</v>
      </c>
      <c r="B842">
        <v>4</v>
      </c>
      <c r="C842">
        <v>1</v>
      </c>
      <c r="D842">
        <v>22</v>
      </c>
      <c r="E842" s="1">
        <v>5.3161609240000001</v>
      </c>
      <c r="F842">
        <v>0</v>
      </c>
      <c r="G842" s="1">
        <v>6.2138206250000003</v>
      </c>
      <c r="H842" s="1">
        <v>518406.87790000002</v>
      </c>
    </row>
    <row r="843" spans="1:8" x14ac:dyDescent="0.25">
      <c r="A843">
        <v>2604</v>
      </c>
      <c r="B843">
        <v>1</v>
      </c>
      <c r="C843">
        <v>3</v>
      </c>
      <c r="D843">
        <v>9</v>
      </c>
      <c r="E843" s="1">
        <v>20.388299100000001</v>
      </c>
      <c r="F843">
        <v>2</v>
      </c>
      <c r="G843" s="1">
        <v>9.0010054969999995</v>
      </c>
      <c r="H843" s="1">
        <v>721354.66249999998</v>
      </c>
    </row>
    <row r="844" spans="1:8" x14ac:dyDescent="0.25">
      <c r="A844">
        <v>2997</v>
      </c>
      <c r="B844">
        <v>2</v>
      </c>
      <c r="C844">
        <v>3</v>
      </c>
      <c r="D844">
        <v>10</v>
      </c>
      <c r="E844" s="1">
        <v>26.784984609999999</v>
      </c>
      <c r="F844">
        <v>2</v>
      </c>
      <c r="G844" s="1">
        <v>6.1237448600000004</v>
      </c>
      <c r="H844" s="1">
        <v>696463.78249999997</v>
      </c>
    </row>
    <row r="845" spans="1:8" x14ac:dyDescent="0.25">
      <c r="A845">
        <v>1520</v>
      </c>
      <c r="B845">
        <v>1</v>
      </c>
      <c r="C845">
        <v>4</v>
      </c>
      <c r="D845">
        <v>4</v>
      </c>
      <c r="E845" s="1">
        <v>27.461944849999998</v>
      </c>
      <c r="F845">
        <v>0</v>
      </c>
      <c r="G845" s="1">
        <v>6.6855017649999997</v>
      </c>
      <c r="H845" s="1">
        <v>521690.1115</v>
      </c>
    </row>
    <row r="846" spans="1:8" x14ac:dyDescent="0.25">
      <c r="A846">
        <v>3468</v>
      </c>
      <c r="B846">
        <v>2</v>
      </c>
      <c r="C846">
        <v>2</v>
      </c>
      <c r="D846">
        <v>0</v>
      </c>
      <c r="E846" s="1">
        <v>10.013630450000001</v>
      </c>
      <c r="F846">
        <v>0</v>
      </c>
      <c r="G846" s="1">
        <v>5.6687306240000002</v>
      </c>
      <c r="H846" s="1">
        <v>774268.27850000001</v>
      </c>
    </row>
    <row r="847" spans="1:8" x14ac:dyDescent="0.25">
      <c r="A847">
        <v>1350</v>
      </c>
      <c r="B847">
        <v>2</v>
      </c>
      <c r="C847">
        <v>4</v>
      </c>
      <c r="D847">
        <v>16</v>
      </c>
      <c r="E847" s="1">
        <v>7.546513182</v>
      </c>
      <c r="F847">
        <v>2</v>
      </c>
      <c r="G847" s="1">
        <v>1.4604895579999999</v>
      </c>
      <c r="H847" s="1">
        <v>458786.02649999998</v>
      </c>
    </row>
    <row r="848" spans="1:8" x14ac:dyDescent="0.25">
      <c r="A848">
        <v>2736</v>
      </c>
      <c r="B848">
        <v>3</v>
      </c>
      <c r="C848">
        <v>2</v>
      </c>
      <c r="D848">
        <v>21</v>
      </c>
      <c r="E848" s="1">
        <v>1.0780925050000001</v>
      </c>
      <c r="F848">
        <v>0</v>
      </c>
      <c r="G848" s="1">
        <v>5</v>
      </c>
      <c r="H848" s="1">
        <v>478277.1827</v>
      </c>
    </row>
    <row r="849" spans="1:8" x14ac:dyDescent="0.25">
      <c r="A849">
        <v>2643</v>
      </c>
      <c r="B849">
        <v>5</v>
      </c>
      <c r="C849">
        <v>2</v>
      </c>
      <c r="D849">
        <v>33</v>
      </c>
      <c r="E849" s="1">
        <v>23.932370720000002</v>
      </c>
      <c r="F849">
        <v>2</v>
      </c>
      <c r="G849" s="1">
        <v>5.4280155649999999</v>
      </c>
      <c r="H849" s="1">
        <v>751805.85459999996</v>
      </c>
    </row>
    <row r="850" spans="1:8" x14ac:dyDescent="0.25">
      <c r="A850">
        <v>3045</v>
      </c>
      <c r="B850">
        <v>2</v>
      </c>
      <c r="C850">
        <v>4</v>
      </c>
      <c r="D850">
        <v>28</v>
      </c>
      <c r="E850" s="1">
        <v>3.1416049159999999</v>
      </c>
      <c r="F850">
        <v>1</v>
      </c>
      <c r="G850" s="1">
        <v>3.7921175539999998</v>
      </c>
      <c r="H850" s="1">
        <v>643537.82750000001</v>
      </c>
    </row>
    <row r="851" spans="1:8" x14ac:dyDescent="0.25">
      <c r="A851">
        <v>2257</v>
      </c>
      <c r="B851">
        <v>1</v>
      </c>
      <c r="C851">
        <v>4</v>
      </c>
      <c r="D851">
        <v>3</v>
      </c>
      <c r="E851" s="1">
        <v>15.016261460000001</v>
      </c>
      <c r="F851">
        <v>2</v>
      </c>
      <c r="G851" s="1">
        <v>2.6358723799999999</v>
      </c>
      <c r="H851" s="1">
        <v>504735.05089999997</v>
      </c>
    </row>
    <row r="852" spans="1:8" x14ac:dyDescent="0.25">
      <c r="A852">
        <v>2265</v>
      </c>
      <c r="B852">
        <v>2</v>
      </c>
      <c r="C852">
        <v>2</v>
      </c>
      <c r="D852">
        <v>4</v>
      </c>
      <c r="E852" s="1">
        <v>21.25803466</v>
      </c>
      <c r="F852">
        <v>1</v>
      </c>
      <c r="G852" s="1">
        <v>5.5371955770000003</v>
      </c>
      <c r="H852" s="1">
        <v>537898.71050000004</v>
      </c>
    </row>
    <row r="853" spans="1:8" x14ac:dyDescent="0.25">
      <c r="A853">
        <v>3312</v>
      </c>
      <c r="B853">
        <v>3</v>
      </c>
      <c r="C853">
        <v>4</v>
      </c>
      <c r="D853">
        <v>10</v>
      </c>
      <c r="E853" s="1">
        <v>32.830258600000001</v>
      </c>
      <c r="F853">
        <v>0</v>
      </c>
      <c r="G853" s="1">
        <v>3.9052881410000002</v>
      </c>
      <c r="H853" s="1">
        <v>743379.22629999998</v>
      </c>
    </row>
    <row r="854" spans="1:8" x14ac:dyDescent="0.25">
      <c r="A854">
        <v>3253</v>
      </c>
      <c r="B854">
        <v>5</v>
      </c>
      <c r="C854">
        <v>2</v>
      </c>
      <c r="D854">
        <v>20</v>
      </c>
      <c r="E854" s="1">
        <v>11.257173720000001</v>
      </c>
      <c r="F854">
        <v>1</v>
      </c>
      <c r="G854" s="1">
        <v>3.3229687889999999</v>
      </c>
      <c r="H854" s="1">
        <v>766707.72199999995</v>
      </c>
    </row>
    <row r="855" spans="1:8" x14ac:dyDescent="0.25">
      <c r="A855">
        <v>3628</v>
      </c>
      <c r="B855">
        <v>4</v>
      </c>
      <c r="C855">
        <v>3</v>
      </c>
      <c r="D855">
        <v>34</v>
      </c>
      <c r="E855" s="1">
        <v>9.1171396040000001</v>
      </c>
      <c r="F855">
        <v>1</v>
      </c>
      <c r="G855" s="1">
        <v>5.1758687569999999</v>
      </c>
      <c r="H855" s="1">
        <v>877733.43810000003</v>
      </c>
    </row>
    <row r="856" spans="1:8" x14ac:dyDescent="0.25">
      <c r="A856">
        <v>4119</v>
      </c>
      <c r="B856">
        <v>2</v>
      </c>
      <c r="C856">
        <v>4</v>
      </c>
      <c r="D856">
        <v>11</v>
      </c>
      <c r="E856" s="1">
        <v>23.068525319999999</v>
      </c>
      <c r="F856">
        <v>0</v>
      </c>
      <c r="G856" s="1">
        <v>2.1995583230000002</v>
      </c>
      <c r="H856" s="1">
        <v>756823.5906</v>
      </c>
    </row>
    <row r="857" spans="1:8" x14ac:dyDescent="0.25">
      <c r="A857">
        <v>3628</v>
      </c>
      <c r="B857">
        <v>3</v>
      </c>
      <c r="C857">
        <v>3</v>
      </c>
      <c r="D857">
        <v>25</v>
      </c>
      <c r="E857" s="1">
        <v>21.86374661</v>
      </c>
      <c r="F857">
        <v>1</v>
      </c>
      <c r="G857" s="1">
        <v>9.3497115980000007</v>
      </c>
      <c r="H857" s="1">
        <v>906633.2378</v>
      </c>
    </row>
    <row r="858" spans="1:8" x14ac:dyDescent="0.25">
      <c r="A858">
        <v>2771</v>
      </c>
      <c r="B858">
        <v>4</v>
      </c>
      <c r="C858">
        <v>1</v>
      </c>
      <c r="D858">
        <v>18</v>
      </c>
      <c r="E858" s="1">
        <v>11.95778752</v>
      </c>
      <c r="F858">
        <v>0</v>
      </c>
      <c r="G858" s="1">
        <v>8.8093188809999994</v>
      </c>
      <c r="H858" s="1">
        <v>915165.98620000004</v>
      </c>
    </row>
    <row r="859" spans="1:8" x14ac:dyDescent="0.25">
      <c r="A859">
        <v>3291</v>
      </c>
      <c r="B859">
        <v>4</v>
      </c>
      <c r="C859">
        <v>3</v>
      </c>
      <c r="D859">
        <v>6</v>
      </c>
      <c r="E859" s="1">
        <v>32.519513330000002</v>
      </c>
      <c r="F859">
        <v>2</v>
      </c>
      <c r="G859" s="1">
        <v>7.3685852719999998</v>
      </c>
      <c r="H859" s="1">
        <v>929399.2929</v>
      </c>
    </row>
    <row r="860" spans="1:8" x14ac:dyDescent="0.25">
      <c r="A860">
        <v>4156</v>
      </c>
      <c r="B860">
        <v>2</v>
      </c>
      <c r="C860">
        <v>3</v>
      </c>
      <c r="D860">
        <v>6</v>
      </c>
      <c r="E860" s="1">
        <v>29.647750299999998</v>
      </c>
      <c r="F860">
        <v>0</v>
      </c>
      <c r="G860" s="1">
        <v>1.955924448</v>
      </c>
      <c r="H860" s="1">
        <v>720405.02830000001</v>
      </c>
    </row>
    <row r="861" spans="1:8" x14ac:dyDescent="0.25">
      <c r="A861">
        <v>4625</v>
      </c>
      <c r="B861">
        <v>1</v>
      </c>
      <c r="C861">
        <v>2</v>
      </c>
      <c r="D861">
        <v>25</v>
      </c>
      <c r="E861" s="1">
        <v>8.2273978319999994</v>
      </c>
      <c r="F861">
        <v>2</v>
      </c>
      <c r="G861" s="1">
        <v>7.9828952900000001</v>
      </c>
      <c r="H861" s="1">
        <v>921515.59719999996</v>
      </c>
    </row>
    <row r="862" spans="1:8" x14ac:dyDescent="0.25">
      <c r="A862">
        <v>494</v>
      </c>
      <c r="B862">
        <v>2</v>
      </c>
      <c r="C862">
        <v>3</v>
      </c>
      <c r="D862">
        <v>39</v>
      </c>
      <c r="E862" s="1">
        <v>8.7504178170000007</v>
      </c>
      <c r="F862">
        <v>2</v>
      </c>
      <c r="G862" s="1">
        <v>5</v>
      </c>
      <c r="H862" s="1">
        <v>463131.13900000002</v>
      </c>
    </row>
    <row r="863" spans="1:8" x14ac:dyDescent="0.25">
      <c r="A863">
        <v>3074</v>
      </c>
      <c r="B863">
        <v>3</v>
      </c>
      <c r="C863">
        <v>3</v>
      </c>
      <c r="D863">
        <v>4</v>
      </c>
      <c r="E863" s="1">
        <v>18.17436197</v>
      </c>
      <c r="F863">
        <v>1</v>
      </c>
      <c r="G863" s="1">
        <v>7.9098815589999996</v>
      </c>
      <c r="H863" s="1">
        <v>930903.83640000003</v>
      </c>
    </row>
    <row r="864" spans="1:8" x14ac:dyDescent="0.25">
      <c r="A864">
        <v>2355</v>
      </c>
      <c r="B864">
        <v>4</v>
      </c>
      <c r="C864">
        <v>2</v>
      </c>
      <c r="D864">
        <v>20</v>
      </c>
      <c r="E864" s="1">
        <v>27.18823751</v>
      </c>
      <c r="F864">
        <v>0</v>
      </c>
      <c r="G864" s="1">
        <v>2.025692984</v>
      </c>
      <c r="H864" s="1">
        <v>566624.78489999997</v>
      </c>
    </row>
    <row r="865" spans="1:8" x14ac:dyDescent="0.25">
      <c r="A865">
        <v>1193</v>
      </c>
      <c r="B865">
        <v>2</v>
      </c>
      <c r="C865">
        <v>1</v>
      </c>
      <c r="D865">
        <v>13</v>
      </c>
      <c r="E865" s="1">
        <v>2.0193930889999998</v>
      </c>
      <c r="F865">
        <v>1</v>
      </c>
      <c r="G865" s="1">
        <v>6.795171614</v>
      </c>
      <c r="H865" s="1">
        <v>428592.9903</v>
      </c>
    </row>
    <row r="866" spans="1:8" x14ac:dyDescent="0.25">
      <c r="A866">
        <v>2234</v>
      </c>
      <c r="B866">
        <v>1</v>
      </c>
      <c r="C866">
        <v>4</v>
      </c>
      <c r="D866">
        <v>3</v>
      </c>
      <c r="E866" s="1">
        <v>24.4200628</v>
      </c>
      <c r="F866">
        <v>0</v>
      </c>
      <c r="G866" s="1">
        <v>8.5089231620000003</v>
      </c>
      <c r="H866" s="1">
        <v>708868.79040000006</v>
      </c>
    </row>
    <row r="867" spans="1:8" x14ac:dyDescent="0.25">
      <c r="A867">
        <v>2516</v>
      </c>
      <c r="B867">
        <v>2</v>
      </c>
      <c r="C867">
        <v>3</v>
      </c>
      <c r="D867">
        <v>20</v>
      </c>
      <c r="E867" s="1">
        <v>22.864138459999999</v>
      </c>
      <c r="F867">
        <v>1</v>
      </c>
      <c r="G867" s="1">
        <v>6.1961806109999999</v>
      </c>
      <c r="H867" s="1">
        <v>588723.66819999996</v>
      </c>
    </row>
    <row r="868" spans="1:8" x14ac:dyDescent="0.25">
      <c r="A868">
        <v>4506</v>
      </c>
      <c r="B868">
        <v>5</v>
      </c>
      <c r="C868">
        <v>3</v>
      </c>
      <c r="D868">
        <v>19</v>
      </c>
      <c r="E868" s="1">
        <v>8.4860633090000004</v>
      </c>
      <c r="F868">
        <v>2</v>
      </c>
      <c r="G868" s="1">
        <v>6.8176663770000001</v>
      </c>
      <c r="H868" s="1">
        <v>1115506.0900000001</v>
      </c>
    </row>
    <row r="869" spans="1:8" x14ac:dyDescent="0.25">
      <c r="A869">
        <v>3725</v>
      </c>
      <c r="B869">
        <v>1</v>
      </c>
      <c r="C869">
        <v>4</v>
      </c>
      <c r="D869">
        <v>14</v>
      </c>
      <c r="E869" s="1">
        <v>24.006678959999999</v>
      </c>
      <c r="F869">
        <v>0</v>
      </c>
      <c r="G869" s="1">
        <v>5.125271315</v>
      </c>
      <c r="H869" s="1">
        <v>817666.38450000004</v>
      </c>
    </row>
    <row r="870" spans="1:8" x14ac:dyDescent="0.25">
      <c r="A870">
        <v>3319</v>
      </c>
      <c r="B870">
        <v>3</v>
      </c>
      <c r="C870">
        <v>4</v>
      </c>
      <c r="D870">
        <v>28</v>
      </c>
      <c r="E870" s="1">
        <v>32.936320100000003</v>
      </c>
      <c r="F870">
        <v>0</v>
      </c>
      <c r="G870" s="1">
        <v>5.7583658790000003</v>
      </c>
      <c r="H870" s="1">
        <v>754623.11430000002</v>
      </c>
    </row>
    <row r="871" spans="1:8" x14ac:dyDescent="0.25">
      <c r="A871">
        <v>2997</v>
      </c>
      <c r="B871">
        <v>4</v>
      </c>
      <c r="C871">
        <v>1</v>
      </c>
      <c r="D871">
        <v>7</v>
      </c>
      <c r="E871" s="1">
        <v>2.1141116520000001</v>
      </c>
      <c r="F871">
        <v>1</v>
      </c>
      <c r="G871" s="1">
        <v>1.309391725</v>
      </c>
      <c r="H871" s="1">
        <v>599946.40919999999</v>
      </c>
    </row>
    <row r="872" spans="1:8" x14ac:dyDescent="0.25">
      <c r="A872">
        <v>3605</v>
      </c>
      <c r="B872">
        <v>2</v>
      </c>
      <c r="C872">
        <v>4</v>
      </c>
      <c r="D872">
        <v>18</v>
      </c>
      <c r="E872" s="1">
        <v>11.52799591</v>
      </c>
      <c r="F872">
        <v>0</v>
      </c>
      <c r="G872" s="1">
        <v>6.7506671980000004</v>
      </c>
      <c r="H872" s="1">
        <v>843707.98849999998</v>
      </c>
    </row>
    <row r="873" spans="1:8" x14ac:dyDescent="0.25">
      <c r="A873">
        <v>1214</v>
      </c>
      <c r="B873">
        <v>1</v>
      </c>
      <c r="C873">
        <v>4</v>
      </c>
      <c r="D873">
        <v>38</v>
      </c>
      <c r="E873" s="1">
        <v>15.617096719999999</v>
      </c>
      <c r="F873">
        <v>0</v>
      </c>
      <c r="G873" s="1">
        <v>1.733024916</v>
      </c>
      <c r="H873" s="1">
        <v>245498.97200000001</v>
      </c>
    </row>
    <row r="874" spans="1:8" x14ac:dyDescent="0.25">
      <c r="A874">
        <v>745</v>
      </c>
      <c r="B874">
        <v>5</v>
      </c>
      <c r="C874">
        <v>4</v>
      </c>
      <c r="D874">
        <v>27</v>
      </c>
      <c r="E874" s="1">
        <v>31.524482379999998</v>
      </c>
      <c r="F874">
        <v>0</v>
      </c>
      <c r="G874" s="1">
        <v>4.9151313490000001</v>
      </c>
      <c r="H874" s="1">
        <v>537359.20559999999</v>
      </c>
    </row>
    <row r="875" spans="1:8" x14ac:dyDescent="0.25">
      <c r="A875">
        <v>2749</v>
      </c>
      <c r="B875">
        <v>1</v>
      </c>
      <c r="C875">
        <v>3</v>
      </c>
      <c r="D875">
        <v>26</v>
      </c>
      <c r="E875" s="1">
        <v>33.698019909999999</v>
      </c>
      <c r="F875">
        <v>1</v>
      </c>
      <c r="G875" s="1">
        <v>3.6338958790000002</v>
      </c>
      <c r="H875" s="1">
        <v>551228.91630000004</v>
      </c>
    </row>
    <row r="876" spans="1:8" x14ac:dyDescent="0.25">
      <c r="A876">
        <v>762</v>
      </c>
      <c r="B876">
        <v>3</v>
      </c>
      <c r="C876">
        <v>1</v>
      </c>
      <c r="D876">
        <v>3</v>
      </c>
      <c r="E876" s="1">
        <v>15.821975999999999</v>
      </c>
      <c r="F876">
        <v>0</v>
      </c>
      <c r="G876" s="1">
        <v>5.9088515519999998</v>
      </c>
      <c r="H876" s="1">
        <v>525369.32330000005</v>
      </c>
    </row>
    <row r="877" spans="1:8" x14ac:dyDescent="0.25">
      <c r="A877">
        <v>2843</v>
      </c>
      <c r="B877">
        <v>3</v>
      </c>
      <c r="C877">
        <v>4</v>
      </c>
      <c r="D877">
        <v>14</v>
      </c>
      <c r="E877" s="1">
        <v>26.375980219999999</v>
      </c>
      <c r="F877">
        <v>2</v>
      </c>
      <c r="G877" s="1">
        <v>2.2007470200000001</v>
      </c>
      <c r="H877" s="1">
        <v>653016.63020000001</v>
      </c>
    </row>
    <row r="878" spans="1:8" x14ac:dyDescent="0.25">
      <c r="A878">
        <v>2665</v>
      </c>
      <c r="B878">
        <v>4</v>
      </c>
      <c r="C878">
        <v>2</v>
      </c>
      <c r="D878">
        <v>34</v>
      </c>
      <c r="E878" s="1">
        <v>18.842305320000001</v>
      </c>
      <c r="F878">
        <v>1</v>
      </c>
      <c r="G878" s="1">
        <v>7.2247906180000001</v>
      </c>
      <c r="H878" s="1">
        <v>687433.05519999994</v>
      </c>
    </row>
    <row r="879" spans="1:8" x14ac:dyDescent="0.25">
      <c r="A879">
        <v>2588</v>
      </c>
      <c r="B879">
        <v>3</v>
      </c>
      <c r="C879">
        <v>2</v>
      </c>
      <c r="D879">
        <v>36</v>
      </c>
      <c r="E879" s="1">
        <v>19.05351125</v>
      </c>
      <c r="F879">
        <v>1</v>
      </c>
      <c r="G879" s="1">
        <v>8.155103832</v>
      </c>
      <c r="H879" s="1">
        <v>718116.98659999995</v>
      </c>
    </row>
    <row r="880" spans="1:8" x14ac:dyDescent="0.25">
      <c r="A880">
        <v>3405</v>
      </c>
      <c r="B880">
        <v>2</v>
      </c>
      <c r="C880">
        <v>2</v>
      </c>
      <c r="D880">
        <v>0</v>
      </c>
      <c r="E880" s="1">
        <v>10.09443327</v>
      </c>
      <c r="F880">
        <v>2</v>
      </c>
      <c r="G880" s="1">
        <v>2.4701900480000001</v>
      </c>
      <c r="H880" s="1">
        <v>635791.48699999996</v>
      </c>
    </row>
    <row r="881" spans="1:8" x14ac:dyDescent="0.25">
      <c r="A881">
        <v>3681</v>
      </c>
      <c r="B881">
        <v>1</v>
      </c>
      <c r="C881">
        <v>2</v>
      </c>
      <c r="D881">
        <v>2</v>
      </c>
      <c r="E881" s="1">
        <v>7.9849904819999997</v>
      </c>
      <c r="F881">
        <v>2</v>
      </c>
      <c r="G881" s="1">
        <v>1.938817786</v>
      </c>
      <c r="H881" s="1">
        <v>697038.20940000005</v>
      </c>
    </row>
    <row r="882" spans="1:8" x14ac:dyDescent="0.25">
      <c r="A882">
        <v>1384</v>
      </c>
      <c r="B882">
        <v>5</v>
      </c>
      <c r="C882">
        <v>3</v>
      </c>
      <c r="D882">
        <v>23</v>
      </c>
      <c r="E882" s="1">
        <v>10.436184430000001</v>
      </c>
      <c r="F882">
        <v>2</v>
      </c>
      <c r="G882" s="1">
        <v>2.3096393449999999</v>
      </c>
      <c r="H882" s="1">
        <v>523071.18190000003</v>
      </c>
    </row>
    <row r="883" spans="1:8" x14ac:dyDescent="0.25">
      <c r="A883">
        <v>2039</v>
      </c>
      <c r="B883">
        <v>5</v>
      </c>
      <c r="C883">
        <v>4</v>
      </c>
      <c r="D883">
        <v>26</v>
      </c>
      <c r="E883" s="1">
        <v>19.693316249999999</v>
      </c>
      <c r="F883">
        <v>0</v>
      </c>
      <c r="G883" s="1">
        <v>8.8941480570000007</v>
      </c>
      <c r="H883" s="1">
        <v>778843.77419999999</v>
      </c>
    </row>
    <row r="884" spans="1:8" x14ac:dyDescent="0.25">
      <c r="A884">
        <v>1227</v>
      </c>
      <c r="B884">
        <v>1</v>
      </c>
      <c r="C884">
        <v>1</v>
      </c>
      <c r="D884">
        <v>39</v>
      </c>
      <c r="E884" s="1">
        <v>1.5058539179999999</v>
      </c>
      <c r="F884">
        <v>2</v>
      </c>
      <c r="G884" s="1">
        <v>5.7537033559999999</v>
      </c>
      <c r="H884" s="1">
        <v>277184.908</v>
      </c>
    </row>
    <row r="885" spans="1:8" x14ac:dyDescent="0.25">
      <c r="A885">
        <v>3130</v>
      </c>
      <c r="B885">
        <v>1</v>
      </c>
      <c r="C885">
        <v>4</v>
      </c>
      <c r="D885">
        <v>35</v>
      </c>
      <c r="E885" s="1">
        <v>31.800088580000001</v>
      </c>
      <c r="F885">
        <v>0</v>
      </c>
      <c r="G885" s="1">
        <v>5.2053489639999997</v>
      </c>
      <c r="H885" s="1">
        <v>637815.30500000005</v>
      </c>
    </row>
    <row r="886" spans="1:8" x14ac:dyDescent="0.25">
      <c r="A886">
        <v>3931</v>
      </c>
      <c r="B886">
        <v>3</v>
      </c>
      <c r="C886">
        <v>3</v>
      </c>
      <c r="D886">
        <v>33</v>
      </c>
      <c r="E886" s="1">
        <v>5.8917879790000001</v>
      </c>
      <c r="F886">
        <v>1</v>
      </c>
      <c r="G886" s="1">
        <v>1.960406372</v>
      </c>
      <c r="H886" s="1">
        <v>695987.11569999997</v>
      </c>
    </row>
    <row r="887" spans="1:8" x14ac:dyDescent="0.25">
      <c r="A887">
        <v>4851</v>
      </c>
      <c r="B887">
        <v>3</v>
      </c>
      <c r="C887">
        <v>2</v>
      </c>
      <c r="D887">
        <v>28</v>
      </c>
      <c r="E887" s="1">
        <v>8.0930593519999992</v>
      </c>
      <c r="F887">
        <v>1</v>
      </c>
      <c r="G887" s="1">
        <v>6.8460040610000004</v>
      </c>
      <c r="H887" s="1">
        <v>1016593.366</v>
      </c>
    </row>
    <row r="888" spans="1:8" x14ac:dyDescent="0.25">
      <c r="A888">
        <v>3335</v>
      </c>
      <c r="B888">
        <v>5</v>
      </c>
      <c r="C888">
        <v>3</v>
      </c>
      <c r="D888">
        <v>23</v>
      </c>
      <c r="E888" s="1">
        <v>18.380528089999999</v>
      </c>
      <c r="F888">
        <v>2</v>
      </c>
      <c r="G888" s="1">
        <v>8.8119963269999992</v>
      </c>
      <c r="H888" s="1">
        <v>1027487.566</v>
      </c>
    </row>
    <row r="889" spans="1:8" x14ac:dyDescent="0.25">
      <c r="A889">
        <v>4276</v>
      </c>
      <c r="B889">
        <v>2</v>
      </c>
      <c r="C889">
        <v>4</v>
      </c>
      <c r="D889">
        <v>23</v>
      </c>
      <c r="E889" s="1">
        <v>24.99895944</v>
      </c>
      <c r="F889">
        <v>0</v>
      </c>
      <c r="G889" s="1">
        <v>8.4536728239999999</v>
      </c>
      <c r="H889" s="1">
        <v>1045881.454</v>
      </c>
    </row>
    <row r="890" spans="1:8" x14ac:dyDescent="0.25">
      <c r="A890">
        <v>526</v>
      </c>
      <c r="B890">
        <v>3</v>
      </c>
      <c r="C890">
        <v>1</v>
      </c>
      <c r="D890">
        <v>3</v>
      </c>
      <c r="E890" s="1">
        <v>3.8026523889999999</v>
      </c>
      <c r="F890">
        <v>2</v>
      </c>
      <c r="G890" s="1">
        <v>6.6344923810000003</v>
      </c>
      <c r="H890" s="1">
        <v>469816.1556</v>
      </c>
    </row>
    <row r="891" spans="1:8" x14ac:dyDescent="0.25">
      <c r="A891">
        <v>3577</v>
      </c>
      <c r="B891">
        <v>2</v>
      </c>
      <c r="C891">
        <v>3</v>
      </c>
      <c r="D891">
        <v>2</v>
      </c>
      <c r="E891" s="1">
        <v>11.46046707</v>
      </c>
      <c r="F891">
        <v>2</v>
      </c>
      <c r="G891" s="1">
        <v>1.6775084499999999</v>
      </c>
      <c r="H891" s="1">
        <v>709895.16520000005</v>
      </c>
    </row>
    <row r="892" spans="1:8" x14ac:dyDescent="0.25">
      <c r="A892">
        <v>3456</v>
      </c>
      <c r="B892">
        <v>5</v>
      </c>
      <c r="C892">
        <v>1</v>
      </c>
      <c r="D892">
        <v>33</v>
      </c>
      <c r="E892" s="1">
        <v>33.919273889999999</v>
      </c>
      <c r="F892">
        <v>0</v>
      </c>
      <c r="G892" s="1">
        <v>2.0115732450000001</v>
      </c>
      <c r="H892" s="1">
        <v>576703.27469999995</v>
      </c>
    </row>
    <row r="893" spans="1:8" x14ac:dyDescent="0.25">
      <c r="A893">
        <v>1003</v>
      </c>
      <c r="B893">
        <v>1</v>
      </c>
      <c r="C893">
        <v>3</v>
      </c>
      <c r="D893">
        <v>22</v>
      </c>
      <c r="E893" s="1">
        <v>9.5508323540000006</v>
      </c>
      <c r="F893">
        <v>2</v>
      </c>
      <c r="G893" s="1">
        <v>1.4437808839999999</v>
      </c>
      <c r="H893" s="1">
        <v>214537.59520000001</v>
      </c>
    </row>
    <row r="894" spans="1:8" x14ac:dyDescent="0.25">
      <c r="A894">
        <v>3849</v>
      </c>
      <c r="B894">
        <v>1</v>
      </c>
      <c r="C894">
        <v>1</v>
      </c>
      <c r="D894">
        <v>22</v>
      </c>
      <c r="E894" s="1">
        <v>11.300230000000001</v>
      </c>
      <c r="F894">
        <v>1</v>
      </c>
      <c r="G894" s="1">
        <v>3.3173129480000001</v>
      </c>
      <c r="H894" s="1">
        <v>523270.10320000001</v>
      </c>
    </row>
    <row r="895" spans="1:8" x14ac:dyDescent="0.25">
      <c r="A895">
        <v>4546</v>
      </c>
      <c r="B895">
        <v>3</v>
      </c>
      <c r="C895">
        <v>1</v>
      </c>
      <c r="D895">
        <v>4</v>
      </c>
      <c r="E895" s="1">
        <v>29.359197930000001</v>
      </c>
      <c r="F895">
        <v>2</v>
      </c>
      <c r="G895" s="1">
        <v>2.2209532040000002</v>
      </c>
      <c r="H895" s="1">
        <v>748577.06629999995</v>
      </c>
    </row>
    <row r="896" spans="1:8" x14ac:dyDescent="0.25">
      <c r="A896">
        <v>3933</v>
      </c>
      <c r="B896">
        <v>4</v>
      </c>
      <c r="C896">
        <v>2</v>
      </c>
      <c r="D896">
        <v>30</v>
      </c>
      <c r="E896" s="1">
        <v>18</v>
      </c>
      <c r="F896">
        <v>0</v>
      </c>
      <c r="G896" s="1">
        <v>3.340432362</v>
      </c>
      <c r="H896" s="1">
        <v>799915.63679999998</v>
      </c>
    </row>
    <row r="897" spans="1:8" x14ac:dyDescent="0.25">
      <c r="A897">
        <v>3767</v>
      </c>
      <c r="B897">
        <v>3</v>
      </c>
      <c r="C897">
        <v>1</v>
      </c>
      <c r="D897">
        <v>5</v>
      </c>
      <c r="E897" s="1">
        <v>16.52915432</v>
      </c>
      <c r="F897">
        <v>0</v>
      </c>
      <c r="G897" s="1">
        <v>4.4655225009999997</v>
      </c>
      <c r="H897" s="1">
        <v>781572.24320000003</v>
      </c>
    </row>
    <row r="898" spans="1:8" x14ac:dyDescent="0.25">
      <c r="A898">
        <v>3768</v>
      </c>
      <c r="B898">
        <v>4</v>
      </c>
      <c r="C898">
        <v>2</v>
      </c>
      <c r="D898">
        <v>36</v>
      </c>
      <c r="E898" s="1">
        <v>13.596778369999999</v>
      </c>
      <c r="F898">
        <v>1</v>
      </c>
      <c r="G898" s="1">
        <v>9.486845057</v>
      </c>
      <c r="H898" s="1">
        <v>1002332.802</v>
      </c>
    </row>
    <row r="899" spans="1:8" x14ac:dyDescent="0.25">
      <c r="A899">
        <v>4197</v>
      </c>
      <c r="B899">
        <v>2</v>
      </c>
      <c r="C899">
        <v>4</v>
      </c>
      <c r="D899">
        <v>9</v>
      </c>
      <c r="E899" s="1">
        <v>11.42224322</v>
      </c>
      <c r="F899">
        <v>0</v>
      </c>
      <c r="G899" s="1">
        <v>6.4933845379999999</v>
      </c>
      <c r="H899" s="1">
        <v>901864.35019999999</v>
      </c>
    </row>
    <row r="900" spans="1:8" x14ac:dyDescent="0.25">
      <c r="A900">
        <v>2192</v>
      </c>
      <c r="B900">
        <v>2</v>
      </c>
      <c r="C900">
        <v>4</v>
      </c>
      <c r="D900">
        <v>39</v>
      </c>
      <c r="E900" s="1">
        <v>10.356635989999999</v>
      </c>
      <c r="F900">
        <v>0</v>
      </c>
      <c r="G900" s="1">
        <v>8.5147640710000001</v>
      </c>
      <c r="H900" s="1">
        <v>720583.56660000002</v>
      </c>
    </row>
    <row r="901" spans="1:8" x14ac:dyDescent="0.25">
      <c r="A901">
        <v>3261</v>
      </c>
      <c r="B901">
        <v>5</v>
      </c>
      <c r="C901">
        <v>2</v>
      </c>
      <c r="D901">
        <v>6</v>
      </c>
      <c r="E901" s="1">
        <v>3.6524066180000001</v>
      </c>
      <c r="F901">
        <v>1</v>
      </c>
      <c r="G901" s="1">
        <v>7.3931635059999996</v>
      </c>
      <c r="H901" s="1">
        <v>904695.5969</v>
      </c>
    </row>
    <row r="902" spans="1:8" x14ac:dyDescent="0.25">
      <c r="A902">
        <v>3876</v>
      </c>
      <c r="B902">
        <v>4</v>
      </c>
      <c r="C902">
        <v>2</v>
      </c>
      <c r="D902">
        <v>38</v>
      </c>
      <c r="E902" s="1">
        <v>11.361491109999999</v>
      </c>
      <c r="F902">
        <v>2</v>
      </c>
      <c r="G902" s="1">
        <v>2.0125281749999999</v>
      </c>
      <c r="H902" s="1">
        <v>780740.33909999998</v>
      </c>
    </row>
    <row r="903" spans="1:8" x14ac:dyDescent="0.25">
      <c r="A903">
        <v>3817</v>
      </c>
      <c r="B903">
        <v>5</v>
      </c>
      <c r="C903">
        <v>3</v>
      </c>
      <c r="D903">
        <v>37</v>
      </c>
      <c r="E903" s="1">
        <v>1.985307894</v>
      </c>
      <c r="F903">
        <v>1</v>
      </c>
      <c r="G903" s="1">
        <v>7.623283657</v>
      </c>
      <c r="H903" s="1">
        <v>1010812.081</v>
      </c>
    </row>
    <row r="904" spans="1:8" x14ac:dyDescent="0.25">
      <c r="A904">
        <v>2045</v>
      </c>
      <c r="B904">
        <v>1</v>
      </c>
      <c r="C904">
        <v>3</v>
      </c>
      <c r="D904">
        <v>20</v>
      </c>
      <c r="E904" s="1">
        <v>27.443253299999999</v>
      </c>
      <c r="F904">
        <v>1</v>
      </c>
      <c r="G904" s="1">
        <v>3.475889934</v>
      </c>
      <c r="H904" s="1">
        <v>418826.41149999999</v>
      </c>
    </row>
    <row r="905" spans="1:8" x14ac:dyDescent="0.25">
      <c r="A905">
        <v>1605</v>
      </c>
      <c r="B905">
        <v>4</v>
      </c>
      <c r="C905">
        <v>3</v>
      </c>
      <c r="D905">
        <v>19</v>
      </c>
      <c r="E905" s="1">
        <v>14.238858889999999</v>
      </c>
      <c r="F905">
        <v>1</v>
      </c>
      <c r="G905" s="1">
        <v>5</v>
      </c>
      <c r="H905" s="1">
        <v>772767.55299999996</v>
      </c>
    </row>
    <row r="906" spans="1:8" x14ac:dyDescent="0.25">
      <c r="A906">
        <v>3430</v>
      </c>
      <c r="B906">
        <v>3</v>
      </c>
      <c r="C906">
        <v>4</v>
      </c>
      <c r="D906">
        <v>2</v>
      </c>
      <c r="E906" s="1">
        <v>15.81468222</v>
      </c>
      <c r="F906">
        <v>2</v>
      </c>
      <c r="G906" s="1">
        <v>4.068657763</v>
      </c>
      <c r="H906" s="1">
        <v>754511.96050000004</v>
      </c>
    </row>
    <row r="907" spans="1:8" x14ac:dyDescent="0.25">
      <c r="A907">
        <v>3272</v>
      </c>
      <c r="B907">
        <v>1</v>
      </c>
      <c r="C907">
        <v>3</v>
      </c>
      <c r="D907">
        <v>21</v>
      </c>
      <c r="E907" s="1">
        <v>31.329013230000001</v>
      </c>
      <c r="F907">
        <v>1</v>
      </c>
      <c r="G907" s="1">
        <v>9.9790503689999994</v>
      </c>
      <c r="H907" s="1">
        <v>786529.13919999998</v>
      </c>
    </row>
    <row r="908" spans="1:8" x14ac:dyDescent="0.25">
      <c r="A908">
        <v>3472</v>
      </c>
      <c r="B908">
        <v>1</v>
      </c>
      <c r="C908">
        <v>1</v>
      </c>
      <c r="D908">
        <v>3</v>
      </c>
      <c r="E908" s="1">
        <v>23.202896939999999</v>
      </c>
      <c r="F908">
        <v>2</v>
      </c>
      <c r="G908" s="1">
        <v>3.3719633149999999</v>
      </c>
      <c r="H908" s="1">
        <v>535903.17099999997</v>
      </c>
    </row>
    <row r="909" spans="1:8" x14ac:dyDescent="0.25">
      <c r="A909">
        <v>2254</v>
      </c>
      <c r="B909">
        <v>3</v>
      </c>
      <c r="C909">
        <v>1</v>
      </c>
      <c r="D909">
        <v>20</v>
      </c>
      <c r="E909" s="1">
        <v>0.77803906499999997</v>
      </c>
      <c r="F909">
        <v>1</v>
      </c>
      <c r="G909" s="1">
        <v>3.512174237</v>
      </c>
      <c r="H909" s="1">
        <v>532406.34180000005</v>
      </c>
    </row>
    <row r="910" spans="1:8" x14ac:dyDescent="0.25">
      <c r="A910">
        <v>4421</v>
      </c>
      <c r="B910">
        <v>1</v>
      </c>
      <c r="C910">
        <v>3</v>
      </c>
      <c r="D910">
        <v>11</v>
      </c>
      <c r="E910" s="1">
        <v>33.03953139</v>
      </c>
      <c r="F910">
        <v>2</v>
      </c>
      <c r="G910" s="1">
        <v>9.3760502999999993</v>
      </c>
      <c r="H910" s="1">
        <v>995584.29639999999</v>
      </c>
    </row>
    <row r="911" spans="1:8" x14ac:dyDescent="0.25">
      <c r="A911">
        <v>3108</v>
      </c>
      <c r="B911">
        <v>4</v>
      </c>
      <c r="C911">
        <v>1</v>
      </c>
      <c r="D911">
        <v>37</v>
      </c>
      <c r="E911" s="1">
        <v>8.6814840760000003</v>
      </c>
      <c r="F911">
        <v>1</v>
      </c>
      <c r="G911" s="1">
        <v>1.2217996419999999</v>
      </c>
      <c r="H911" s="1">
        <v>601793.53300000005</v>
      </c>
    </row>
    <row r="912" spans="1:8" x14ac:dyDescent="0.25">
      <c r="A912">
        <v>3902</v>
      </c>
      <c r="B912">
        <v>5</v>
      </c>
      <c r="C912">
        <v>4</v>
      </c>
      <c r="D912">
        <v>35</v>
      </c>
      <c r="E912" s="1">
        <v>4.212689374</v>
      </c>
      <c r="F912">
        <v>1</v>
      </c>
      <c r="G912" s="1">
        <v>7.270200891</v>
      </c>
      <c r="H912" s="1">
        <v>1181328.767</v>
      </c>
    </row>
    <row r="913" spans="1:8" x14ac:dyDescent="0.25">
      <c r="A913">
        <v>2773</v>
      </c>
      <c r="B913">
        <v>1</v>
      </c>
      <c r="C913">
        <v>1</v>
      </c>
      <c r="D913">
        <v>4</v>
      </c>
      <c r="E913" s="1">
        <v>27.000422149999999</v>
      </c>
      <c r="F913">
        <v>2</v>
      </c>
      <c r="G913" s="1">
        <v>7.5279375169999998</v>
      </c>
      <c r="H913" s="1">
        <v>427985.24469999998</v>
      </c>
    </row>
    <row r="914" spans="1:8" x14ac:dyDescent="0.25">
      <c r="A914">
        <v>601</v>
      </c>
      <c r="B914">
        <v>4</v>
      </c>
      <c r="C914">
        <v>4</v>
      </c>
      <c r="D914">
        <v>12</v>
      </c>
      <c r="E914" s="1">
        <v>17.7664674</v>
      </c>
      <c r="F914">
        <v>1</v>
      </c>
      <c r="G914" s="1">
        <v>8.5274071970000005</v>
      </c>
      <c r="H914" s="1">
        <v>713003.36620000005</v>
      </c>
    </row>
    <row r="915" spans="1:8" x14ac:dyDescent="0.25">
      <c r="A915">
        <v>3907</v>
      </c>
      <c r="B915">
        <v>2</v>
      </c>
      <c r="C915">
        <v>2</v>
      </c>
      <c r="D915">
        <v>22</v>
      </c>
      <c r="E915" s="1">
        <v>15.46508453</v>
      </c>
      <c r="F915">
        <v>2</v>
      </c>
      <c r="G915" s="1">
        <v>9.7699537959999994</v>
      </c>
      <c r="H915" s="1">
        <v>924583.99639999995</v>
      </c>
    </row>
    <row r="916" spans="1:8" x14ac:dyDescent="0.25">
      <c r="A916">
        <v>4612</v>
      </c>
      <c r="B916">
        <v>4</v>
      </c>
      <c r="C916">
        <v>2</v>
      </c>
      <c r="D916">
        <v>29</v>
      </c>
      <c r="E916" s="1">
        <v>9.1078562489999992</v>
      </c>
      <c r="F916">
        <v>2</v>
      </c>
      <c r="G916" s="1">
        <v>5</v>
      </c>
      <c r="H916" s="1">
        <v>1103674.149</v>
      </c>
    </row>
    <row r="917" spans="1:8" x14ac:dyDescent="0.25">
      <c r="A917">
        <v>974</v>
      </c>
      <c r="B917">
        <v>5</v>
      </c>
      <c r="C917">
        <v>2</v>
      </c>
      <c r="D917">
        <v>36</v>
      </c>
      <c r="E917" s="1">
        <v>18</v>
      </c>
      <c r="F917">
        <v>1</v>
      </c>
      <c r="G917" s="1">
        <v>1.587490818</v>
      </c>
      <c r="H917" s="1">
        <v>358309.37670000002</v>
      </c>
    </row>
    <row r="918" spans="1:8" x14ac:dyDescent="0.25">
      <c r="A918">
        <v>936</v>
      </c>
      <c r="B918">
        <v>4</v>
      </c>
      <c r="C918">
        <v>2</v>
      </c>
      <c r="D918">
        <v>24</v>
      </c>
      <c r="E918" s="1">
        <v>18</v>
      </c>
      <c r="F918">
        <v>2</v>
      </c>
      <c r="G918" s="1">
        <v>8.3965539049999993</v>
      </c>
      <c r="H918" s="1">
        <v>599794.26930000004</v>
      </c>
    </row>
    <row r="919" spans="1:8" x14ac:dyDescent="0.25">
      <c r="A919">
        <v>2025</v>
      </c>
      <c r="B919">
        <v>3</v>
      </c>
      <c r="C919">
        <v>1</v>
      </c>
      <c r="D919">
        <v>26</v>
      </c>
      <c r="E919" s="1">
        <v>31.60461368</v>
      </c>
      <c r="F919">
        <v>1</v>
      </c>
      <c r="G919" s="1">
        <v>6.8167894029999996</v>
      </c>
      <c r="H919" s="1">
        <v>680490.89729999995</v>
      </c>
    </row>
    <row r="920" spans="1:8" x14ac:dyDescent="0.25">
      <c r="A920">
        <v>2522</v>
      </c>
      <c r="B920">
        <v>5</v>
      </c>
      <c r="C920">
        <v>3</v>
      </c>
      <c r="D920">
        <v>13</v>
      </c>
      <c r="E920" s="1">
        <v>18</v>
      </c>
      <c r="F920">
        <v>0</v>
      </c>
      <c r="G920" s="1">
        <v>5</v>
      </c>
      <c r="H920" s="1">
        <v>919911.20290000003</v>
      </c>
    </row>
    <row r="921" spans="1:8" x14ac:dyDescent="0.25">
      <c r="A921">
        <v>785</v>
      </c>
      <c r="B921">
        <v>2</v>
      </c>
      <c r="C921">
        <v>1</v>
      </c>
      <c r="D921">
        <v>35</v>
      </c>
      <c r="E921" s="1">
        <v>31.010252690000002</v>
      </c>
      <c r="F921">
        <v>2</v>
      </c>
      <c r="G921" s="1">
        <v>2.1551493399999999</v>
      </c>
      <c r="H921" s="1">
        <v>195050.39350000001</v>
      </c>
    </row>
    <row r="922" spans="1:8" x14ac:dyDescent="0.25">
      <c r="A922">
        <v>3681</v>
      </c>
      <c r="B922">
        <v>3</v>
      </c>
      <c r="C922">
        <v>4</v>
      </c>
      <c r="D922">
        <v>38</v>
      </c>
      <c r="E922" s="1">
        <v>19.799487190000001</v>
      </c>
      <c r="F922">
        <v>0</v>
      </c>
      <c r="G922" s="1">
        <v>5</v>
      </c>
      <c r="H922" s="1">
        <v>947638.93680000002</v>
      </c>
    </row>
    <row r="923" spans="1:8" x14ac:dyDescent="0.25">
      <c r="A923">
        <v>874</v>
      </c>
      <c r="B923">
        <v>4</v>
      </c>
      <c r="C923">
        <v>1</v>
      </c>
      <c r="D923">
        <v>15</v>
      </c>
      <c r="E923" s="1">
        <v>29.082840619999999</v>
      </c>
      <c r="F923">
        <v>1</v>
      </c>
      <c r="G923" s="1">
        <v>9.8423432250000005</v>
      </c>
      <c r="H923" s="1">
        <v>579323.01980000001</v>
      </c>
    </row>
    <row r="924" spans="1:8" x14ac:dyDescent="0.25">
      <c r="A924">
        <v>817</v>
      </c>
      <c r="B924">
        <v>5</v>
      </c>
      <c r="C924">
        <v>1</v>
      </c>
      <c r="D924">
        <v>21</v>
      </c>
      <c r="E924" s="1">
        <v>25.093186859999999</v>
      </c>
      <c r="F924">
        <v>2</v>
      </c>
      <c r="G924" s="1">
        <v>9.206367126</v>
      </c>
      <c r="H924" s="1">
        <v>600119.64820000005</v>
      </c>
    </row>
    <row r="925" spans="1:8" x14ac:dyDescent="0.25">
      <c r="A925">
        <v>4000</v>
      </c>
      <c r="B925">
        <v>2</v>
      </c>
      <c r="C925">
        <v>4</v>
      </c>
      <c r="D925">
        <v>20</v>
      </c>
      <c r="E925" s="1">
        <v>24.535981339999999</v>
      </c>
      <c r="F925">
        <v>2</v>
      </c>
      <c r="G925" s="1">
        <v>4.9521759469999997</v>
      </c>
      <c r="H925" s="1">
        <v>712384.67929999996</v>
      </c>
    </row>
    <row r="926" spans="1:8" x14ac:dyDescent="0.25">
      <c r="A926">
        <v>1354</v>
      </c>
      <c r="B926">
        <v>3</v>
      </c>
      <c r="C926">
        <v>2</v>
      </c>
      <c r="D926">
        <v>20</v>
      </c>
      <c r="E926" s="1">
        <v>11.689930370000001</v>
      </c>
      <c r="F926">
        <v>1</v>
      </c>
      <c r="G926" s="1">
        <v>1.3595317600000001</v>
      </c>
      <c r="H926" s="1">
        <v>334355.64779999998</v>
      </c>
    </row>
    <row r="927" spans="1:8" x14ac:dyDescent="0.25">
      <c r="A927">
        <v>1605</v>
      </c>
      <c r="B927">
        <v>2</v>
      </c>
      <c r="C927">
        <v>2</v>
      </c>
      <c r="D927">
        <v>7</v>
      </c>
      <c r="E927" s="1">
        <v>8.5694441359999995</v>
      </c>
      <c r="F927">
        <v>0</v>
      </c>
      <c r="G927" s="1">
        <v>4.2606414099999999</v>
      </c>
      <c r="H927" s="1">
        <v>504256.41649999999</v>
      </c>
    </row>
    <row r="928" spans="1:8" x14ac:dyDescent="0.25">
      <c r="A928">
        <v>4520</v>
      </c>
      <c r="B928">
        <v>4</v>
      </c>
      <c r="C928">
        <v>2</v>
      </c>
      <c r="D928">
        <v>15</v>
      </c>
      <c r="E928" s="1">
        <v>7.7755748550000003</v>
      </c>
      <c r="F928">
        <v>2</v>
      </c>
      <c r="G928" s="1">
        <v>8.4375128040000007</v>
      </c>
      <c r="H928" s="1">
        <v>1103380.0789999999</v>
      </c>
    </row>
    <row r="929" spans="1:8" x14ac:dyDescent="0.25">
      <c r="A929">
        <v>2390</v>
      </c>
      <c r="B929">
        <v>2</v>
      </c>
      <c r="C929">
        <v>3</v>
      </c>
      <c r="D929">
        <v>30</v>
      </c>
      <c r="E929" s="1">
        <v>30.073112170000002</v>
      </c>
      <c r="F929">
        <v>1</v>
      </c>
      <c r="G929" s="1">
        <v>7.313491913</v>
      </c>
      <c r="H929" s="1">
        <v>671697.10380000004</v>
      </c>
    </row>
    <row r="930" spans="1:8" x14ac:dyDescent="0.25">
      <c r="A930">
        <v>3972</v>
      </c>
      <c r="B930">
        <v>1</v>
      </c>
      <c r="C930">
        <v>4</v>
      </c>
      <c r="D930">
        <v>9</v>
      </c>
      <c r="E930" s="1">
        <v>28.804725300000001</v>
      </c>
      <c r="F930">
        <v>1</v>
      </c>
      <c r="G930" s="1">
        <v>5.1340928999999997</v>
      </c>
      <c r="H930" s="1">
        <v>720243.78650000005</v>
      </c>
    </row>
    <row r="931" spans="1:8" x14ac:dyDescent="0.25">
      <c r="A931">
        <v>4780</v>
      </c>
      <c r="B931">
        <v>3</v>
      </c>
      <c r="C931">
        <v>4</v>
      </c>
      <c r="D931">
        <v>31</v>
      </c>
      <c r="E931" s="1">
        <v>15.699786720000001</v>
      </c>
      <c r="F931">
        <v>1</v>
      </c>
      <c r="G931" s="1">
        <v>1.4959138160000001</v>
      </c>
      <c r="H931" s="1">
        <v>858044.60970000003</v>
      </c>
    </row>
    <row r="932" spans="1:8" x14ac:dyDescent="0.25">
      <c r="A932">
        <v>4558</v>
      </c>
      <c r="B932">
        <v>2</v>
      </c>
      <c r="C932">
        <v>1</v>
      </c>
      <c r="D932">
        <v>33</v>
      </c>
      <c r="E932" s="1">
        <v>5.0679591659999996</v>
      </c>
      <c r="F932">
        <v>2</v>
      </c>
      <c r="G932" s="1">
        <v>4.84205255</v>
      </c>
      <c r="H932" s="1">
        <v>809021.5392</v>
      </c>
    </row>
    <row r="933" spans="1:8" x14ac:dyDescent="0.25">
      <c r="A933">
        <v>2773</v>
      </c>
      <c r="B933">
        <v>4</v>
      </c>
      <c r="C933">
        <v>3</v>
      </c>
      <c r="D933">
        <v>8</v>
      </c>
      <c r="E933" s="1">
        <v>13.68770269</v>
      </c>
      <c r="F933">
        <v>0</v>
      </c>
      <c r="G933" s="1">
        <v>5.2212244569999999</v>
      </c>
      <c r="H933" s="1">
        <v>872530.13829999999</v>
      </c>
    </row>
    <row r="934" spans="1:8" x14ac:dyDescent="0.25">
      <c r="A934">
        <v>2603</v>
      </c>
      <c r="B934">
        <v>4</v>
      </c>
      <c r="C934">
        <v>2</v>
      </c>
      <c r="D934">
        <v>16</v>
      </c>
      <c r="E934" s="1">
        <v>21.867349170000001</v>
      </c>
      <c r="F934">
        <v>0</v>
      </c>
      <c r="G934" s="1">
        <v>9.3569997960000002</v>
      </c>
      <c r="H934" s="1">
        <v>787200.85919999995</v>
      </c>
    </row>
    <row r="935" spans="1:8" x14ac:dyDescent="0.25">
      <c r="A935">
        <v>3520</v>
      </c>
      <c r="B935">
        <v>2</v>
      </c>
      <c r="C935">
        <v>3</v>
      </c>
      <c r="D935">
        <v>10</v>
      </c>
      <c r="E935" s="1">
        <v>16.176908829999999</v>
      </c>
      <c r="F935">
        <v>2</v>
      </c>
      <c r="G935" s="1">
        <v>6.7697749319999998</v>
      </c>
      <c r="H935" s="1">
        <v>854500.17700000003</v>
      </c>
    </row>
    <row r="936" spans="1:8" x14ac:dyDescent="0.25">
      <c r="A936">
        <v>1366</v>
      </c>
      <c r="B936">
        <v>4</v>
      </c>
      <c r="C936">
        <v>4</v>
      </c>
      <c r="D936">
        <v>31</v>
      </c>
      <c r="E936" s="1">
        <v>27.41652976</v>
      </c>
      <c r="F936">
        <v>1</v>
      </c>
      <c r="G936" s="1">
        <v>3.80487625</v>
      </c>
      <c r="H936" s="1">
        <v>473601.99339999998</v>
      </c>
    </row>
    <row r="937" spans="1:8" x14ac:dyDescent="0.25">
      <c r="A937">
        <v>3832</v>
      </c>
      <c r="B937">
        <v>5</v>
      </c>
      <c r="C937">
        <v>4</v>
      </c>
      <c r="D937">
        <v>9</v>
      </c>
      <c r="E937" s="1">
        <v>34.917987369999999</v>
      </c>
      <c r="F937">
        <v>2</v>
      </c>
      <c r="G937" s="1">
        <v>5.7278643799999998</v>
      </c>
      <c r="H937" s="1">
        <v>968711.43149999995</v>
      </c>
    </row>
    <row r="938" spans="1:8" x14ac:dyDescent="0.25">
      <c r="A938">
        <v>1088</v>
      </c>
      <c r="B938">
        <v>5</v>
      </c>
      <c r="C938">
        <v>1</v>
      </c>
      <c r="D938">
        <v>20</v>
      </c>
      <c r="E938" s="1">
        <v>18</v>
      </c>
      <c r="F938">
        <v>1</v>
      </c>
      <c r="G938" s="1">
        <v>1.59449777</v>
      </c>
      <c r="H938" s="1">
        <v>448417.07020000002</v>
      </c>
    </row>
    <row r="939" spans="1:8" x14ac:dyDescent="0.25">
      <c r="A939">
        <v>4643</v>
      </c>
      <c r="B939">
        <v>3</v>
      </c>
      <c r="C939">
        <v>1</v>
      </c>
      <c r="D939">
        <v>16</v>
      </c>
      <c r="E939" s="1">
        <v>16.35795328</v>
      </c>
      <c r="F939">
        <v>2</v>
      </c>
      <c r="G939" s="1">
        <v>9.7531141209999994</v>
      </c>
      <c r="H939" s="1">
        <v>1175302.3149999999</v>
      </c>
    </row>
    <row r="940" spans="1:8" x14ac:dyDescent="0.25">
      <c r="A940">
        <v>4101</v>
      </c>
      <c r="B940">
        <v>1</v>
      </c>
      <c r="C940">
        <v>4</v>
      </c>
      <c r="D940">
        <v>3</v>
      </c>
      <c r="E940" s="1">
        <v>15.368944620000001</v>
      </c>
      <c r="F940">
        <v>1</v>
      </c>
      <c r="G940" s="1">
        <v>4.240539117</v>
      </c>
      <c r="H940" s="1">
        <v>760111.14879999997</v>
      </c>
    </row>
    <row r="941" spans="1:8" x14ac:dyDescent="0.25">
      <c r="A941">
        <v>741</v>
      </c>
      <c r="B941">
        <v>3</v>
      </c>
      <c r="C941">
        <v>2</v>
      </c>
      <c r="D941">
        <v>24</v>
      </c>
      <c r="E941" s="1">
        <v>11.004992379999999</v>
      </c>
      <c r="F941">
        <v>0</v>
      </c>
      <c r="G941" s="1">
        <v>5.3008061939999997</v>
      </c>
      <c r="H941" s="1">
        <v>396758.41700000002</v>
      </c>
    </row>
    <row r="942" spans="1:8" x14ac:dyDescent="0.25">
      <c r="A942">
        <v>2124</v>
      </c>
      <c r="B942">
        <v>1</v>
      </c>
      <c r="C942">
        <v>2</v>
      </c>
      <c r="D942">
        <v>20</v>
      </c>
      <c r="E942" s="1">
        <v>7.3342953270000004</v>
      </c>
      <c r="F942">
        <v>2</v>
      </c>
      <c r="G942" s="1">
        <v>4.197555768</v>
      </c>
      <c r="H942" s="1">
        <v>405204.022</v>
      </c>
    </row>
    <row r="943" spans="1:8" x14ac:dyDescent="0.25">
      <c r="A943">
        <v>4822</v>
      </c>
      <c r="B943">
        <v>4</v>
      </c>
      <c r="C943">
        <v>3</v>
      </c>
      <c r="D943">
        <v>36</v>
      </c>
      <c r="E943" s="1">
        <v>2.7663780189999998</v>
      </c>
      <c r="F943">
        <v>1</v>
      </c>
      <c r="G943" s="1">
        <v>7.1426055709999998</v>
      </c>
      <c r="H943" s="1">
        <v>1135708.0260000001</v>
      </c>
    </row>
    <row r="944" spans="1:8" x14ac:dyDescent="0.25">
      <c r="A944">
        <v>2192</v>
      </c>
      <c r="B944">
        <v>1</v>
      </c>
      <c r="C944">
        <v>4</v>
      </c>
      <c r="D944">
        <v>37</v>
      </c>
      <c r="E944" s="1">
        <v>31.105616439999999</v>
      </c>
      <c r="F944">
        <v>0</v>
      </c>
      <c r="G944" s="1">
        <v>6.9600894249999996</v>
      </c>
      <c r="H944" s="1">
        <v>580520.95140000002</v>
      </c>
    </row>
    <row r="945" spans="1:8" x14ac:dyDescent="0.25">
      <c r="A945">
        <v>2159</v>
      </c>
      <c r="B945">
        <v>4</v>
      </c>
      <c r="C945">
        <v>4</v>
      </c>
      <c r="D945">
        <v>0</v>
      </c>
      <c r="E945" s="1">
        <v>14.984780069999999</v>
      </c>
      <c r="F945">
        <v>2</v>
      </c>
      <c r="G945" s="1">
        <v>7.437900795</v>
      </c>
      <c r="H945" s="1">
        <v>910046.35889999999</v>
      </c>
    </row>
    <row r="946" spans="1:8" x14ac:dyDescent="0.25">
      <c r="A946">
        <v>3612</v>
      </c>
      <c r="B946">
        <v>4</v>
      </c>
      <c r="C946">
        <v>2</v>
      </c>
      <c r="D946">
        <v>24</v>
      </c>
      <c r="E946" s="1">
        <v>17.64289539</v>
      </c>
      <c r="F946">
        <v>2</v>
      </c>
      <c r="G946" s="1">
        <v>3.413289067</v>
      </c>
      <c r="H946" s="1">
        <v>729180.63520000002</v>
      </c>
    </row>
    <row r="947" spans="1:8" x14ac:dyDescent="0.25">
      <c r="A947">
        <v>1389</v>
      </c>
      <c r="B947">
        <v>3</v>
      </c>
      <c r="C947">
        <v>2</v>
      </c>
      <c r="D947">
        <v>35</v>
      </c>
      <c r="E947" s="1">
        <v>32.13450066</v>
      </c>
      <c r="F947">
        <v>1</v>
      </c>
      <c r="G947" s="1">
        <v>3.84101633</v>
      </c>
      <c r="H947" s="1">
        <v>385940.10279999999</v>
      </c>
    </row>
    <row r="948" spans="1:8" x14ac:dyDescent="0.25">
      <c r="A948">
        <v>2662</v>
      </c>
      <c r="B948">
        <v>5</v>
      </c>
      <c r="C948">
        <v>4</v>
      </c>
      <c r="D948">
        <v>20</v>
      </c>
      <c r="E948" s="1">
        <v>27.28202147</v>
      </c>
      <c r="F948">
        <v>1</v>
      </c>
      <c r="G948" s="1">
        <v>2.1272610799999998</v>
      </c>
      <c r="H948" s="1">
        <v>663398.07169999997</v>
      </c>
    </row>
    <row r="949" spans="1:8" x14ac:dyDescent="0.25">
      <c r="A949">
        <v>2882</v>
      </c>
      <c r="B949">
        <v>4</v>
      </c>
      <c r="C949">
        <v>1</v>
      </c>
      <c r="D949">
        <v>23</v>
      </c>
      <c r="E949" s="1">
        <v>5.0022936119999999</v>
      </c>
      <c r="F949">
        <v>0</v>
      </c>
      <c r="G949" s="1">
        <v>6.8995897470000003</v>
      </c>
      <c r="H949" s="1">
        <v>842128.84600000002</v>
      </c>
    </row>
    <row r="950" spans="1:8" x14ac:dyDescent="0.25">
      <c r="A950">
        <v>1351</v>
      </c>
      <c r="B950">
        <v>3</v>
      </c>
      <c r="C950">
        <v>4</v>
      </c>
      <c r="D950">
        <v>1</v>
      </c>
      <c r="E950" s="1">
        <v>20.006988880000002</v>
      </c>
      <c r="F950">
        <v>1</v>
      </c>
      <c r="G950" s="1">
        <v>1.3581741460000001</v>
      </c>
      <c r="H950" s="1">
        <v>418964.92469999997</v>
      </c>
    </row>
    <row r="951" spans="1:8" x14ac:dyDescent="0.25">
      <c r="A951">
        <v>1122</v>
      </c>
      <c r="B951">
        <v>5</v>
      </c>
      <c r="C951">
        <v>4</v>
      </c>
      <c r="D951">
        <v>39</v>
      </c>
      <c r="E951" s="1">
        <v>15.75770354</v>
      </c>
      <c r="F951">
        <v>1</v>
      </c>
      <c r="G951" s="1">
        <v>6.3791410199999996</v>
      </c>
      <c r="H951" s="1">
        <v>690398.85710000002</v>
      </c>
    </row>
    <row r="952" spans="1:8" x14ac:dyDescent="0.25">
      <c r="A952">
        <v>3789</v>
      </c>
      <c r="B952">
        <v>4</v>
      </c>
      <c r="C952">
        <v>2</v>
      </c>
      <c r="D952">
        <v>14</v>
      </c>
      <c r="E952" s="1">
        <v>28.003782000000001</v>
      </c>
      <c r="F952">
        <v>2</v>
      </c>
      <c r="G952" s="1">
        <v>8.8272629640000009</v>
      </c>
      <c r="H952" s="1">
        <v>978642.22569999995</v>
      </c>
    </row>
    <row r="953" spans="1:8" x14ac:dyDescent="0.25">
      <c r="A953">
        <v>2479</v>
      </c>
      <c r="B953">
        <v>4</v>
      </c>
      <c r="C953">
        <v>2</v>
      </c>
      <c r="D953">
        <v>31</v>
      </c>
      <c r="E953" s="1">
        <v>25.486022890000001</v>
      </c>
      <c r="F953">
        <v>1</v>
      </c>
      <c r="G953" s="1">
        <v>9.0174893350000005</v>
      </c>
      <c r="H953" s="1">
        <v>719152.37410000002</v>
      </c>
    </row>
    <row r="954" spans="1:8" x14ac:dyDescent="0.25">
      <c r="A954">
        <v>3117</v>
      </c>
      <c r="B954">
        <v>1</v>
      </c>
      <c r="C954">
        <v>1</v>
      </c>
      <c r="D954">
        <v>38</v>
      </c>
      <c r="E954" s="1">
        <v>24.318997410000001</v>
      </c>
      <c r="F954">
        <v>0</v>
      </c>
      <c r="G954" s="1">
        <v>5.0413398430000003</v>
      </c>
      <c r="H954" s="1">
        <v>514699.39419999998</v>
      </c>
    </row>
    <row r="955" spans="1:8" x14ac:dyDescent="0.25">
      <c r="A955">
        <v>2732</v>
      </c>
      <c r="B955">
        <v>1</v>
      </c>
      <c r="C955">
        <v>1</v>
      </c>
      <c r="D955">
        <v>5</v>
      </c>
      <c r="E955" s="1">
        <v>12.248796820000001</v>
      </c>
      <c r="F955">
        <v>1</v>
      </c>
      <c r="G955" s="1">
        <v>5.1337331940000004</v>
      </c>
      <c r="H955" s="1">
        <v>525860.72180000006</v>
      </c>
    </row>
    <row r="956" spans="1:8" x14ac:dyDescent="0.25">
      <c r="A956">
        <v>3776</v>
      </c>
      <c r="B956">
        <v>5</v>
      </c>
      <c r="C956">
        <v>3</v>
      </c>
      <c r="D956">
        <v>0</v>
      </c>
      <c r="E956" s="1">
        <v>28.271248700000001</v>
      </c>
      <c r="F956">
        <v>0</v>
      </c>
      <c r="G956" s="1">
        <v>1.6927226470000001</v>
      </c>
      <c r="H956" s="1">
        <v>820117.16899999999</v>
      </c>
    </row>
    <row r="957" spans="1:8" x14ac:dyDescent="0.25">
      <c r="A957">
        <v>4924</v>
      </c>
      <c r="B957">
        <v>4</v>
      </c>
      <c r="C957">
        <v>4</v>
      </c>
      <c r="D957">
        <v>22</v>
      </c>
      <c r="E957" s="1">
        <v>18</v>
      </c>
      <c r="F957">
        <v>2</v>
      </c>
      <c r="G957" s="1">
        <v>7.0368852290000001</v>
      </c>
      <c r="H957" s="1">
        <v>1085373.773</v>
      </c>
    </row>
    <row r="958" spans="1:8" x14ac:dyDescent="0.25">
      <c r="A958">
        <v>1900</v>
      </c>
      <c r="B958">
        <v>2</v>
      </c>
      <c r="C958">
        <v>3</v>
      </c>
      <c r="D958">
        <v>38</v>
      </c>
      <c r="E958" s="1">
        <v>6.0070590990000001</v>
      </c>
      <c r="F958">
        <v>0</v>
      </c>
      <c r="G958" s="1">
        <v>8.3913347829999996</v>
      </c>
      <c r="H958" s="1">
        <v>684941.5577</v>
      </c>
    </row>
    <row r="959" spans="1:8" x14ac:dyDescent="0.25">
      <c r="A959">
        <v>685</v>
      </c>
      <c r="B959">
        <v>3</v>
      </c>
      <c r="C959">
        <v>1</v>
      </c>
      <c r="D959">
        <v>16</v>
      </c>
      <c r="E959" s="1">
        <v>12.079002920000001</v>
      </c>
      <c r="F959">
        <v>1</v>
      </c>
      <c r="G959" s="1">
        <v>3.2018954910000001</v>
      </c>
      <c r="H959" s="1">
        <v>235603.52230000001</v>
      </c>
    </row>
    <row r="960" spans="1:8" x14ac:dyDescent="0.25">
      <c r="A960">
        <v>3895</v>
      </c>
      <c r="B960">
        <v>5</v>
      </c>
      <c r="C960">
        <v>3</v>
      </c>
      <c r="D960">
        <v>33</v>
      </c>
      <c r="E960" s="1">
        <v>3.149856717</v>
      </c>
      <c r="F960">
        <v>2</v>
      </c>
      <c r="G960" s="1">
        <v>4.7917079349999998</v>
      </c>
      <c r="H960" s="1">
        <v>919463.73259999999</v>
      </c>
    </row>
    <row r="961" spans="1:8" x14ac:dyDescent="0.25">
      <c r="A961">
        <v>2465</v>
      </c>
      <c r="B961">
        <v>4</v>
      </c>
      <c r="C961">
        <v>3</v>
      </c>
      <c r="D961">
        <v>28</v>
      </c>
      <c r="E961" s="1">
        <v>8.6073025750000003</v>
      </c>
      <c r="F961">
        <v>1</v>
      </c>
      <c r="G961" s="1">
        <v>8.5495540309999996</v>
      </c>
      <c r="H961" s="1">
        <v>891665.81429999997</v>
      </c>
    </row>
    <row r="962" spans="1:8" x14ac:dyDescent="0.25">
      <c r="A962">
        <v>1168</v>
      </c>
      <c r="B962">
        <v>3</v>
      </c>
      <c r="C962">
        <v>2</v>
      </c>
      <c r="D962">
        <v>8</v>
      </c>
      <c r="E962" s="1">
        <v>29.140208909999998</v>
      </c>
      <c r="F962">
        <v>2</v>
      </c>
      <c r="G962" s="1">
        <v>8.8940842090000007</v>
      </c>
      <c r="H962" s="1">
        <v>744408.40170000005</v>
      </c>
    </row>
    <row r="963" spans="1:8" x14ac:dyDescent="0.25">
      <c r="A963">
        <v>3457</v>
      </c>
      <c r="B963">
        <v>2</v>
      </c>
      <c r="C963">
        <v>2</v>
      </c>
      <c r="D963">
        <v>12</v>
      </c>
      <c r="E963" s="1">
        <v>33.214678050000003</v>
      </c>
      <c r="F963">
        <v>2</v>
      </c>
      <c r="G963" s="1">
        <v>3.1886198220000002</v>
      </c>
      <c r="H963" s="1">
        <v>627557.8382</v>
      </c>
    </row>
    <row r="964" spans="1:8" x14ac:dyDescent="0.25">
      <c r="A964">
        <v>4689</v>
      </c>
      <c r="B964">
        <v>5</v>
      </c>
      <c r="C964">
        <v>3</v>
      </c>
      <c r="D964">
        <v>5</v>
      </c>
      <c r="E964" s="1">
        <v>11.00878127</v>
      </c>
      <c r="F964">
        <v>1</v>
      </c>
      <c r="G964" s="1">
        <v>5.9551357109999996</v>
      </c>
      <c r="H964" s="1">
        <v>1075812.2420000001</v>
      </c>
    </row>
    <row r="965" spans="1:8" x14ac:dyDescent="0.25">
      <c r="A965">
        <v>2561</v>
      </c>
      <c r="B965">
        <v>4</v>
      </c>
      <c r="C965">
        <v>1</v>
      </c>
      <c r="D965">
        <v>5</v>
      </c>
      <c r="E965" s="1">
        <v>9.6257952380000003</v>
      </c>
      <c r="F965">
        <v>1</v>
      </c>
      <c r="G965" s="1">
        <v>2.7324383559999998</v>
      </c>
      <c r="H965" s="1">
        <v>533480.36060000001</v>
      </c>
    </row>
    <row r="966" spans="1:8" x14ac:dyDescent="0.25">
      <c r="A966">
        <v>3693</v>
      </c>
      <c r="B966">
        <v>1</v>
      </c>
      <c r="C966">
        <v>3</v>
      </c>
      <c r="D966">
        <v>19</v>
      </c>
      <c r="E966" s="1">
        <v>10.1562965</v>
      </c>
      <c r="F966">
        <v>2</v>
      </c>
      <c r="G966" s="1">
        <v>1.916908877</v>
      </c>
      <c r="H966" s="1">
        <v>572299.42249999999</v>
      </c>
    </row>
    <row r="967" spans="1:8" x14ac:dyDescent="0.25">
      <c r="A967">
        <v>1346</v>
      </c>
      <c r="B967">
        <v>2</v>
      </c>
      <c r="C967">
        <v>4</v>
      </c>
      <c r="D967">
        <v>2</v>
      </c>
      <c r="E967" s="1">
        <v>10.08130851</v>
      </c>
      <c r="F967">
        <v>2</v>
      </c>
      <c r="G967" s="1">
        <v>9.2000845130000002</v>
      </c>
      <c r="H967" s="1">
        <v>699540.80539999995</v>
      </c>
    </row>
    <row r="968" spans="1:8" x14ac:dyDescent="0.25">
      <c r="A968">
        <v>3735</v>
      </c>
      <c r="B968">
        <v>5</v>
      </c>
      <c r="C968">
        <v>4</v>
      </c>
      <c r="D968">
        <v>16</v>
      </c>
      <c r="E968" s="1">
        <v>1.7395912849999999</v>
      </c>
      <c r="F968">
        <v>1</v>
      </c>
      <c r="G968" s="1">
        <v>8.3845675380000007</v>
      </c>
      <c r="H968" s="1">
        <v>1124326.1869999999</v>
      </c>
    </row>
    <row r="969" spans="1:8" x14ac:dyDescent="0.25">
      <c r="A969">
        <v>4550</v>
      </c>
      <c r="B969">
        <v>2</v>
      </c>
      <c r="C969">
        <v>2</v>
      </c>
      <c r="D969">
        <v>11</v>
      </c>
      <c r="E969" s="1">
        <v>32.478613950000003</v>
      </c>
      <c r="F969">
        <v>0</v>
      </c>
      <c r="G969" s="1">
        <v>7.8403141160000001</v>
      </c>
      <c r="H969" s="1">
        <v>931637.29969999997</v>
      </c>
    </row>
    <row r="970" spans="1:8" x14ac:dyDescent="0.25">
      <c r="A970">
        <v>1881</v>
      </c>
      <c r="B970">
        <v>1</v>
      </c>
      <c r="C970">
        <v>1</v>
      </c>
      <c r="D970">
        <v>0</v>
      </c>
      <c r="E970" s="1">
        <v>7.8725858840000003</v>
      </c>
      <c r="F970">
        <v>1</v>
      </c>
      <c r="G970" s="1">
        <v>1.4388968689999999</v>
      </c>
      <c r="H970" s="1">
        <v>385863.64449999999</v>
      </c>
    </row>
    <row r="971" spans="1:8" x14ac:dyDescent="0.25">
      <c r="A971">
        <v>2301</v>
      </c>
      <c r="B971">
        <v>5</v>
      </c>
      <c r="C971">
        <v>1</v>
      </c>
      <c r="D971">
        <v>16</v>
      </c>
      <c r="E971" s="1">
        <v>14.99014056</v>
      </c>
      <c r="F971">
        <v>2</v>
      </c>
      <c r="G971" s="1">
        <v>8.5935591339999995</v>
      </c>
      <c r="H971" s="1">
        <v>814727.99100000004</v>
      </c>
    </row>
    <row r="972" spans="1:8" x14ac:dyDescent="0.25">
      <c r="A972">
        <v>3851</v>
      </c>
      <c r="B972">
        <v>3</v>
      </c>
      <c r="C972">
        <v>4</v>
      </c>
      <c r="D972">
        <v>2</v>
      </c>
      <c r="E972" s="1">
        <v>0.83419745499999998</v>
      </c>
      <c r="F972">
        <v>1</v>
      </c>
      <c r="G972" s="1">
        <v>4.9423966830000001</v>
      </c>
      <c r="H972" s="1">
        <v>871712.51280000003</v>
      </c>
    </row>
    <row r="973" spans="1:8" x14ac:dyDescent="0.25">
      <c r="A973">
        <v>4464</v>
      </c>
      <c r="B973">
        <v>3</v>
      </c>
      <c r="C973">
        <v>3</v>
      </c>
      <c r="D973">
        <v>25</v>
      </c>
      <c r="E973" s="1">
        <v>30.099450640000001</v>
      </c>
      <c r="F973">
        <v>0</v>
      </c>
      <c r="G973" s="1">
        <v>4.0815561100000002</v>
      </c>
      <c r="H973" s="1">
        <v>902992.44059999997</v>
      </c>
    </row>
    <row r="974" spans="1:8" x14ac:dyDescent="0.25">
      <c r="A974">
        <v>454</v>
      </c>
      <c r="B974">
        <v>1</v>
      </c>
      <c r="C974">
        <v>2</v>
      </c>
      <c r="D974">
        <v>14</v>
      </c>
      <c r="E974" s="1">
        <v>25.724928380000001</v>
      </c>
      <c r="F974">
        <v>1</v>
      </c>
      <c r="G974" s="1">
        <v>5.9182872489999996</v>
      </c>
      <c r="H974" s="1">
        <v>351715.35810000001</v>
      </c>
    </row>
    <row r="975" spans="1:8" x14ac:dyDescent="0.25">
      <c r="A975">
        <v>2223</v>
      </c>
      <c r="B975">
        <v>1</v>
      </c>
      <c r="C975">
        <v>3</v>
      </c>
      <c r="D975">
        <v>35</v>
      </c>
      <c r="E975" s="1">
        <v>33.163083210000003</v>
      </c>
      <c r="F975">
        <v>2</v>
      </c>
      <c r="G975" s="1">
        <v>1.822179185</v>
      </c>
      <c r="H975" s="1">
        <v>356900.6655</v>
      </c>
    </row>
    <row r="976" spans="1:8" x14ac:dyDescent="0.25">
      <c r="A976">
        <v>3862</v>
      </c>
      <c r="B976">
        <v>1</v>
      </c>
      <c r="C976">
        <v>3</v>
      </c>
      <c r="D976">
        <v>31</v>
      </c>
      <c r="E976" s="1">
        <v>27.46573403</v>
      </c>
      <c r="F976">
        <v>1</v>
      </c>
      <c r="G976" s="1">
        <v>7.8098189439999999</v>
      </c>
      <c r="H976" s="1">
        <v>782536.93460000004</v>
      </c>
    </row>
    <row r="977" spans="1:8" x14ac:dyDescent="0.25">
      <c r="A977">
        <v>3479</v>
      </c>
      <c r="B977">
        <v>3</v>
      </c>
      <c r="C977">
        <v>3</v>
      </c>
      <c r="D977">
        <v>31</v>
      </c>
      <c r="E977" s="1">
        <v>11.322874669999999</v>
      </c>
      <c r="F977">
        <v>2</v>
      </c>
      <c r="G977" s="1">
        <v>6.2419156920000001</v>
      </c>
      <c r="H977" s="1">
        <v>796510.74580000003</v>
      </c>
    </row>
    <row r="978" spans="1:8" x14ac:dyDescent="0.25">
      <c r="A978">
        <v>1232</v>
      </c>
      <c r="B978">
        <v>3</v>
      </c>
      <c r="C978">
        <v>1</v>
      </c>
      <c r="D978">
        <v>3</v>
      </c>
      <c r="E978" s="1">
        <v>9.0516308760000008</v>
      </c>
      <c r="F978">
        <v>1</v>
      </c>
      <c r="G978" s="1">
        <v>2.6793108719999998</v>
      </c>
      <c r="H978" s="1">
        <v>372904.3259</v>
      </c>
    </row>
    <row r="979" spans="1:8" x14ac:dyDescent="0.25">
      <c r="A979">
        <v>4808</v>
      </c>
      <c r="B979">
        <v>4</v>
      </c>
      <c r="C979">
        <v>3</v>
      </c>
      <c r="D979">
        <v>17</v>
      </c>
      <c r="E979" s="1">
        <v>24.57121261</v>
      </c>
      <c r="F979">
        <v>1</v>
      </c>
      <c r="G979" s="1">
        <v>2.6940897979999998</v>
      </c>
      <c r="H979" s="1">
        <v>906816.42969999998</v>
      </c>
    </row>
    <row r="980" spans="1:8" x14ac:dyDescent="0.25">
      <c r="A980">
        <v>3206</v>
      </c>
      <c r="B980">
        <v>2</v>
      </c>
      <c r="C980">
        <v>1</v>
      </c>
      <c r="D980">
        <v>20</v>
      </c>
      <c r="E980" s="1">
        <v>13.061890740000001</v>
      </c>
      <c r="F980">
        <v>2</v>
      </c>
      <c r="G980" s="1">
        <v>2.6582378640000002</v>
      </c>
      <c r="H980" s="1">
        <v>603239.97039999999</v>
      </c>
    </row>
    <row r="981" spans="1:8" x14ac:dyDescent="0.25">
      <c r="A981">
        <v>2890</v>
      </c>
      <c r="B981">
        <v>4</v>
      </c>
      <c r="C981">
        <v>4</v>
      </c>
      <c r="D981">
        <v>34</v>
      </c>
      <c r="E981" s="1">
        <v>20.034418039999998</v>
      </c>
      <c r="F981">
        <v>2</v>
      </c>
      <c r="G981" s="1">
        <v>1.5130214879999999</v>
      </c>
      <c r="H981" s="1">
        <v>618174.81889999995</v>
      </c>
    </row>
    <row r="982" spans="1:8" x14ac:dyDescent="0.25">
      <c r="A982">
        <v>727</v>
      </c>
      <c r="B982">
        <v>2</v>
      </c>
      <c r="C982">
        <v>2</v>
      </c>
      <c r="D982">
        <v>39</v>
      </c>
      <c r="E982" s="1">
        <v>0.71588275000000001</v>
      </c>
      <c r="F982">
        <v>0</v>
      </c>
      <c r="G982" s="1">
        <v>6.2901860440000004</v>
      </c>
      <c r="H982" s="1">
        <v>352284.96419999999</v>
      </c>
    </row>
    <row r="983" spans="1:8" x14ac:dyDescent="0.25">
      <c r="A983">
        <v>3710</v>
      </c>
      <c r="B983">
        <v>3</v>
      </c>
      <c r="C983">
        <v>2</v>
      </c>
      <c r="D983">
        <v>13</v>
      </c>
      <c r="E983" s="1">
        <v>2.635056708</v>
      </c>
      <c r="F983">
        <v>0</v>
      </c>
      <c r="G983" s="1">
        <v>8.5631335980000003</v>
      </c>
      <c r="H983" s="1">
        <v>1056181.2239999999</v>
      </c>
    </row>
    <row r="984" spans="1:8" x14ac:dyDescent="0.25">
      <c r="A984">
        <v>3700</v>
      </c>
      <c r="B984">
        <v>3</v>
      </c>
      <c r="C984">
        <v>3</v>
      </c>
      <c r="D984">
        <v>32</v>
      </c>
      <c r="E984" s="1">
        <v>18.97019397</v>
      </c>
      <c r="F984">
        <v>0</v>
      </c>
      <c r="G984" s="1">
        <v>1.1574839260000001</v>
      </c>
      <c r="H984" s="1">
        <v>653842.32559999998</v>
      </c>
    </row>
    <row r="985" spans="1:8" x14ac:dyDescent="0.25">
      <c r="A985">
        <v>4075</v>
      </c>
      <c r="B985">
        <v>4</v>
      </c>
      <c r="C985">
        <v>4</v>
      </c>
      <c r="D985">
        <v>13</v>
      </c>
      <c r="E985" s="1">
        <v>20.0294718</v>
      </c>
      <c r="F985">
        <v>0</v>
      </c>
      <c r="G985" s="1">
        <v>1.441041805</v>
      </c>
      <c r="H985" s="1">
        <v>740250.29449999996</v>
      </c>
    </row>
    <row r="986" spans="1:8" x14ac:dyDescent="0.25">
      <c r="A986">
        <v>3454</v>
      </c>
      <c r="B986">
        <v>5</v>
      </c>
      <c r="C986">
        <v>4</v>
      </c>
      <c r="D986">
        <v>33</v>
      </c>
      <c r="E986" s="1">
        <v>26.425126580000001</v>
      </c>
      <c r="F986">
        <v>2</v>
      </c>
      <c r="G986" s="1">
        <v>6.1549324900000002</v>
      </c>
      <c r="H986" s="1">
        <v>902947.16339999996</v>
      </c>
    </row>
    <row r="987" spans="1:8" x14ac:dyDescent="0.25">
      <c r="A987">
        <v>2543</v>
      </c>
      <c r="B987">
        <v>4</v>
      </c>
      <c r="C987">
        <v>4</v>
      </c>
      <c r="D987">
        <v>3</v>
      </c>
      <c r="E987" s="1">
        <v>5.052803527</v>
      </c>
      <c r="F987">
        <v>1</v>
      </c>
      <c r="G987" s="1">
        <v>8.3754611679999993</v>
      </c>
      <c r="H987" s="1">
        <v>952143.56059999997</v>
      </c>
    </row>
    <row r="988" spans="1:8" x14ac:dyDescent="0.25">
      <c r="A988">
        <v>1711</v>
      </c>
      <c r="B988">
        <v>2</v>
      </c>
      <c r="C988">
        <v>3</v>
      </c>
      <c r="D988">
        <v>23</v>
      </c>
      <c r="E988" s="1">
        <v>18.204816390000001</v>
      </c>
      <c r="F988">
        <v>2</v>
      </c>
      <c r="G988" s="1">
        <v>3.9406500150000001</v>
      </c>
      <c r="H988" s="1">
        <v>564868.38069999998</v>
      </c>
    </row>
    <row r="989" spans="1:8" x14ac:dyDescent="0.25">
      <c r="A989">
        <v>3591</v>
      </c>
      <c r="B989">
        <v>4</v>
      </c>
      <c r="C989">
        <v>3</v>
      </c>
      <c r="D989">
        <v>28</v>
      </c>
      <c r="E989" s="1">
        <v>7.2084437330000002</v>
      </c>
      <c r="F989">
        <v>2</v>
      </c>
      <c r="G989" s="1">
        <v>4.146529589</v>
      </c>
      <c r="H989" s="1">
        <v>764562.89509999997</v>
      </c>
    </row>
    <row r="990" spans="1:8" x14ac:dyDescent="0.25">
      <c r="A990">
        <v>2938</v>
      </c>
      <c r="B990">
        <v>1</v>
      </c>
      <c r="C990">
        <v>2</v>
      </c>
      <c r="D990">
        <v>18</v>
      </c>
      <c r="E990" s="1">
        <v>3.7152661249999999</v>
      </c>
      <c r="F990">
        <v>2</v>
      </c>
      <c r="G990" s="1">
        <v>6.367118477</v>
      </c>
      <c r="H990" s="1">
        <v>724473.87589999998</v>
      </c>
    </row>
    <row r="991" spans="1:8" x14ac:dyDescent="0.25">
      <c r="A991">
        <v>4383</v>
      </c>
      <c r="B991">
        <v>2</v>
      </c>
      <c r="C991">
        <v>1</v>
      </c>
      <c r="D991">
        <v>5</v>
      </c>
      <c r="E991" s="1">
        <v>14.662104899999999</v>
      </c>
      <c r="F991">
        <v>1</v>
      </c>
      <c r="G991" s="1">
        <v>3.4679160019999999</v>
      </c>
      <c r="H991" s="1">
        <v>832657.80409999995</v>
      </c>
    </row>
    <row r="992" spans="1:8" x14ac:dyDescent="0.25">
      <c r="A992">
        <v>4947</v>
      </c>
      <c r="B992">
        <v>2</v>
      </c>
      <c r="C992">
        <v>4</v>
      </c>
      <c r="D992">
        <v>32</v>
      </c>
      <c r="E992" s="1">
        <v>6.1351143590000001</v>
      </c>
      <c r="F992">
        <v>0</v>
      </c>
      <c r="G992" s="1">
        <v>1.2394752950000001</v>
      </c>
      <c r="H992" s="1">
        <v>758583.625</v>
      </c>
    </row>
    <row r="993" spans="1:8" x14ac:dyDescent="0.25">
      <c r="A993">
        <v>564</v>
      </c>
      <c r="B993">
        <v>5</v>
      </c>
      <c r="C993">
        <v>4</v>
      </c>
      <c r="D993">
        <v>39</v>
      </c>
      <c r="E993" s="1">
        <v>8.1514782480000001</v>
      </c>
      <c r="F993">
        <v>2</v>
      </c>
      <c r="G993" s="1">
        <v>7.6170566629999996</v>
      </c>
      <c r="H993" s="1">
        <v>638259.36820000003</v>
      </c>
    </row>
    <row r="994" spans="1:8" x14ac:dyDescent="0.25">
      <c r="A994">
        <v>4677</v>
      </c>
      <c r="B994">
        <v>3</v>
      </c>
      <c r="C994">
        <v>1</v>
      </c>
      <c r="D994">
        <v>18</v>
      </c>
      <c r="E994" s="1">
        <v>11.45563301</v>
      </c>
      <c r="F994">
        <v>2</v>
      </c>
      <c r="G994" s="1">
        <v>6.6308492159999997</v>
      </c>
      <c r="H994" s="1">
        <v>901475.05680000002</v>
      </c>
    </row>
    <row r="995" spans="1:8" x14ac:dyDescent="0.25">
      <c r="A995">
        <v>1222</v>
      </c>
      <c r="B995">
        <v>2</v>
      </c>
      <c r="C995">
        <v>4</v>
      </c>
      <c r="D995">
        <v>20</v>
      </c>
      <c r="E995" s="1">
        <v>9.4488998259999999</v>
      </c>
      <c r="F995">
        <v>0</v>
      </c>
      <c r="G995" s="1">
        <v>6.2268039919999998</v>
      </c>
      <c r="H995" s="1">
        <v>591365.75289999996</v>
      </c>
    </row>
    <row r="996" spans="1:8" x14ac:dyDescent="0.25">
      <c r="A996">
        <v>1343</v>
      </c>
      <c r="B996">
        <v>3</v>
      </c>
      <c r="C996">
        <v>3</v>
      </c>
      <c r="D996">
        <v>4</v>
      </c>
      <c r="E996" s="1">
        <v>3.5218997609999998</v>
      </c>
      <c r="F996">
        <v>2</v>
      </c>
      <c r="G996" s="1">
        <v>7.6751571609999996</v>
      </c>
      <c r="H996" s="1">
        <v>693053.93810000003</v>
      </c>
    </row>
    <row r="997" spans="1:8" x14ac:dyDescent="0.25">
      <c r="A997">
        <v>4825</v>
      </c>
      <c r="B997">
        <v>4</v>
      </c>
      <c r="C997">
        <v>3</v>
      </c>
      <c r="D997">
        <v>26</v>
      </c>
      <c r="E997" s="1">
        <v>3.6021104479999999</v>
      </c>
      <c r="F997">
        <v>1</v>
      </c>
      <c r="G997" s="1">
        <v>7.0770775380000002</v>
      </c>
      <c r="H997" s="1">
        <v>1127662.436</v>
      </c>
    </row>
    <row r="998" spans="1:8" x14ac:dyDescent="0.25">
      <c r="A998">
        <v>1174</v>
      </c>
      <c r="B998">
        <v>1</v>
      </c>
      <c r="C998">
        <v>4</v>
      </c>
      <c r="D998">
        <v>20</v>
      </c>
      <c r="E998" s="1">
        <v>7.1671048260000001</v>
      </c>
      <c r="F998">
        <v>2</v>
      </c>
      <c r="G998" s="1">
        <v>2.8529378940000001</v>
      </c>
      <c r="H998" s="1">
        <v>438756.03210000001</v>
      </c>
    </row>
    <row r="999" spans="1:8" x14ac:dyDescent="0.25">
      <c r="A999">
        <v>2598</v>
      </c>
      <c r="B999">
        <v>5</v>
      </c>
      <c r="C999">
        <v>3</v>
      </c>
      <c r="D999">
        <v>20</v>
      </c>
      <c r="E999" s="1">
        <v>2.2442919849999998</v>
      </c>
      <c r="F999">
        <v>2</v>
      </c>
      <c r="G999" s="1">
        <v>4.1723294219999998</v>
      </c>
      <c r="H999" s="1">
        <v>767881.93570000003</v>
      </c>
    </row>
    <row r="1000" spans="1:8" x14ac:dyDescent="0.25">
      <c r="A1000">
        <v>3556</v>
      </c>
      <c r="B1000">
        <v>3</v>
      </c>
      <c r="C1000">
        <v>3</v>
      </c>
      <c r="D1000">
        <v>39</v>
      </c>
      <c r="E1000" s="1">
        <v>22.112767179999999</v>
      </c>
      <c r="F1000">
        <v>0</v>
      </c>
      <c r="G1000" s="1">
        <v>2.134991275</v>
      </c>
      <c r="H1000" s="1">
        <v>542584.24699999997</v>
      </c>
    </row>
    <row r="1001" spans="1:8" x14ac:dyDescent="0.25">
      <c r="A1001">
        <v>4642</v>
      </c>
      <c r="B1001">
        <v>2</v>
      </c>
      <c r="C1001">
        <v>4</v>
      </c>
      <c r="D1001">
        <v>12</v>
      </c>
      <c r="E1001" s="1">
        <v>10.41277172</v>
      </c>
      <c r="F1001">
        <v>2</v>
      </c>
      <c r="G1001" s="1">
        <v>2.1687131210000001</v>
      </c>
      <c r="H1001" s="1">
        <v>823107.12829999998</v>
      </c>
    </row>
    <row r="1002" spans="1:8" x14ac:dyDescent="0.25">
      <c r="A1002">
        <v>4109</v>
      </c>
      <c r="B1002">
        <v>2</v>
      </c>
      <c r="C1002">
        <v>4</v>
      </c>
      <c r="D1002">
        <v>17</v>
      </c>
      <c r="E1002" s="1">
        <v>24.079155320000002</v>
      </c>
      <c r="F1002">
        <v>2</v>
      </c>
      <c r="G1002" s="1">
        <v>5.2170129510000001</v>
      </c>
      <c r="H1002" s="1">
        <v>747346.89119999995</v>
      </c>
    </row>
    <row r="1003" spans="1:8" x14ac:dyDescent="0.25">
      <c r="A1003">
        <v>4162</v>
      </c>
      <c r="B1003">
        <v>5</v>
      </c>
      <c r="C1003">
        <v>3</v>
      </c>
      <c r="D1003">
        <v>6</v>
      </c>
      <c r="E1003" s="1">
        <v>4.4916954770000004</v>
      </c>
      <c r="F1003">
        <v>1</v>
      </c>
      <c r="G1003" s="1">
        <v>1.0884479730000001</v>
      </c>
      <c r="H1003" s="1">
        <v>945179.75769999996</v>
      </c>
    </row>
    <row r="1004" spans="1:8" x14ac:dyDescent="0.25">
      <c r="A1004">
        <v>2902</v>
      </c>
      <c r="B1004">
        <v>2</v>
      </c>
      <c r="C1004">
        <v>2</v>
      </c>
      <c r="D1004">
        <v>31</v>
      </c>
      <c r="E1004" s="1">
        <v>16.690340339999999</v>
      </c>
      <c r="F1004">
        <v>0</v>
      </c>
      <c r="G1004" s="1">
        <v>7.8993635019999999</v>
      </c>
      <c r="H1004" s="1">
        <v>804734.7341</v>
      </c>
    </row>
    <row r="1005" spans="1:8" x14ac:dyDescent="0.25">
      <c r="A1005">
        <v>4948</v>
      </c>
      <c r="B1005">
        <v>1</v>
      </c>
      <c r="C1005">
        <v>4</v>
      </c>
      <c r="D1005">
        <v>37</v>
      </c>
      <c r="E1005" s="1">
        <v>16.05178179</v>
      </c>
      <c r="F1005">
        <v>0</v>
      </c>
      <c r="G1005" s="1">
        <v>9.3714868259999999</v>
      </c>
      <c r="H1005" s="1">
        <v>944975.9558</v>
      </c>
    </row>
    <row r="1006" spans="1:8" x14ac:dyDescent="0.25">
      <c r="A1006">
        <v>4965</v>
      </c>
      <c r="B1006">
        <v>1</v>
      </c>
      <c r="C1006">
        <v>1</v>
      </c>
      <c r="D1006">
        <v>33</v>
      </c>
      <c r="E1006" s="1">
        <v>6.2591219430000002</v>
      </c>
      <c r="F1006">
        <v>0</v>
      </c>
      <c r="G1006" s="1">
        <v>1.8078355049999999</v>
      </c>
      <c r="H1006" s="1">
        <v>720488.19909999997</v>
      </c>
    </row>
    <row r="1007" spans="1:8" x14ac:dyDescent="0.25">
      <c r="A1007">
        <v>4780</v>
      </c>
      <c r="B1007">
        <v>3</v>
      </c>
      <c r="C1007">
        <v>4</v>
      </c>
      <c r="D1007">
        <v>31</v>
      </c>
      <c r="E1007" s="1">
        <v>15.699786720000001</v>
      </c>
      <c r="F1007">
        <v>1</v>
      </c>
      <c r="G1007" s="1">
        <v>1.4959138160000001</v>
      </c>
      <c r="H1007" s="1">
        <v>858044.60970000003</v>
      </c>
    </row>
    <row r="1008" spans="1:8" x14ac:dyDescent="0.25">
      <c r="A1008">
        <v>2965</v>
      </c>
      <c r="B1008">
        <v>1</v>
      </c>
      <c r="C1008">
        <v>3</v>
      </c>
      <c r="D1008">
        <v>0</v>
      </c>
      <c r="E1008" s="1">
        <v>17.60177938</v>
      </c>
      <c r="F1008">
        <v>0</v>
      </c>
      <c r="G1008" s="1">
        <v>7.8384129260000002</v>
      </c>
      <c r="H1008" s="1">
        <v>802567.34790000005</v>
      </c>
    </row>
    <row r="1009" spans="1:8" x14ac:dyDescent="0.25">
      <c r="A1009">
        <v>1000</v>
      </c>
      <c r="B1009">
        <v>5</v>
      </c>
      <c r="C1009">
        <v>4</v>
      </c>
      <c r="D1009">
        <v>35</v>
      </c>
      <c r="E1009" s="1">
        <v>19.863320890000001</v>
      </c>
      <c r="F1009">
        <v>0</v>
      </c>
      <c r="G1009" s="1">
        <v>7.9995511910000001</v>
      </c>
      <c r="H1009" s="1">
        <v>636662.58869999996</v>
      </c>
    </row>
    <row r="1010" spans="1:8" x14ac:dyDescent="0.25">
      <c r="A1010">
        <v>3661</v>
      </c>
      <c r="B1010">
        <v>2</v>
      </c>
      <c r="C1010">
        <v>1</v>
      </c>
      <c r="D1010">
        <v>31</v>
      </c>
      <c r="E1010" s="1">
        <v>13.4195738</v>
      </c>
      <c r="F1010">
        <v>2</v>
      </c>
      <c r="G1010" s="1">
        <v>3.269555897</v>
      </c>
      <c r="H1010" s="1">
        <v>755733.76240000001</v>
      </c>
    </row>
    <row r="1011" spans="1:8" x14ac:dyDescent="0.25">
      <c r="A1011">
        <v>434</v>
      </c>
      <c r="B1011">
        <v>2</v>
      </c>
      <c r="C1011">
        <v>2</v>
      </c>
      <c r="D1011">
        <v>37</v>
      </c>
      <c r="E1011" s="1">
        <v>34.210096040000003</v>
      </c>
      <c r="F1011">
        <v>0</v>
      </c>
      <c r="G1011" s="1">
        <v>4.7997301050000001</v>
      </c>
      <c r="H1011" s="1">
        <v>233113.51420000001</v>
      </c>
    </row>
    <row r="1012" spans="1:8" x14ac:dyDescent="0.25">
      <c r="A1012">
        <v>1765</v>
      </c>
      <c r="B1012">
        <v>4</v>
      </c>
      <c r="C1012">
        <v>2</v>
      </c>
      <c r="D1012">
        <v>10</v>
      </c>
      <c r="E1012" s="1">
        <v>20.147214699999999</v>
      </c>
      <c r="F1012">
        <v>2</v>
      </c>
      <c r="G1012" s="1">
        <v>6.1381634839999997</v>
      </c>
      <c r="H1012" s="1">
        <v>708461.48869999999</v>
      </c>
    </row>
    <row r="1013" spans="1:8" x14ac:dyDescent="0.25">
      <c r="A1013">
        <v>3704</v>
      </c>
      <c r="B1013">
        <v>3</v>
      </c>
      <c r="C1013">
        <v>4</v>
      </c>
      <c r="D1013">
        <v>7</v>
      </c>
      <c r="E1013" s="1">
        <v>18</v>
      </c>
      <c r="F1013">
        <v>0</v>
      </c>
      <c r="G1013" s="1">
        <v>2.102480758</v>
      </c>
      <c r="H1013" s="1">
        <v>803485.88659999997</v>
      </c>
    </row>
    <row r="1014" spans="1:8" x14ac:dyDescent="0.25">
      <c r="A1014">
        <v>1881</v>
      </c>
      <c r="B1014">
        <v>1</v>
      </c>
      <c r="C1014">
        <v>1</v>
      </c>
      <c r="D1014">
        <v>0</v>
      </c>
      <c r="E1014" s="1">
        <v>7.8725858840000003</v>
      </c>
      <c r="F1014">
        <v>1</v>
      </c>
      <c r="G1014" s="1">
        <v>1.4388968689999999</v>
      </c>
      <c r="H1014" s="1">
        <v>385863.64449999999</v>
      </c>
    </row>
    <row r="1015" spans="1:8" x14ac:dyDescent="0.25">
      <c r="A1015">
        <v>2064</v>
      </c>
      <c r="B1015">
        <v>3</v>
      </c>
      <c r="C1015">
        <v>4</v>
      </c>
      <c r="D1015">
        <v>16</v>
      </c>
      <c r="E1015" s="1">
        <v>5.9744211419999997</v>
      </c>
      <c r="F1015">
        <v>1</v>
      </c>
      <c r="G1015" s="1">
        <v>5.2609209339999996</v>
      </c>
      <c r="H1015" s="1">
        <v>591452.20209999999</v>
      </c>
    </row>
    <row r="1016" spans="1:8" x14ac:dyDescent="0.25">
      <c r="A1016">
        <v>4464</v>
      </c>
      <c r="B1016">
        <v>3</v>
      </c>
      <c r="C1016">
        <v>3</v>
      </c>
      <c r="D1016">
        <v>25</v>
      </c>
      <c r="E1016" s="1">
        <v>30.099450640000001</v>
      </c>
      <c r="F1016">
        <v>0</v>
      </c>
      <c r="G1016" s="1">
        <v>4.0815561100000002</v>
      </c>
      <c r="H1016" s="1">
        <v>902992.44059999997</v>
      </c>
    </row>
    <row r="1017" spans="1:8" x14ac:dyDescent="0.25">
      <c r="A1017">
        <v>1682</v>
      </c>
      <c r="B1017">
        <v>3</v>
      </c>
      <c r="C1017">
        <v>3</v>
      </c>
      <c r="D1017">
        <v>0</v>
      </c>
      <c r="E1017" s="1">
        <v>15.1546178</v>
      </c>
      <c r="F1017">
        <v>0</v>
      </c>
      <c r="G1017" s="1">
        <v>3.971403553</v>
      </c>
      <c r="H1017" s="1">
        <v>643473.81079999998</v>
      </c>
    </row>
    <row r="1018" spans="1:8" x14ac:dyDescent="0.25">
      <c r="A1018">
        <v>606</v>
      </c>
      <c r="B1018">
        <v>3</v>
      </c>
      <c r="C1018">
        <v>1</v>
      </c>
      <c r="D1018">
        <v>28</v>
      </c>
      <c r="E1018" s="1">
        <v>26.009583930000002</v>
      </c>
      <c r="F1018">
        <v>0</v>
      </c>
      <c r="G1018" s="1">
        <v>5.3490886829999997</v>
      </c>
      <c r="H1018" s="1">
        <v>341848.60100000002</v>
      </c>
    </row>
    <row r="1019" spans="1:8" x14ac:dyDescent="0.25">
      <c r="A1019">
        <v>3571</v>
      </c>
      <c r="B1019">
        <v>2</v>
      </c>
      <c r="C1019">
        <v>2</v>
      </c>
      <c r="D1019">
        <v>35</v>
      </c>
      <c r="E1019" s="1">
        <v>23.86175823</v>
      </c>
      <c r="F1019">
        <v>0</v>
      </c>
      <c r="G1019" s="1">
        <v>5</v>
      </c>
      <c r="H1019" s="1">
        <v>753400.04370000004</v>
      </c>
    </row>
    <row r="1020" spans="1:8" x14ac:dyDescent="0.25">
      <c r="A1020">
        <v>1974</v>
      </c>
      <c r="B1020">
        <v>5</v>
      </c>
      <c r="C1020">
        <v>1</v>
      </c>
      <c r="D1020">
        <v>8</v>
      </c>
      <c r="E1020" s="1">
        <v>28.716042550000001</v>
      </c>
      <c r="F1020">
        <v>0</v>
      </c>
      <c r="G1020" s="1">
        <v>1.6187851579999999</v>
      </c>
      <c r="H1020" s="1">
        <v>524127.13579999999</v>
      </c>
    </row>
    <row r="1021" spans="1:8" x14ac:dyDescent="0.25">
      <c r="A1021">
        <v>3886</v>
      </c>
      <c r="B1021">
        <v>4</v>
      </c>
      <c r="C1021">
        <v>3</v>
      </c>
      <c r="D1021">
        <v>31</v>
      </c>
      <c r="E1021" s="1">
        <v>20.995855930000001</v>
      </c>
      <c r="F1021">
        <v>0</v>
      </c>
      <c r="G1021" s="1">
        <v>9.1794384789999999</v>
      </c>
      <c r="H1021" s="1">
        <v>1023836.552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9717-87BD-4563-8610-A59E2DDDD0E5}">
  <sheetPr codeName="Sheet2"/>
  <dimension ref="A1:H1021"/>
  <sheetViews>
    <sheetView workbookViewId="0">
      <selection activeCell="E5" sqref="E5"/>
    </sheetView>
  </sheetViews>
  <sheetFormatPr defaultRowHeight="15" x14ac:dyDescent="0.25"/>
  <cols>
    <col min="1" max="1" width="11.5703125" bestFit="1" customWidth="1"/>
    <col min="2" max="2" width="12.28515625" bestFit="1" customWidth="1"/>
    <col min="3" max="3" width="12.85546875" bestFit="1" customWidth="1"/>
    <col min="4" max="4" width="6.42578125" bestFit="1" customWidth="1"/>
    <col min="5" max="5" width="18.7109375" bestFit="1" customWidth="1"/>
    <col min="6" max="6" width="9.85546875" bestFit="1" customWidth="1"/>
    <col min="7" max="7" width="16.28515625" bestFit="1" customWidth="1"/>
    <col min="8" max="8" width="8" bestFit="1" customWidth="1"/>
  </cols>
  <sheetData>
    <row r="1" spans="1:8" x14ac:dyDescent="0.25">
      <c r="A1" t="s">
        <v>0</v>
      </c>
      <c r="B1" t="s">
        <v>1</v>
      </c>
      <c r="C1" t="s">
        <v>2</v>
      </c>
      <c r="D1" t="s">
        <v>3</v>
      </c>
      <c r="E1" t="s">
        <v>4</v>
      </c>
      <c r="F1" t="s">
        <v>5</v>
      </c>
      <c r="G1" t="s">
        <v>6</v>
      </c>
      <c r="H1" t="s">
        <v>7</v>
      </c>
    </row>
    <row r="2" spans="1:8" x14ac:dyDescent="0.25">
      <c r="A2">
        <v>4172</v>
      </c>
      <c r="B2">
        <v>3</v>
      </c>
      <c r="C2">
        <v>2</v>
      </c>
      <c r="D2">
        <v>37</v>
      </c>
      <c r="E2">
        <v>25</v>
      </c>
      <c r="F2">
        <v>1</v>
      </c>
      <c r="G2">
        <v>6</v>
      </c>
      <c r="H2">
        <v>857411</v>
      </c>
    </row>
    <row r="3" spans="1:8" x14ac:dyDescent="0.25">
      <c r="A3">
        <v>1169</v>
      </c>
      <c r="B3">
        <v>3</v>
      </c>
      <c r="C3">
        <v>2</v>
      </c>
      <c r="D3">
        <v>8</v>
      </c>
      <c r="E3">
        <v>18</v>
      </c>
      <c r="F3">
        <v>1</v>
      </c>
      <c r="G3">
        <v>2</v>
      </c>
      <c r="H3">
        <v>362463</v>
      </c>
    </row>
    <row r="4" spans="1:8" x14ac:dyDescent="0.25">
      <c r="A4">
        <v>2299</v>
      </c>
      <c r="B4">
        <v>3</v>
      </c>
      <c r="C4">
        <v>2</v>
      </c>
      <c r="D4">
        <v>13</v>
      </c>
      <c r="E4">
        <v>9</v>
      </c>
      <c r="F4">
        <v>1</v>
      </c>
      <c r="G4">
        <v>8</v>
      </c>
      <c r="H4">
        <v>808358</v>
      </c>
    </row>
    <row r="5" spans="1:8" x14ac:dyDescent="0.25">
      <c r="A5">
        <v>2763</v>
      </c>
      <c r="B5">
        <v>3</v>
      </c>
      <c r="C5">
        <v>3</v>
      </c>
      <c r="D5">
        <v>18</v>
      </c>
      <c r="E5">
        <v>26</v>
      </c>
      <c r="F5">
        <v>1</v>
      </c>
      <c r="G5">
        <v>5</v>
      </c>
      <c r="H5">
        <v>684788</v>
      </c>
    </row>
    <row r="6" spans="1:8" x14ac:dyDescent="0.25">
      <c r="A6">
        <v>1878</v>
      </c>
      <c r="B6">
        <v>3</v>
      </c>
      <c r="C6">
        <v>4</v>
      </c>
      <c r="D6">
        <v>13</v>
      </c>
      <c r="E6">
        <v>33</v>
      </c>
      <c r="F6">
        <v>1</v>
      </c>
      <c r="G6">
        <v>2</v>
      </c>
      <c r="H6">
        <v>639201</v>
      </c>
    </row>
    <row r="7" spans="1:8" x14ac:dyDescent="0.25">
      <c r="A7">
        <v>2355</v>
      </c>
      <c r="B7">
        <v>3</v>
      </c>
      <c r="C7">
        <v>2</v>
      </c>
      <c r="D7">
        <v>39</v>
      </c>
      <c r="E7">
        <v>19</v>
      </c>
      <c r="F7">
        <v>1</v>
      </c>
      <c r="G7">
        <v>3</v>
      </c>
      <c r="H7">
        <v>413161</v>
      </c>
    </row>
    <row r="8" spans="1:8" x14ac:dyDescent="0.25">
      <c r="A8">
        <v>4343</v>
      </c>
      <c r="B8">
        <v>3</v>
      </c>
      <c r="C8">
        <v>4</v>
      </c>
      <c r="D8">
        <v>29</v>
      </c>
      <c r="E8">
        <v>20</v>
      </c>
      <c r="F8">
        <v>1</v>
      </c>
      <c r="G8">
        <v>7</v>
      </c>
      <c r="H8">
        <v>832321</v>
      </c>
    </row>
    <row r="9" spans="1:8" x14ac:dyDescent="0.25">
      <c r="A9">
        <v>4914</v>
      </c>
      <c r="B9">
        <v>3</v>
      </c>
      <c r="C9">
        <v>3</v>
      </c>
      <c r="D9">
        <v>3</v>
      </c>
      <c r="E9">
        <v>9</v>
      </c>
      <c r="F9">
        <v>1</v>
      </c>
      <c r="G9">
        <v>7</v>
      </c>
      <c r="H9">
        <v>1062143</v>
      </c>
    </row>
    <row r="10" spans="1:8" x14ac:dyDescent="0.25">
      <c r="A10">
        <v>3499</v>
      </c>
      <c r="B10">
        <v>3</v>
      </c>
      <c r="C10">
        <v>2</v>
      </c>
      <c r="D10">
        <v>23</v>
      </c>
      <c r="E10">
        <v>16</v>
      </c>
      <c r="F10">
        <v>1</v>
      </c>
      <c r="G10">
        <v>10</v>
      </c>
      <c r="H10">
        <v>909541</v>
      </c>
    </row>
    <row r="11" spans="1:8" x14ac:dyDescent="0.25">
      <c r="A11">
        <v>600</v>
      </c>
      <c r="B11">
        <v>3</v>
      </c>
      <c r="C11">
        <v>2</v>
      </c>
      <c r="D11">
        <v>31</v>
      </c>
      <c r="E11">
        <v>18</v>
      </c>
      <c r="F11">
        <v>1</v>
      </c>
      <c r="G11">
        <v>3</v>
      </c>
      <c r="H11">
        <v>307378</v>
      </c>
    </row>
    <row r="12" spans="1:8" x14ac:dyDescent="0.25">
      <c r="A12">
        <v>3190</v>
      </c>
      <c r="B12">
        <v>3</v>
      </c>
      <c r="C12">
        <v>4</v>
      </c>
      <c r="D12">
        <v>20</v>
      </c>
      <c r="E12">
        <v>18</v>
      </c>
      <c r="F12">
        <v>1</v>
      </c>
      <c r="G12">
        <v>3</v>
      </c>
      <c r="H12">
        <v>622551</v>
      </c>
    </row>
    <row r="13" spans="1:8" x14ac:dyDescent="0.25">
      <c r="A13">
        <v>3129</v>
      </c>
      <c r="B13">
        <v>3</v>
      </c>
      <c r="C13">
        <v>3</v>
      </c>
      <c r="D13">
        <v>0</v>
      </c>
      <c r="E13">
        <v>8</v>
      </c>
      <c r="F13">
        <v>1</v>
      </c>
      <c r="G13">
        <v>4</v>
      </c>
      <c r="H13">
        <v>754896</v>
      </c>
    </row>
    <row r="14" spans="1:8" x14ac:dyDescent="0.25">
      <c r="A14">
        <v>3093</v>
      </c>
      <c r="B14">
        <v>3</v>
      </c>
      <c r="C14">
        <v>4</v>
      </c>
      <c r="D14">
        <v>37</v>
      </c>
      <c r="E14">
        <v>25</v>
      </c>
      <c r="F14">
        <v>1</v>
      </c>
      <c r="G14">
        <v>4</v>
      </c>
      <c r="H14">
        <v>726901</v>
      </c>
    </row>
    <row r="15" spans="1:8" x14ac:dyDescent="0.25">
      <c r="A15">
        <v>4027</v>
      </c>
      <c r="B15">
        <v>3</v>
      </c>
      <c r="C15">
        <v>2</v>
      </c>
      <c r="D15">
        <v>20</v>
      </c>
      <c r="E15">
        <v>8</v>
      </c>
      <c r="F15">
        <v>1</v>
      </c>
      <c r="G15">
        <v>3</v>
      </c>
      <c r="H15">
        <v>775768</v>
      </c>
    </row>
    <row r="16" spans="1:8" x14ac:dyDescent="0.25">
      <c r="A16">
        <v>2438</v>
      </c>
      <c r="B16">
        <v>3</v>
      </c>
      <c r="C16">
        <v>2</v>
      </c>
      <c r="D16">
        <v>11</v>
      </c>
      <c r="E16">
        <v>2</v>
      </c>
      <c r="F16">
        <v>1</v>
      </c>
      <c r="G16">
        <v>4</v>
      </c>
      <c r="H16">
        <v>514595</v>
      </c>
    </row>
    <row r="17" spans="1:8" x14ac:dyDescent="0.25">
      <c r="A17">
        <v>1706</v>
      </c>
      <c r="B17">
        <v>3</v>
      </c>
      <c r="C17">
        <v>3</v>
      </c>
      <c r="D17">
        <v>26</v>
      </c>
      <c r="E17">
        <v>3</v>
      </c>
      <c r="F17">
        <v>1</v>
      </c>
      <c r="G17">
        <v>9</v>
      </c>
      <c r="H17">
        <v>729426</v>
      </c>
    </row>
    <row r="18" spans="1:8" x14ac:dyDescent="0.25">
      <c r="A18">
        <v>3399</v>
      </c>
      <c r="B18">
        <v>3</v>
      </c>
      <c r="C18">
        <v>3</v>
      </c>
      <c r="D18">
        <v>36</v>
      </c>
      <c r="E18">
        <v>15</v>
      </c>
      <c r="F18">
        <v>1</v>
      </c>
      <c r="G18">
        <v>2</v>
      </c>
      <c r="H18">
        <v>618337</v>
      </c>
    </row>
    <row r="19" spans="1:8" x14ac:dyDescent="0.25">
      <c r="A19">
        <v>3177</v>
      </c>
      <c r="B19">
        <v>3</v>
      </c>
      <c r="C19">
        <v>1</v>
      </c>
      <c r="D19">
        <v>18</v>
      </c>
      <c r="E19">
        <v>28</v>
      </c>
      <c r="F19">
        <v>1</v>
      </c>
      <c r="G19">
        <v>8</v>
      </c>
      <c r="H19">
        <v>918555</v>
      </c>
    </row>
    <row r="20" spans="1:8" x14ac:dyDescent="0.25">
      <c r="A20">
        <v>3797</v>
      </c>
      <c r="B20">
        <v>3</v>
      </c>
      <c r="C20">
        <v>2</v>
      </c>
      <c r="D20">
        <v>22</v>
      </c>
      <c r="E20">
        <v>8</v>
      </c>
      <c r="F20">
        <v>1</v>
      </c>
      <c r="G20">
        <v>7</v>
      </c>
      <c r="H20">
        <v>971131</v>
      </c>
    </row>
    <row r="21" spans="1:8" x14ac:dyDescent="0.25">
      <c r="A21">
        <v>2194</v>
      </c>
      <c r="B21">
        <v>3</v>
      </c>
      <c r="C21">
        <v>3</v>
      </c>
      <c r="D21">
        <v>22</v>
      </c>
      <c r="E21">
        <v>25</v>
      </c>
      <c r="F21">
        <v>1</v>
      </c>
      <c r="G21">
        <v>6</v>
      </c>
      <c r="H21">
        <v>690437</v>
      </c>
    </row>
    <row r="22" spans="1:8" x14ac:dyDescent="0.25">
      <c r="A22">
        <v>3211</v>
      </c>
      <c r="B22">
        <v>3</v>
      </c>
      <c r="C22">
        <v>1</v>
      </c>
      <c r="D22">
        <v>17</v>
      </c>
      <c r="E22">
        <v>15</v>
      </c>
      <c r="F22">
        <v>1</v>
      </c>
      <c r="G22">
        <v>4</v>
      </c>
      <c r="H22">
        <v>615630</v>
      </c>
    </row>
    <row r="23" spans="1:8" x14ac:dyDescent="0.25">
      <c r="A23">
        <v>1769</v>
      </c>
      <c r="B23">
        <v>3</v>
      </c>
      <c r="C23">
        <v>4</v>
      </c>
      <c r="D23">
        <v>17</v>
      </c>
      <c r="E23">
        <v>32</v>
      </c>
      <c r="F23">
        <v>1</v>
      </c>
      <c r="G23">
        <v>5</v>
      </c>
      <c r="H23">
        <v>536850</v>
      </c>
    </row>
    <row r="24" spans="1:8" x14ac:dyDescent="0.25">
      <c r="A24">
        <v>4948</v>
      </c>
      <c r="B24">
        <v>3</v>
      </c>
      <c r="C24">
        <v>2</v>
      </c>
      <c r="D24">
        <v>12</v>
      </c>
      <c r="E24">
        <v>28</v>
      </c>
      <c r="F24">
        <v>1</v>
      </c>
      <c r="G24">
        <v>9</v>
      </c>
      <c r="H24">
        <v>1065861</v>
      </c>
    </row>
    <row r="25" spans="1:8" x14ac:dyDescent="0.25">
      <c r="A25">
        <v>2773</v>
      </c>
      <c r="B25">
        <v>3</v>
      </c>
      <c r="C25">
        <v>2</v>
      </c>
      <c r="D25">
        <v>39</v>
      </c>
      <c r="E25">
        <v>15</v>
      </c>
      <c r="F25">
        <v>1</v>
      </c>
      <c r="G25">
        <v>2</v>
      </c>
      <c r="H25">
        <v>656583</v>
      </c>
    </row>
    <row r="26" spans="1:8" x14ac:dyDescent="0.25">
      <c r="A26">
        <v>2727</v>
      </c>
      <c r="B26">
        <v>3</v>
      </c>
      <c r="C26">
        <v>2</v>
      </c>
      <c r="D26">
        <v>19</v>
      </c>
      <c r="E26">
        <v>16</v>
      </c>
      <c r="F26">
        <v>1</v>
      </c>
      <c r="G26">
        <v>10</v>
      </c>
      <c r="H26">
        <v>799061</v>
      </c>
    </row>
    <row r="27" spans="1:8" x14ac:dyDescent="0.25">
      <c r="A27">
        <v>3375</v>
      </c>
      <c r="B27">
        <v>3</v>
      </c>
      <c r="C27">
        <v>3</v>
      </c>
      <c r="D27">
        <v>4</v>
      </c>
      <c r="E27">
        <v>24</v>
      </c>
      <c r="F27">
        <v>1</v>
      </c>
      <c r="G27">
        <v>4</v>
      </c>
      <c r="H27">
        <v>789367</v>
      </c>
    </row>
    <row r="28" spans="1:8" x14ac:dyDescent="0.25">
      <c r="A28">
        <v>969</v>
      </c>
      <c r="B28">
        <v>3</v>
      </c>
      <c r="C28">
        <v>3</v>
      </c>
      <c r="D28">
        <v>3</v>
      </c>
      <c r="E28">
        <v>25</v>
      </c>
      <c r="F28">
        <v>1</v>
      </c>
      <c r="G28">
        <v>8</v>
      </c>
      <c r="H28">
        <v>684416</v>
      </c>
    </row>
    <row r="29" spans="1:8" x14ac:dyDescent="0.25">
      <c r="A29">
        <v>2937</v>
      </c>
      <c r="B29">
        <v>3</v>
      </c>
      <c r="C29">
        <v>1</v>
      </c>
      <c r="D29">
        <v>26</v>
      </c>
      <c r="E29">
        <v>29</v>
      </c>
      <c r="F29">
        <v>1</v>
      </c>
      <c r="G29">
        <v>8</v>
      </c>
      <c r="H29">
        <v>808257</v>
      </c>
    </row>
    <row r="30" spans="1:8" x14ac:dyDescent="0.25">
      <c r="A30">
        <v>3101</v>
      </c>
      <c r="B30">
        <v>3</v>
      </c>
      <c r="C30">
        <v>4</v>
      </c>
      <c r="D30">
        <v>21</v>
      </c>
      <c r="E30">
        <v>18</v>
      </c>
      <c r="F30">
        <v>1</v>
      </c>
      <c r="G30">
        <v>5</v>
      </c>
      <c r="H30">
        <v>720524</v>
      </c>
    </row>
    <row r="31" spans="1:8" x14ac:dyDescent="0.25">
      <c r="A31">
        <v>1548</v>
      </c>
      <c r="B31">
        <v>3</v>
      </c>
      <c r="C31">
        <v>4</v>
      </c>
      <c r="D31">
        <v>20</v>
      </c>
      <c r="E31">
        <v>13</v>
      </c>
      <c r="F31">
        <v>1</v>
      </c>
      <c r="G31">
        <v>5</v>
      </c>
      <c r="H31">
        <v>581430</v>
      </c>
    </row>
    <row r="32" spans="1:8" x14ac:dyDescent="0.25">
      <c r="A32">
        <v>4254</v>
      </c>
      <c r="B32">
        <v>3</v>
      </c>
      <c r="C32">
        <v>3</v>
      </c>
      <c r="D32">
        <v>10</v>
      </c>
      <c r="E32">
        <v>13</v>
      </c>
      <c r="F32">
        <v>1</v>
      </c>
      <c r="G32">
        <v>5</v>
      </c>
      <c r="H32">
        <v>793240</v>
      </c>
    </row>
    <row r="33" spans="1:8" x14ac:dyDescent="0.25">
      <c r="A33">
        <v>3451</v>
      </c>
      <c r="B33">
        <v>3</v>
      </c>
      <c r="C33">
        <v>3</v>
      </c>
      <c r="D33">
        <v>27</v>
      </c>
      <c r="E33">
        <v>30</v>
      </c>
      <c r="F33">
        <v>1</v>
      </c>
      <c r="G33">
        <v>3</v>
      </c>
      <c r="H33">
        <v>663033</v>
      </c>
    </row>
    <row r="34" spans="1:8" x14ac:dyDescent="0.25">
      <c r="A34">
        <v>4542</v>
      </c>
      <c r="B34">
        <v>3</v>
      </c>
      <c r="C34">
        <v>1</v>
      </c>
      <c r="D34">
        <v>33</v>
      </c>
      <c r="E34">
        <v>4</v>
      </c>
      <c r="F34">
        <v>1</v>
      </c>
      <c r="G34">
        <v>2</v>
      </c>
      <c r="H34">
        <v>684856</v>
      </c>
    </row>
    <row r="35" spans="1:8" x14ac:dyDescent="0.25">
      <c r="A35">
        <v>2064</v>
      </c>
      <c r="B35">
        <v>3</v>
      </c>
      <c r="C35">
        <v>4</v>
      </c>
      <c r="D35">
        <v>16</v>
      </c>
      <c r="E35">
        <v>6</v>
      </c>
      <c r="F35">
        <v>1</v>
      </c>
      <c r="G35">
        <v>5</v>
      </c>
      <c r="H35">
        <v>591452</v>
      </c>
    </row>
    <row r="36" spans="1:8" x14ac:dyDescent="0.25">
      <c r="A36">
        <v>3249</v>
      </c>
      <c r="B36">
        <v>3</v>
      </c>
      <c r="C36">
        <v>3</v>
      </c>
      <c r="D36">
        <v>18</v>
      </c>
      <c r="E36">
        <v>15</v>
      </c>
      <c r="F36">
        <v>1</v>
      </c>
      <c r="G36">
        <v>9</v>
      </c>
      <c r="H36">
        <v>939155</v>
      </c>
    </row>
    <row r="37" spans="1:8" x14ac:dyDescent="0.25">
      <c r="A37">
        <v>4649</v>
      </c>
      <c r="B37">
        <v>3</v>
      </c>
      <c r="C37">
        <v>3</v>
      </c>
      <c r="D37">
        <v>16</v>
      </c>
      <c r="E37">
        <v>7</v>
      </c>
      <c r="F37">
        <v>1</v>
      </c>
      <c r="G37">
        <v>3</v>
      </c>
      <c r="H37">
        <v>833140</v>
      </c>
    </row>
    <row r="38" spans="1:8" x14ac:dyDescent="0.25">
      <c r="A38">
        <v>3518</v>
      </c>
      <c r="B38">
        <v>3</v>
      </c>
      <c r="C38">
        <v>4</v>
      </c>
      <c r="D38">
        <v>31</v>
      </c>
      <c r="E38">
        <v>21</v>
      </c>
      <c r="F38">
        <v>1</v>
      </c>
      <c r="G38">
        <v>5</v>
      </c>
      <c r="H38">
        <v>736579</v>
      </c>
    </row>
    <row r="39" spans="1:8" x14ac:dyDescent="0.25">
      <c r="A39">
        <v>1295</v>
      </c>
      <c r="B39">
        <v>3</v>
      </c>
      <c r="C39">
        <v>3</v>
      </c>
      <c r="D39">
        <v>32</v>
      </c>
      <c r="E39">
        <v>27</v>
      </c>
      <c r="F39">
        <v>1</v>
      </c>
      <c r="G39">
        <v>7</v>
      </c>
      <c r="H39">
        <v>564108</v>
      </c>
    </row>
    <row r="40" spans="1:8" x14ac:dyDescent="0.25">
      <c r="A40">
        <v>3946</v>
      </c>
      <c r="B40">
        <v>3</v>
      </c>
      <c r="C40">
        <v>4</v>
      </c>
      <c r="D40">
        <v>31</v>
      </c>
      <c r="E40">
        <v>26</v>
      </c>
      <c r="F40">
        <v>1</v>
      </c>
      <c r="G40">
        <v>6</v>
      </c>
      <c r="H40">
        <v>1116141</v>
      </c>
    </row>
    <row r="41" spans="1:8" x14ac:dyDescent="0.25">
      <c r="A41">
        <v>2087</v>
      </c>
      <c r="B41">
        <v>3</v>
      </c>
      <c r="C41">
        <v>1</v>
      </c>
      <c r="D41">
        <v>18</v>
      </c>
      <c r="E41">
        <v>8</v>
      </c>
      <c r="F41">
        <v>1</v>
      </c>
      <c r="G41">
        <v>6</v>
      </c>
      <c r="H41">
        <v>710205</v>
      </c>
    </row>
    <row r="42" spans="1:8" x14ac:dyDescent="0.25">
      <c r="A42">
        <v>4146</v>
      </c>
      <c r="B42">
        <v>3</v>
      </c>
      <c r="C42">
        <v>3</v>
      </c>
      <c r="D42">
        <v>2</v>
      </c>
      <c r="E42">
        <v>10</v>
      </c>
      <c r="F42">
        <v>1</v>
      </c>
      <c r="G42">
        <v>6</v>
      </c>
      <c r="H42">
        <v>938984</v>
      </c>
    </row>
    <row r="43" spans="1:8" x14ac:dyDescent="0.25">
      <c r="A43">
        <v>4780</v>
      </c>
      <c r="B43">
        <v>3</v>
      </c>
      <c r="C43">
        <v>3</v>
      </c>
      <c r="D43">
        <v>21</v>
      </c>
      <c r="E43">
        <v>7</v>
      </c>
      <c r="F43">
        <v>1</v>
      </c>
      <c r="G43">
        <v>3</v>
      </c>
      <c r="H43">
        <v>898260</v>
      </c>
    </row>
    <row r="44" spans="1:8" x14ac:dyDescent="0.25">
      <c r="A44">
        <v>3469</v>
      </c>
      <c r="B44">
        <v>3</v>
      </c>
      <c r="C44">
        <v>2</v>
      </c>
      <c r="D44">
        <v>7</v>
      </c>
      <c r="E44">
        <v>28</v>
      </c>
      <c r="F44">
        <v>1</v>
      </c>
      <c r="G44">
        <v>6</v>
      </c>
      <c r="H44">
        <v>858763</v>
      </c>
    </row>
    <row r="45" spans="1:8" x14ac:dyDescent="0.25">
      <c r="A45">
        <v>4374</v>
      </c>
      <c r="B45">
        <v>3</v>
      </c>
      <c r="C45">
        <v>4</v>
      </c>
      <c r="D45">
        <v>29</v>
      </c>
      <c r="E45">
        <v>20</v>
      </c>
      <c r="F45">
        <v>1</v>
      </c>
      <c r="G45">
        <v>10</v>
      </c>
      <c r="H45">
        <v>1128281</v>
      </c>
    </row>
    <row r="46" spans="1:8" x14ac:dyDescent="0.25">
      <c r="A46">
        <v>3667</v>
      </c>
      <c r="B46">
        <v>3</v>
      </c>
      <c r="C46">
        <v>1</v>
      </c>
      <c r="D46">
        <v>6</v>
      </c>
      <c r="E46">
        <v>11</v>
      </c>
      <c r="F46">
        <v>1</v>
      </c>
      <c r="G46">
        <v>6</v>
      </c>
      <c r="H46">
        <v>794331</v>
      </c>
    </row>
    <row r="47" spans="1:8" x14ac:dyDescent="0.25">
      <c r="A47">
        <v>1075</v>
      </c>
      <c r="B47">
        <v>3</v>
      </c>
      <c r="C47">
        <v>2</v>
      </c>
      <c r="D47">
        <v>36</v>
      </c>
      <c r="E47">
        <v>11</v>
      </c>
      <c r="F47">
        <v>1</v>
      </c>
      <c r="G47">
        <v>3</v>
      </c>
      <c r="H47">
        <v>370228</v>
      </c>
    </row>
    <row r="48" spans="1:8" x14ac:dyDescent="0.25">
      <c r="A48">
        <v>1522</v>
      </c>
      <c r="B48">
        <v>3</v>
      </c>
      <c r="C48">
        <v>1</v>
      </c>
      <c r="D48">
        <v>8</v>
      </c>
      <c r="E48">
        <v>11</v>
      </c>
      <c r="F48">
        <v>1</v>
      </c>
      <c r="G48">
        <v>6</v>
      </c>
      <c r="H48">
        <v>611098</v>
      </c>
    </row>
    <row r="49" spans="1:8" x14ac:dyDescent="0.25">
      <c r="A49">
        <v>3840</v>
      </c>
      <c r="B49">
        <v>3</v>
      </c>
      <c r="C49">
        <v>1</v>
      </c>
      <c r="D49">
        <v>20</v>
      </c>
      <c r="E49">
        <v>14</v>
      </c>
      <c r="F49">
        <v>1</v>
      </c>
      <c r="G49">
        <v>5</v>
      </c>
      <c r="H49">
        <v>847893</v>
      </c>
    </row>
    <row r="50" spans="1:8" x14ac:dyDescent="0.25">
      <c r="A50">
        <v>1117</v>
      </c>
      <c r="B50">
        <v>3</v>
      </c>
      <c r="C50">
        <v>1</v>
      </c>
      <c r="D50">
        <v>18</v>
      </c>
      <c r="E50">
        <v>18</v>
      </c>
      <c r="F50">
        <v>1</v>
      </c>
      <c r="G50">
        <v>10</v>
      </c>
      <c r="H50">
        <v>724131</v>
      </c>
    </row>
    <row r="51" spans="1:8" x14ac:dyDescent="0.25">
      <c r="A51">
        <v>4891</v>
      </c>
      <c r="B51">
        <v>3</v>
      </c>
      <c r="C51">
        <v>3</v>
      </c>
      <c r="D51">
        <v>16</v>
      </c>
      <c r="E51">
        <v>33</v>
      </c>
      <c r="F51">
        <v>1</v>
      </c>
      <c r="G51">
        <v>7</v>
      </c>
      <c r="H51">
        <v>937065</v>
      </c>
    </row>
    <row r="52" spans="1:8" x14ac:dyDescent="0.25">
      <c r="A52">
        <v>3338</v>
      </c>
      <c r="B52">
        <v>3</v>
      </c>
      <c r="C52">
        <v>4</v>
      </c>
      <c r="D52">
        <v>33</v>
      </c>
      <c r="E52">
        <v>29</v>
      </c>
      <c r="F52">
        <v>1</v>
      </c>
      <c r="G52">
        <v>5</v>
      </c>
      <c r="H52">
        <v>742318</v>
      </c>
    </row>
    <row r="53" spans="1:8" x14ac:dyDescent="0.25">
      <c r="A53">
        <v>2939</v>
      </c>
      <c r="B53">
        <v>3</v>
      </c>
      <c r="C53">
        <v>4</v>
      </c>
      <c r="D53">
        <v>13</v>
      </c>
      <c r="E53">
        <v>15</v>
      </c>
      <c r="F53">
        <v>1</v>
      </c>
      <c r="G53">
        <v>9</v>
      </c>
      <c r="H53">
        <v>851248</v>
      </c>
    </row>
    <row r="54" spans="1:8" x14ac:dyDescent="0.25">
      <c r="A54">
        <v>3081</v>
      </c>
      <c r="B54">
        <v>3</v>
      </c>
      <c r="C54">
        <v>1</v>
      </c>
      <c r="D54">
        <v>16</v>
      </c>
      <c r="E54">
        <v>3</v>
      </c>
      <c r="F54">
        <v>1</v>
      </c>
      <c r="G54">
        <v>4</v>
      </c>
      <c r="H54">
        <v>741552</v>
      </c>
    </row>
    <row r="55" spans="1:8" x14ac:dyDescent="0.25">
      <c r="A55">
        <v>2256</v>
      </c>
      <c r="B55">
        <v>3</v>
      </c>
      <c r="C55">
        <v>2</v>
      </c>
      <c r="D55">
        <v>21</v>
      </c>
      <c r="E55">
        <v>32</v>
      </c>
      <c r="F55">
        <v>1</v>
      </c>
      <c r="G55">
        <v>6</v>
      </c>
      <c r="H55">
        <v>679782</v>
      </c>
    </row>
    <row r="56" spans="1:8" x14ac:dyDescent="0.25">
      <c r="A56">
        <v>4685</v>
      </c>
      <c r="B56">
        <v>3</v>
      </c>
      <c r="C56">
        <v>3</v>
      </c>
      <c r="D56">
        <v>11</v>
      </c>
      <c r="E56">
        <v>21</v>
      </c>
      <c r="F56">
        <v>1</v>
      </c>
      <c r="G56">
        <v>6</v>
      </c>
      <c r="H56">
        <v>1036146</v>
      </c>
    </row>
    <row r="57" spans="1:8" x14ac:dyDescent="0.25">
      <c r="A57">
        <v>1614</v>
      </c>
      <c r="B57">
        <v>3</v>
      </c>
      <c r="C57">
        <v>4</v>
      </c>
      <c r="D57">
        <v>30</v>
      </c>
      <c r="E57">
        <v>33</v>
      </c>
      <c r="F57">
        <v>1</v>
      </c>
      <c r="G57">
        <v>1</v>
      </c>
      <c r="H57">
        <v>399280</v>
      </c>
    </row>
    <row r="58" spans="1:8" x14ac:dyDescent="0.25">
      <c r="A58">
        <v>3684</v>
      </c>
      <c r="B58">
        <v>3</v>
      </c>
      <c r="C58">
        <v>2</v>
      </c>
      <c r="D58">
        <v>5</v>
      </c>
      <c r="E58">
        <v>15</v>
      </c>
      <c r="F58">
        <v>1</v>
      </c>
      <c r="G58">
        <v>8</v>
      </c>
      <c r="H58">
        <v>897434</v>
      </c>
    </row>
    <row r="59" spans="1:8" x14ac:dyDescent="0.25">
      <c r="A59">
        <v>1656</v>
      </c>
      <c r="B59">
        <v>3</v>
      </c>
      <c r="C59">
        <v>4</v>
      </c>
      <c r="D59">
        <v>0</v>
      </c>
      <c r="E59">
        <v>3</v>
      </c>
      <c r="F59">
        <v>1</v>
      </c>
      <c r="G59">
        <v>3</v>
      </c>
      <c r="H59">
        <v>560899</v>
      </c>
    </row>
    <row r="60" spans="1:8" x14ac:dyDescent="0.25">
      <c r="A60">
        <v>3419</v>
      </c>
      <c r="B60">
        <v>3</v>
      </c>
      <c r="C60">
        <v>1</v>
      </c>
      <c r="D60">
        <v>36</v>
      </c>
      <c r="E60">
        <v>13</v>
      </c>
      <c r="F60">
        <v>1</v>
      </c>
      <c r="G60">
        <v>7</v>
      </c>
      <c r="H60">
        <v>770449</v>
      </c>
    </row>
    <row r="61" spans="1:8" x14ac:dyDescent="0.25">
      <c r="A61">
        <v>4536</v>
      </c>
      <c r="B61">
        <v>3</v>
      </c>
      <c r="C61">
        <v>1</v>
      </c>
      <c r="D61">
        <v>22</v>
      </c>
      <c r="E61">
        <v>10</v>
      </c>
      <c r="F61">
        <v>1</v>
      </c>
      <c r="G61">
        <v>3</v>
      </c>
      <c r="H61">
        <v>747529</v>
      </c>
    </row>
    <row r="62" spans="1:8" x14ac:dyDescent="0.25">
      <c r="A62">
        <v>3179</v>
      </c>
      <c r="B62">
        <v>3</v>
      </c>
      <c r="C62">
        <v>2</v>
      </c>
      <c r="D62">
        <v>12</v>
      </c>
      <c r="E62">
        <v>25</v>
      </c>
      <c r="F62">
        <v>1</v>
      </c>
      <c r="G62">
        <v>5</v>
      </c>
      <c r="H62">
        <v>825766</v>
      </c>
    </row>
    <row r="63" spans="1:8" x14ac:dyDescent="0.25">
      <c r="A63">
        <v>1324</v>
      </c>
      <c r="B63">
        <v>3</v>
      </c>
      <c r="C63">
        <v>4</v>
      </c>
      <c r="D63">
        <v>36</v>
      </c>
      <c r="E63">
        <v>22</v>
      </c>
      <c r="F63">
        <v>1</v>
      </c>
      <c r="G63">
        <v>6</v>
      </c>
      <c r="H63">
        <v>521419</v>
      </c>
    </row>
    <row r="64" spans="1:8" x14ac:dyDescent="0.25">
      <c r="A64">
        <v>1073</v>
      </c>
      <c r="B64">
        <v>3</v>
      </c>
      <c r="C64">
        <v>4</v>
      </c>
      <c r="D64">
        <v>7</v>
      </c>
      <c r="E64">
        <v>18</v>
      </c>
      <c r="F64">
        <v>1</v>
      </c>
      <c r="G64">
        <v>5</v>
      </c>
      <c r="H64">
        <v>535061</v>
      </c>
    </row>
    <row r="65" spans="1:8" x14ac:dyDescent="0.25">
      <c r="A65">
        <v>1758</v>
      </c>
      <c r="B65">
        <v>3</v>
      </c>
      <c r="C65">
        <v>2</v>
      </c>
      <c r="D65">
        <v>1</v>
      </c>
      <c r="E65">
        <v>33</v>
      </c>
      <c r="F65">
        <v>1</v>
      </c>
      <c r="G65">
        <v>4</v>
      </c>
      <c r="H65">
        <v>497433</v>
      </c>
    </row>
    <row r="66" spans="1:8" x14ac:dyDescent="0.25">
      <c r="A66">
        <v>4700</v>
      </c>
      <c r="B66">
        <v>3</v>
      </c>
      <c r="C66">
        <v>2</v>
      </c>
      <c r="D66">
        <v>0</v>
      </c>
      <c r="E66">
        <v>10</v>
      </c>
      <c r="F66">
        <v>1</v>
      </c>
      <c r="G66">
        <v>6</v>
      </c>
      <c r="H66">
        <v>1019944</v>
      </c>
    </row>
    <row r="67" spans="1:8" x14ac:dyDescent="0.25">
      <c r="A67">
        <v>3845</v>
      </c>
      <c r="B67">
        <v>3</v>
      </c>
      <c r="C67">
        <v>2</v>
      </c>
      <c r="D67">
        <v>11</v>
      </c>
      <c r="E67">
        <v>22</v>
      </c>
      <c r="F67">
        <v>1</v>
      </c>
      <c r="G67">
        <v>5</v>
      </c>
      <c r="H67">
        <v>806199</v>
      </c>
    </row>
    <row r="68" spans="1:8" x14ac:dyDescent="0.25">
      <c r="A68">
        <v>2686</v>
      </c>
      <c r="B68">
        <v>3</v>
      </c>
      <c r="C68">
        <v>2</v>
      </c>
      <c r="D68">
        <v>22</v>
      </c>
      <c r="E68">
        <v>22</v>
      </c>
      <c r="F68">
        <v>1</v>
      </c>
      <c r="G68">
        <v>5</v>
      </c>
      <c r="H68">
        <v>618783</v>
      </c>
    </row>
    <row r="69" spans="1:8" x14ac:dyDescent="0.25">
      <c r="A69">
        <v>1038</v>
      </c>
      <c r="B69">
        <v>3</v>
      </c>
      <c r="C69">
        <v>3</v>
      </c>
      <c r="D69">
        <v>33</v>
      </c>
      <c r="E69">
        <v>27</v>
      </c>
      <c r="F69">
        <v>1</v>
      </c>
      <c r="G69">
        <v>9</v>
      </c>
      <c r="H69">
        <v>662572</v>
      </c>
    </row>
    <row r="70" spans="1:8" x14ac:dyDescent="0.25">
      <c r="A70">
        <v>466</v>
      </c>
      <c r="B70">
        <v>3</v>
      </c>
      <c r="C70">
        <v>3</v>
      </c>
      <c r="D70">
        <v>10</v>
      </c>
      <c r="E70">
        <v>2</v>
      </c>
      <c r="F70">
        <v>1</v>
      </c>
      <c r="G70">
        <v>7</v>
      </c>
      <c r="H70">
        <v>463453</v>
      </c>
    </row>
    <row r="71" spans="1:8" x14ac:dyDescent="0.25">
      <c r="A71">
        <v>4724</v>
      </c>
      <c r="B71">
        <v>3</v>
      </c>
      <c r="C71">
        <v>2</v>
      </c>
      <c r="D71">
        <v>29</v>
      </c>
      <c r="E71">
        <v>16</v>
      </c>
      <c r="F71">
        <v>1</v>
      </c>
      <c r="G71">
        <v>5</v>
      </c>
      <c r="H71">
        <v>874451</v>
      </c>
    </row>
    <row r="72" spans="1:8" x14ac:dyDescent="0.25">
      <c r="A72">
        <v>2228</v>
      </c>
      <c r="B72">
        <v>3</v>
      </c>
      <c r="C72">
        <v>4</v>
      </c>
      <c r="D72">
        <v>22</v>
      </c>
      <c r="E72">
        <v>4</v>
      </c>
      <c r="F72">
        <v>1</v>
      </c>
      <c r="G72">
        <v>4</v>
      </c>
      <c r="H72">
        <v>690430</v>
      </c>
    </row>
    <row r="73" spans="1:8" x14ac:dyDescent="0.25">
      <c r="A73">
        <v>4634</v>
      </c>
      <c r="B73">
        <v>3</v>
      </c>
      <c r="C73">
        <v>4</v>
      </c>
      <c r="D73">
        <v>17</v>
      </c>
      <c r="E73">
        <v>26</v>
      </c>
      <c r="F73">
        <v>1</v>
      </c>
      <c r="G73">
        <v>4</v>
      </c>
      <c r="H73">
        <v>880284</v>
      </c>
    </row>
    <row r="74" spans="1:8" x14ac:dyDescent="0.25">
      <c r="A74">
        <v>2426</v>
      </c>
      <c r="B74">
        <v>3</v>
      </c>
      <c r="C74">
        <v>2</v>
      </c>
      <c r="D74">
        <v>25</v>
      </c>
      <c r="E74">
        <v>33</v>
      </c>
      <c r="F74">
        <v>1</v>
      </c>
      <c r="G74">
        <v>10</v>
      </c>
      <c r="H74">
        <v>739878</v>
      </c>
    </row>
    <row r="75" spans="1:8" x14ac:dyDescent="0.25">
      <c r="A75">
        <v>4427</v>
      </c>
      <c r="B75">
        <v>3</v>
      </c>
      <c r="C75">
        <v>1</v>
      </c>
      <c r="D75">
        <v>21</v>
      </c>
      <c r="E75">
        <v>18</v>
      </c>
      <c r="F75">
        <v>1</v>
      </c>
      <c r="G75">
        <v>5</v>
      </c>
      <c r="H75">
        <v>702210</v>
      </c>
    </row>
    <row r="76" spans="1:8" x14ac:dyDescent="0.25">
      <c r="A76">
        <v>2960</v>
      </c>
      <c r="B76">
        <v>3</v>
      </c>
      <c r="C76">
        <v>4</v>
      </c>
      <c r="D76">
        <v>23</v>
      </c>
      <c r="E76">
        <v>4</v>
      </c>
      <c r="F76">
        <v>1</v>
      </c>
      <c r="G76">
        <v>7</v>
      </c>
      <c r="H76">
        <v>926686</v>
      </c>
    </row>
    <row r="77" spans="1:8" x14ac:dyDescent="0.25">
      <c r="A77">
        <v>3628</v>
      </c>
      <c r="B77">
        <v>3</v>
      </c>
      <c r="C77">
        <v>3</v>
      </c>
      <c r="D77">
        <v>25</v>
      </c>
      <c r="E77">
        <v>22</v>
      </c>
      <c r="F77">
        <v>1</v>
      </c>
      <c r="G77">
        <v>9</v>
      </c>
      <c r="H77">
        <v>906633</v>
      </c>
    </row>
    <row r="78" spans="1:8" x14ac:dyDescent="0.25">
      <c r="A78">
        <v>3074</v>
      </c>
      <c r="B78">
        <v>3</v>
      </c>
      <c r="C78">
        <v>3</v>
      </c>
      <c r="D78">
        <v>4</v>
      </c>
      <c r="E78">
        <v>18</v>
      </c>
      <c r="F78">
        <v>1</v>
      </c>
      <c r="G78">
        <v>8</v>
      </c>
      <c r="H78">
        <v>930904</v>
      </c>
    </row>
    <row r="79" spans="1:8" x14ac:dyDescent="0.25">
      <c r="A79">
        <v>2588</v>
      </c>
      <c r="B79">
        <v>3</v>
      </c>
      <c r="C79">
        <v>2</v>
      </c>
      <c r="D79">
        <v>36</v>
      </c>
      <c r="E79">
        <v>19</v>
      </c>
      <c r="F79">
        <v>1</v>
      </c>
      <c r="G79">
        <v>8</v>
      </c>
      <c r="H79">
        <v>718117</v>
      </c>
    </row>
    <row r="80" spans="1:8" x14ac:dyDescent="0.25">
      <c r="A80">
        <v>3931</v>
      </c>
      <c r="B80">
        <v>3</v>
      </c>
      <c r="C80">
        <v>3</v>
      </c>
      <c r="D80">
        <v>33</v>
      </c>
      <c r="E80">
        <v>6</v>
      </c>
      <c r="F80">
        <v>1</v>
      </c>
      <c r="G80">
        <v>2</v>
      </c>
      <c r="H80">
        <v>695987</v>
      </c>
    </row>
    <row r="81" spans="1:8" x14ac:dyDescent="0.25">
      <c r="A81">
        <v>4851</v>
      </c>
      <c r="B81">
        <v>3</v>
      </c>
      <c r="C81">
        <v>2</v>
      </c>
      <c r="D81">
        <v>28</v>
      </c>
      <c r="E81">
        <v>8</v>
      </c>
      <c r="F81">
        <v>1</v>
      </c>
      <c r="G81">
        <v>7</v>
      </c>
      <c r="H81">
        <v>1016593</v>
      </c>
    </row>
    <row r="82" spans="1:8" x14ac:dyDescent="0.25">
      <c r="A82">
        <v>2254</v>
      </c>
      <c r="B82">
        <v>3</v>
      </c>
      <c r="C82">
        <v>1</v>
      </c>
      <c r="D82">
        <v>20</v>
      </c>
      <c r="E82">
        <v>1</v>
      </c>
      <c r="F82">
        <v>1</v>
      </c>
      <c r="G82">
        <v>4</v>
      </c>
      <c r="H82">
        <v>532406</v>
      </c>
    </row>
    <row r="83" spans="1:8" x14ac:dyDescent="0.25">
      <c r="A83">
        <v>2025</v>
      </c>
      <c r="B83">
        <v>3</v>
      </c>
      <c r="C83">
        <v>1</v>
      </c>
      <c r="D83">
        <v>26</v>
      </c>
      <c r="E83">
        <v>32</v>
      </c>
      <c r="F83">
        <v>1</v>
      </c>
      <c r="G83">
        <v>7</v>
      </c>
      <c r="H83">
        <v>680491</v>
      </c>
    </row>
    <row r="84" spans="1:8" x14ac:dyDescent="0.25">
      <c r="A84">
        <v>1354</v>
      </c>
      <c r="B84">
        <v>3</v>
      </c>
      <c r="C84">
        <v>2</v>
      </c>
      <c r="D84">
        <v>20</v>
      </c>
      <c r="E84">
        <v>12</v>
      </c>
      <c r="F84">
        <v>1</v>
      </c>
      <c r="G84">
        <v>1</v>
      </c>
      <c r="H84">
        <v>334356</v>
      </c>
    </row>
    <row r="85" spans="1:8" x14ac:dyDescent="0.25">
      <c r="A85">
        <v>4780</v>
      </c>
      <c r="B85">
        <v>3</v>
      </c>
      <c r="C85">
        <v>4</v>
      </c>
      <c r="D85">
        <v>31</v>
      </c>
      <c r="E85">
        <v>16</v>
      </c>
      <c r="F85">
        <v>1</v>
      </c>
      <c r="G85">
        <v>1</v>
      </c>
      <c r="H85">
        <v>858045</v>
      </c>
    </row>
    <row r="86" spans="1:8" x14ac:dyDescent="0.25">
      <c r="A86">
        <v>1389</v>
      </c>
      <c r="B86">
        <v>3</v>
      </c>
      <c r="C86">
        <v>2</v>
      </c>
      <c r="D86">
        <v>35</v>
      </c>
      <c r="E86">
        <v>32</v>
      </c>
      <c r="F86">
        <v>1</v>
      </c>
      <c r="G86">
        <v>4</v>
      </c>
      <c r="H86">
        <v>385940</v>
      </c>
    </row>
    <row r="87" spans="1:8" x14ac:dyDescent="0.25">
      <c r="A87">
        <v>1351</v>
      </c>
      <c r="B87">
        <v>3</v>
      </c>
      <c r="C87">
        <v>4</v>
      </c>
      <c r="D87">
        <v>1</v>
      </c>
      <c r="E87">
        <v>20</v>
      </c>
      <c r="F87">
        <v>1</v>
      </c>
      <c r="G87">
        <v>1</v>
      </c>
      <c r="H87">
        <v>418965</v>
      </c>
    </row>
    <row r="88" spans="1:8" x14ac:dyDescent="0.25">
      <c r="A88">
        <v>685</v>
      </c>
      <c r="B88">
        <v>3</v>
      </c>
      <c r="C88">
        <v>1</v>
      </c>
      <c r="D88">
        <v>16</v>
      </c>
      <c r="E88">
        <v>12</v>
      </c>
      <c r="F88">
        <v>1</v>
      </c>
      <c r="G88">
        <v>3</v>
      </c>
      <c r="H88">
        <v>235604</v>
      </c>
    </row>
    <row r="89" spans="1:8" x14ac:dyDescent="0.25">
      <c r="A89">
        <v>3851</v>
      </c>
      <c r="B89">
        <v>3</v>
      </c>
      <c r="C89">
        <v>4</v>
      </c>
      <c r="D89">
        <v>2</v>
      </c>
      <c r="E89">
        <v>1</v>
      </c>
      <c r="F89">
        <v>1</v>
      </c>
      <c r="G89">
        <v>5</v>
      </c>
      <c r="H89">
        <v>871713</v>
      </c>
    </row>
    <row r="90" spans="1:8" x14ac:dyDescent="0.25">
      <c r="A90">
        <v>1232</v>
      </c>
      <c r="B90">
        <v>3</v>
      </c>
      <c r="C90">
        <v>1</v>
      </c>
      <c r="D90">
        <v>3</v>
      </c>
      <c r="E90">
        <v>9</v>
      </c>
      <c r="F90">
        <v>1</v>
      </c>
      <c r="G90">
        <v>3</v>
      </c>
      <c r="H90">
        <v>372904</v>
      </c>
    </row>
    <row r="91" spans="1:8" x14ac:dyDescent="0.25">
      <c r="A91">
        <v>4780</v>
      </c>
      <c r="B91">
        <v>3</v>
      </c>
      <c r="C91">
        <v>4</v>
      </c>
      <c r="D91">
        <v>31</v>
      </c>
      <c r="E91">
        <v>16</v>
      </c>
      <c r="F91">
        <v>1</v>
      </c>
      <c r="G91">
        <v>1</v>
      </c>
      <c r="H91">
        <v>858045</v>
      </c>
    </row>
    <row r="92" spans="1:8" x14ac:dyDescent="0.25">
      <c r="A92">
        <v>2064</v>
      </c>
      <c r="B92">
        <v>3</v>
      </c>
      <c r="C92">
        <v>4</v>
      </c>
      <c r="D92">
        <v>16</v>
      </c>
      <c r="E92">
        <v>6</v>
      </c>
      <c r="F92">
        <v>1</v>
      </c>
      <c r="G92">
        <v>5</v>
      </c>
      <c r="H92">
        <v>591452</v>
      </c>
    </row>
    <row r="93" spans="1:8" x14ac:dyDescent="0.25">
      <c r="A93">
        <v>3492</v>
      </c>
      <c r="B93">
        <v>4</v>
      </c>
      <c r="C93">
        <v>3</v>
      </c>
      <c r="D93">
        <v>14</v>
      </c>
      <c r="E93">
        <v>33</v>
      </c>
      <c r="F93">
        <v>1</v>
      </c>
      <c r="G93">
        <v>3</v>
      </c>
      <c r="H93">
        <v>744483</v>
      </c>
    </row>
    <row r="94" spans="1:8" x14ac:dyDescent="0.25">
      <c r="A94">
        <v>4955</v>
      </c>
      <c r="B94">
        <v>4</v>
      </c>
      <c r="C94">
        <v>1</v>
      </c>
      <c r="D94">
        <v>17</v>
      </c>
      <c r="E94">
        <v>30</v>
      </c>
      <c r="F94">
        <v>1</v>
      </c>
      <c r="G94">
        <v>4</v>
      </c>
      <c r="H94">
        <v>856775</v>
      </c>
    </row>
    <row r="95" spans="1:8" x14ac:dyDescent="0.25">
      <c r="A95">
        <v>2447</v>
      </c>
      <c r="B95">
        <v>4</v>
      </c>
      <c r="C95">
        <v>2</v>
      </c>
      <c r="D95">
        <v>37</v>
      </c>
      <c r="E95">
        <v>14</v>
      </c>
      <c r="F95">
        <v>1</v>
      </c>
      <c r="G95">
        <v>10</v>
      </c>
      <c r="H95">
        <v>815886</v>
      </c>
    </row>
    <row r="96" spans="1:8" x14ac:dyDescent="0.25">
      <c r="A96">
        <v>2773</v>
      </c>
      <c r="B96">
        <v>4</v>
      </c>
      <c r="C96">
        <v>1</v>
      </c>
      <c r="D96">
        <v>35</v>
      </c>
      <c r="E96">
        <v>15</v>
      </c>
      <c r="F96">
        <v>1</v>
      </c>
      <c r="G96">
        <v>7</v>
      </c>
      <c r="H96">
        <v>570308</v>
      </c>
    </row>
    <row r="97" spans="1:8" x14ac:dyDescent="0.25">
      <c r="A97">
        <v>589</v>
      </c>
      <c r="B97">
        <v>4</v>
      </c>
      <c r="C97">
        <v>3</v>
      </c>
      <c r="D97">
        <v>34</v>
      </c>
      <c r="E97">
        <v>15</v>
      </c>
      <c r="F97">
        <v>1</v>
      </c>
      <c r="G97">
        <v>3</v>
      </c>
      <c r="H97">
        <v>351336</v>
      </c>
    </row>
    <row r="98" spans="1:8" x14ac:dyDescent="0.25">
      <c r="A98">
        <v>3552</v>
      </c>
      <c r="B98">
        <v>4</v>
      </c>
      <c r="C98">
        <v>4</v>
      </c>
      <c r="D98">
        <v>35</v>
      </c>
      <c r="E98">
        <v>4</v>
      </c>
      <c r="F98">
        <v>1</v>
      </c>
      <c r="G98">
        <v>8</v>
      </c>
      <c r="H98">
        <v>971905</v>
      </c>
    </row>
    <row r="99" spans="1:8" x14ac:dyDescent="0.25">
      <c r="A99">
        <v>3013</v>
      </c>
      <c r="B99">
        <v>4</v>
      </c>
      <c r="C99">
        <v>1</v>
      </c>
      <c r="D99">
        <v>13</v>
      </c>
      <c r="E99">
        <v>18</v>
      </c>
      <c r="F99">
        <v>1</v>
      </c>
      <c r="G99">
        <v>8</v>
      </c>
      <c r="H99">
        <v>952430</v>
      </c>
    </row>
    <row r="100" spans="1:8" x14ac:dyDescent="0.25">
      <c r="A100">
        <v>791</v>
      </c>
      <c r="B100">
        <v>4</v>
      </c>
      <c r="C100">
        <v>1</v>
      </c>
      <c r="D100">
        <v>8</v>
      </c>
      <c r="E100">
        <v>19</v>
      </c>
      <c r="F100">
        <v>1</v>
      </c>
      <c r="G100">
        <v>4</v>
      </c>
      <c r="H100">
        <v>476427</v>
      </c>
    </row>
    <row r="101" spans="1:8" x14ac:dyDescent="0.25">
      <c r="A101">
        <v>2773</v>
      </c>
      <c r="B101">
        <v>4</v>
      </c>
      <c r="C101">
        <v>3</v>
      </c>
      <c r="D101">
        <v>25</v>
      </c>
      <c r="E101">
        <v>14</v>
      </c>
      <c r="F101">
        <v>1</v>
      </c>
      <c r="G101">
        <v>6</v>
      </c>
      <c r="H101">
        <v>824261</v>
      </c>
    </row>
    <row r="102" spans="1:8" x14ac:dyDescent="0.25">
      <c r="A102">
        <v>2063</v>
      </c>
      <c r="B102">
        <v>4</v>
      </c>
      <c r="C102">
        <v>1</v>
      </c>
      <c r="D102">
        <v>17</v>
      </c>
      <c r="E102">
        <v>2</v>
      </c>
      <c r="F102">
        <v>1</v>
      </c>
      <c r="G102">
        <v>3</v>
      </c>
      <c r="H102">
        <v>557398</v>
      </c>
    </row>
    <row r="103" spans="1:8" x14ac:dyDescent="0.25">
      <c r="A103">
        <v>1929</v>
      </c>
      <c r="B103">
        <v>4</v>
      </c>
      <c r="C103">
        <v>3</v>
      </c>
      <c r="D103">
        <v>16</v>
      </c>
      <c r="E103">
        <v>32</v>
      </c>
      <c r="F103">
        <v>1</v>
      </c>
      <c r="G103">
        <v>6</v>
      </c>
      <c r="H103">
        <v>648846</v>
      </c>
    </row>
    <row r="104" spans="1:8" x14ac:dyDescent="0.25">
      <c r="A104">
        <v>1895</v>
      </c>
      <c r="B104">
        <v>4</v>
      </c>
      <c r="C104">
        <v>2</v>
      </c>
      <c r="D104">
        <v>37</v>
      </c>
      <c r="E104">
        <v>18</v>
      </c>
      <c r="F104">
        <v>1</v>
      </c>
      <c r="G104">
        <v>8</v>
      </c>
      <c r="H104">
        <v>733512</v>
      </c>
    </row>
    <row r="105" spans="1:8" x14ac:dyDescent="0.25">
      <c r="A105">
        <v>2727</v>
      </c>
      <c r="B105">
        <v>4</v>
      </c>
      <c r="C105">
        <v>3</v>
      </c>
      <c r="D105">
        <v>11</v>
      </c>
      <c r="E105">
        <v>15</v>
      </c>
      <c r="F105">
        <v>1</v>
      </c>
      <c r="G105">
        <v>5</v>
      </c>
      <c r="H105">
        <v>796270</v>
      </c>
    </row>
    <row r="106" spans="1:8" x14ac:dyDescent="0.25">
      <c r="A106">
        <v>1547</v>
      </c>
      <c r="B106">
        <v>4</v>
      </c>
      <c r="C106">
        <v>4</v>
      </c>
      <c r="D106">
        <v>24</v>
      </c>
      <c r="E106">
        <v>17</v>
      </c>
      <c r="F106">
        <v>1</v>
      </c>
      <c r="G106">
        <v>5</v>
      </c>
      <c r="H106">
        <v>800010</v>
      </c>
    </row>
    <row r="107" spans="1:8" x14ac:dyDescent="0.25">
      <c r="A107">
        <v>4682</v>
      </c>
      <c r="B107">
        <v>4</v>
      </c>
      <c r="C107">
        <v>4</v>
      </c>
      <c r="D107">
        <v>26</v>
      </c>
      <c r="E107">
        <v>1</v>
      </c>
      <c r="F107">
        <v>1</v>
      </c>
      <c r="G107">
        <v>8</v>
      </c>
      <c r="H107">
        <v>1140265</v>
      </c>
    </row>
    <row r="108" spans="1:8" x14ac:dyDescent="0.25">
      <c r="A108">
        <v>2386</v>
      </c>
      <c r="B108">
        <v>4</v>
      </c>
      <c r="C108">
        <v>1</v>
      </c>
      <c r="D108">
        <v>1</v>
      </c>
      <c r="E108">
        <v>4</v>
      </c>
      <c r="F108">
        <v>1</v>
      </c>
      <c r="G108">
        <v>1</v>
      </c>
      <c r="H108">
        <v>481277</v>
      </c>
    </row>
    <row r="109" spans="1:8" x14ac:dyDescent="0.25">
      <c r="A109">
        <v>3319</v>
      </c>
      <c r="B109">
        <v>4</v>
      </c>
      <c r="C109">
        <v>4</v>
      </c>
      <c r="D109">
        <v>19</v>
      </c>
      <c r="E109">
        <v>32</v>
      </c>
      <c r="F109">
        <v>1</v>
      </c>
      <c r="G109">
        <v>8</v>
      </c>
      <c r="H109">
        <v>958854</v>
      </c>
    </row>
    <row r="110" spans="1:8" x14ac:dyDescent="0.25">
      <c r="A110">
        <v>2655</v>
      </c>
      <c r="B110">
        <v>4</v>
      </c>
      <c r="C110">
        <v>4</v>
      </c>
      <c r="D110">
        <v>27</v>
      </c>
      <c r="E110">
        <v>32</v>
      </c>
      <c r="F110">
        <v>1</v>
      </c>
      <c r="G110">
        <v>4</v>
      </c>
      <c r="H110">
        <v>731163</v>
      </c>
    </row>
    <row r="111" spans="1:8" x14ac:dyDescent="0.25">
      <c r="A111">
        <v>4899</v>
      </c>
      <c r="B111">
        <v>4</v>
      </c>
      <c r="C111">
        <v>3</v>
      </c>
      <c r="D111">
        <v>19</v>
      </c>
      <c r="E111">
        <v>29</v>
      </c>
      <c r="F111">
        <v>1</v>
      </c>
      <c r="G111">
        <v>4</v>
      </c>
      <c r="H111">
        <v>999019</v>
      </c>
    </row>
    <row r="112" spans="1:8" x14ac:dyDescent="0.25">
      <c r="A112">
        <v>498</v>
      </c>
      <c r="B112">
        <v>4</v>
      </c>
      <c r="C112">
        <v>4</v>
      </c>
      <c r="D112">
        <v>16</v>
      </c>
      <c r="E112">
        <v>15</v>
      </c>
      <c r="F112">
        <v>1</v>
      </c>
      <c r="G112">
        <v>7</v>
      </c>
      <c r="H112">
        <v>568821</v>
      </c>
    </row>
    <row r="113" spans="1:8" x14ac:dyDescent="0.25">
      <c r="A113">
        <v>1445</v>
      </c>
      <c r="B113">
        <v>4</v>
      </c>
      <c r="C113">
        <v>4</v>
      </c>
      <c r="D113">
        <v>2</v>
      </c>
      <c r="E113">
        <v>10</v>
      </c>
      <c r="F113">
        <v>1</v>
      </c>
      <c r="G113">
        <v>1</v>
      </c>
      <c r="H113">
        <v>486561</v>
      </c>
    </row>
    <row r="114" spans="1:8" x14ac:dyDescent="0.25">
      <c r="A114">
        <v>3350</v>
      </c>
      <c r="B114">
        <v>4</v>
      </c>
      <c r="C114">
        <v>3</v>
      </c>
      <c r="D114">
        <v>17</v>
      </c>
      <c r="E114">
        <v>7</v>
      </c>
      <c r="F114">
        <v>1</v>
      </c>
      <c r="G114">
        <v>3</v>
      </c>
      <c r="H114">
        <v>806428</v>
      </c>
    </row>
    <row r="115" spans="1:8" x14ac:dyDescent="0.25">
      <c r="A115">
        <v>404</v>
      </c>
      <c r="B115">
        <v>4</v>
      </c>
      <c r="C115">
        <v>2</v>
      </c>
      <c r="D115">
        <v>23</v>
      </c>
      <c r="E115">
        <v>13</v>
      </c>
      <c r="F115">
        <v>1</v>
      </c>
      <c r="G115">
        <v>7</v>
      </c>
      <c r="H115">
        <v>515475</v>
      </c>
    </row>
    <row r="116" spans="1:8" x14ac:dyDescent="0.25">
      <c r="A116">
        <v>4075</v>
      </c>
      <c r="B116">
        <v>4</v>
      </c>
      <c r="C116">
        <v>4</v>
      </c>
      <c r="D116">
        <v>23</v>
      </c>
      <c r="E116">
        <v>27</v>
      </c>
      <c r="F116">
        <v>1</v>
      </c>
      <c r="G116">
        <v>7</v>
      </c>
      <c r="H116">
        <v>961049</v>
      </c>
    </row>
    <row r="117" spans="1:8" x14ac:dyDescent="0.25">
      <c r="A117">
        <v>4983</v>
      </c>
      <c r="B117">
        <v>4</v>
      </c>
      <c r="C117">
        <v>1</v>
      </c>
      <c r="D117">
        <v>10</v>
      </c>
      <c r="E117">
        <v>19</v>
      </c>
      <c r="F117">
        <v>1</v>
      </c>
      <c r="G117">
        <v>9</v>
      </c>
      <c r="H117">
        <v>1080575</v>
      </c>
    </row>
    <row r="118" spans="1:8" x14ac:dyDescent="0.25">
      <c r="A118">
        <v>4852</v>
      </c>
      <c r="B118">
        <v>4</v>
      </c>
      <c r="C118">
        <v>4</v>
      </c>
      <c r="D118">
        <v>26</v>
      </c>
      <c r="E118">
        <v>26</v>
      </c>
      <c r="F118">
        <v>1</v>
      </c>
      <c r="G118">
        <v>4</v>
      </c>
      <c r="H118">
        <v>919449</v>
      </c>
    </row>
    <row r="119" spans="1:8" x14ac:dyDescent="0.25">
      <c r="A119">
        <v>3249</v>
      </c>
      <c r="B119">
        <v>4</v>
      </c>
      <c r="C119">
        <v>1</v>
      </c>
      <c r="D119">
        <v>16</v>
      </c>
      <c r="E119">
        <v>19</v>
      </c>
      <c r="F119">
        <v>1</v>
      </c>
      <c r="G119">
        <v>6</v>
      </c>
      <c r="H119">
        <v>837238</v>
      </c>
    </row>
    <row r="120" spans="1:8" x14ac:dyDescent="0.25">
      <c r="A120">
        <v>4130</v>
      </c>
      <c r="B120">
        <v>4</v>
      </c>
      <c r="C120">
        <v>2</v>
      </c>
      <c r="D120">
        <v>26</v>
      </c>
      <c r="E120">
        <v>16</v>
      </c>
      <c r="F120">
        <v>1</v>
      </c>
      <c r="G120">
        <v>5</v>
      </c>
      <c r="H120">
        <v>837054</v>
      </c>
    </row>
    <row r="121" spans="1:8" x14ac:dyDescent="0.25">
      <c r="A121">
        <v>4400</v>
      </c>
      <c r="B121">
        <v>4</v>
      </c>
      <c r="C121">
        <v>1</v>
      </c>
      <c r="D121">
        <v>30</v>
      </c>
      <c r="E121">
        <v>29</v>
      </c>
      <c r="F121">
        <v>1</v>
      </c>
      <c r="G121">
        <v>3</v>
      </c>
      <c r="H121">
        <v>727120</v>
      </c>
    </row>
    <row r="122" spans="1:8" x14ac:dyDescent="0.25">
      <c r="A122">
        <v>3865</v>
      </c>
      <c r="B122">
        <v>4</v>
      </c>
      <c r="C122">
        <v>2</v>
      </c>
      <c r="D122">
        <v>12</v>
      </c>
      <c r="E122">
        <v>1</v>
      </c>
      <c r="F122">
        <v>1</v>
      </c>
      <c r="G122">
        <v>3</v>
      </c>
      <c r="H122">
        <v>755209</v>
      </c>
    </row>
    <row r="123" spans="1:8" x14ac:dyDescent="0.25">
      <c r="A123">
        <v>3314</v>
      </c>
      <c r="B123">
        <v>4</v>
      </c>
      <c r="C123">
        <v>1</v>
      </c>
      <c r="D123">
        <v>3</v>
      </c>
      <c r="E123">
        <v>26</v>
      </c>
      <c r="F123">
        <v>1</v>
      </c>
      <c r="G123">
        <v>5</v>
      </c>
      <c r="H123">
        <v>788206</v>
      </c>
    </row>
    <row r="124" spans="1:8" x14ac:dyDescent="0.25">
      <c r="A124">
        <v>995</v>
      </c>
      <c r="B124">
        <v>4</v>
      </c>
      <c r="C124">
        <v>4</v>
      </c>
      <c r="D124">
        <v>30</v>
      </c>
      <c r="E124">
        <v>5</v>
      </c>
      <c r="F124">
        <v>1</v>
      </c>
      <c r="G124">
        <v>5</v>
      </c>
      <c r="H124">
        <v>547242</v>
      </c>
    </row>
    <row r="125" spans="1:8" x14ac:dyDescent="0.25">
      <c r="A125">
        <v>2219</v>
      </c>
      <c r="B125">
        <v>4</v>
      </c>
      <c r="C125">
        <v>2</v>
      </c>
      <c r="D125">
        <v>33</v>
      </c>
      <c r="E125">
        <v>16</v>
      </c>
      <c r="F125">
        <v>1</v>
      </c>
      <c r="G125">
        <v>10</v>
      </c>
      <c r="H125">
        <v>889098</v>
      </c>
    </row>
    <row r="126" spans="1:8" x14ac:dyDescent="0.25">
      <c r="A126">
        <v>3540</v>
      </c>
      <c r="B126">
        <v>4</v>
      </c>
      <c r="C126">
        <v>4</v>
      </c>
      <c r="D126">
        <v>39</v>
      </c>
      <c r="E126">
        <v>18</v>
      </c>
      <c r="F126">
        <v>1</v>
      </c>
      <c r="G126">
        <v>4</v>
      </c>
      <c r="H126">
        <v>805012</v>
      </c>
    </row>
    <row r="127" spans="1:8" x14ac:dyDescent="0.25">
      <c r="A127">
        <v>3016</v>
      </c>
      <c r="B127">
        <v>4</v>
      </c>
      <c r="C127">
        <v>3</v>
      </c>
      <c r="D127">
        <v>1</v>
      </c>
      <c r="E127">
        <v>32</v>
      </c>
      <c r="F127">
        <v>1</v>
      </c>
      <c r="G127">
        <v>4</v>
      </c>
      <c r="H127">
        <v>780620</v>
      </c>
    </row>
    <row r="128" spans="1:8" x14ac:dyDescent="0.25">
      <c r="A128">
        <v>1462</v>
      </c>
      <c r="B128">
        <v>4</v>
      </c>
      <c r="C128">
        <v>4</v>
      </c>
      <c r="D128">
        <v>25</v>
      </c>
      <c r="E128">
        <v>22</v>
      </c>
      <c r="F128">
        <v>1</v>
      </c>
      <c r="G128">
        <v>9</v>
      </c>
      <c r="H128">
        <v>675311</v>
      </c>
    </row>
    <row r="129" spans="1:8" x14ac:dyDescent="0.25">
      <c r="A129">
        <v>1724</v>
      </c>
      <c r="B129">
        <v>4</v>
      </c>
      <c r="C129">
        <v>1</v>
      </c>
      <c r="D129">
        <v>9</v>
      </c>
      <c r="E129">
        <v>23</v>
      </c>
      <c r="F129">
        <v>1</v>
      </c>
      <c r="G129">
        <v>7</v>
      </c>
      <c r="H129">
        <v>646762</v>
      </c>
    </row>
    <row r="130" spans="1:8" x14ac:dyDescent="0.25">
      <c r="A130">
        <v>4575</v>
      </c>
      <c r="B130">
        <v>4</v>
      </c>
      <c r="C130">
        <v>4</v>
      </c>
      <c r="D130">
        <v>23</v>
      </c>
      <c r="E130">
        <v>18</v>
      </c>
      <c r="F130">
        <v>1</v>
      </c>
      <c r="G130">
        <v>2</v>
      </c>
      <c r="H130">
        <v>876081</v>
      </c>
    </row>
    <row r="131" spans="1:8" x14ac:dyDescent="0.25">
      <c r="A131">
        <v>4698</v>
      </c>
      <c r="B131">
        <v>4</v>
      </c>
      <c r="C131">
        <v>2</v>
      </c>
      <c r="D131">
        <v>4</v>
      </c>
      <c r="E131">
        <v>6</v>
      </c>
      <c r="F131">
        <v>1</v>
      </c>
      <c r="G131">
        <v>9</v>
      </c>
      <c r="H131">
        <v>1182742</v>
      </c>
    </row>
    <row r="132" spans="1:8" x14ac:dyDescent="0.25">
      <c r="A132">
        <v>3103</v>
      </c>
      <c r="B132">
        <v>4</v>
      </c>
      <c r="C132">
        <v>1</v>
      </c>
      <c r="D132">
        <v>17</v>
      </c>
      <c r="E132">
        <v>6</v>
      </c>
      <c r="F132">
        <v>1</v>
      </c>
      <c r="G132">
        <v>8</v>
      </c>
      <c r="H132">
        <v>917860</v>
      </c>
    </row>
    <row r="133" spans="1:8" x14ac:dyDescent="0.25">
      <c r="A133">
        <v>3145</v>
      </c>
      <c r="B133">
        <v>4</v>
      </c>
      <c r="C133">
        <v>1</v>
      </c>
      <c r="D133">
        <v>26</v>
      </c>
      <c r="E133">
        <v>27</v>
      </c>
      <c r="F133">
        <v>1</v>
      </c>
      <c r="G133">
        <v>9</v>
      </c>
      <c r="H133">
        <v>875249</v>
      </c>
    </row>
    <row r="134" spans="1:8" x14ac:dyDescent="0.25">
      <c r="A134">
        <v>4869</v>
      </c>
      <c r="B134">
        <v>4</v>
      </c>
      <c r="C134">
        <v>2</v>
      </c>
      <c r="D134">
        <v>11</v>
      </c>
      <c r="E134">
        <v>10</v>
      </c>
      <c r="F134">
        <v>1</v>
      </c>
      <c r="G134">
        <v>2</v>
      </c>
      <c r="H134">
        <v>982762</v>
      </c>
    </row>
    <row r="135" spans="1:8" x14ac:dyDescent="0.25">
      <c r="A135">
        <v>4400</v>
      </c>
      <c r="B135">
        <v>4</v>
      </c>
      <c r="C135">
        <v>2</v>
      </c>
      <c r="D135">
        <v>34</v>
      </c>
      <c r="E135">
        <v>23</v>
      </c>
      <c r="F135">
        <v>1</v>
      </c>
      <c r="G135">
        <v>6</v>
      </c>
      <c r="H135">
        <v>947950</v>
      </c>
    </row>
    <row r="136" spans="1:8" x14ac:dyDescent="0.25">
      <c r="A136">
        <v>4983</v>
      </c>
      <c r="B136">
        <v>4</v>
      </c>
      <c r="C136">
        <v>3</v>
      </c>
      <c r="D136">
        <v>32</v>
      </c>
      <c r="E136">
        <v>15</v>
      </c>
      <c r="F136">
        <v>1</v>
      </c>
      <c r="G136">
        <v>7</v>
      </c>
      <c r="H136">
        <v>1075892</v>
      </c>
    </row>
    <row r="137" spans="1:8" x14ac:dyDescent="0.25">
      <c r="A137">
        <v>2565</v>
      </c>
      <c r="B137">
        <v>4</v>
      </c>
      <c r="C137">
        <v>4</v>
      </c>
      <c r="D137">
        <v>35</v>
      </c>
      <c r="E137">
        <v>31</v>
      </c>
      <c r="F137">
        <v>1</v>
      </c>
      <c r="G137">
        <v>3</v>
      </c>
      <c r="H137">
        <v>566540</v>
      </c>
    </row>
    <row r="138" spans="1:8" x14ac:dyDescent="0.25">
      <c r="A138">
        <v>3437</v>
      </c>
      <c r="B138">
        <v>4</v>
      </c>
      <c r="C138">
        <v>3</v>
      </c>
      <c r="D138">
        <v>0</v>
      </c>
      <c r="E138">
        <v>6</v>
      </c>
      <c r="F138">
        <v>1</v>
      </c>
      <c r="G138">
        <v>9</v>
      </c>
      <c r="H138">
        <v>1028686</v>
      </c>
    </row>
    <row r="139" spans="1:8" x14ac:dyDescent="0.25">
      <c r="A139">
        <v>1731</v>
      </c>
      <c r="B139">
        <v>4</v>
      </c>
      <c r="C139">
        <v>4</v>
      </c>
      <c r="D139">
        <v>13</v>
      </c>
      <c r="E139">
        <v>20</v>
      </c>
      <c r="F139">
        <v>1</v>
      </c>
      <c r="G139">
        <v>9</v>
      </c>
      <c r="H139">
        <v>917321</v>
      </c>
    </row>
    <row r="140" spans="1:8" x14ac:dyDescent="0.25">
      <c r="A140">
        <v>3232</v>
      </c>
      <c r="B140">
        <v>4</v>
      </c>
      <c r="C140">
        <v>1</v>
      </c>
      <c r="D140">
        <v>28</v>
      </c>
      <c r="E140">
        <v>22</v>
      </c>
      <c r="F140">
        <v>1</v>
      </c>
      <c r="G140">
        <v>1</v>
      </c>
      <c r="H140">
        <v>595412</v>
      </c>
    </row>
    <row r="141" spans="1:8" x14ac:dyDescent="0.25">
      <c r="A141">
        <v>2993</v>
      </c>
      <c r="B141">
        <v>4</v>
      </c>
      <c r="C141">
        <v>2</v>
      </c>
      <c r="D141">
        <v>37</v>
      </c>
      <c r="E141">
        <v>9</v>
      </c>
      <c r="F141">
        <v>1</v>
      </c>
      <c r="G141">
        <v>5</v>
      </c>
      <c r="H141">
        <v>689282</v>
      </c>
    </row>
    <row r="142" spans="1:8" x14ac:dyDescent="0.25">
      <c r="A142">
        <v>4218</v>
      </c>
      <c r="B142">
        <v>4</v>
      </c>
      <c r="C142">
        <v>2</v>
      </c>
      <c r="D142">
        <v>19</v>
      </c>
      <c r="E142">
        <v>20</v>
      </c>
      <c r="F142">
        <v>1</v>
      </c>
      <c r="G142">
        <v>5</v>
      </c>
      <c r="H142">
        <v>839245</v>
      </c>
    </row>
    <row r="143" spans="1:8" x14ac:dyDescent="0.25">
      <c r="A143">
        <v>3347</v>
      </c>
      <c r="B143">
        <v>4</v>
      </c>
      <c r="C143">
        <v>4</v>
      </c>
      <c r="D143">
        <v>33</v>
      </c>
      <c r="E143">
        <v>21</v>
      </c>
      <c r="F143">
        <v>1</v>
      </c>
      <c r="G143">
        <v>5</v>
      </c>
      <c r="H143">
        <v>775003</v>
      </c>
    </row>
    <row r="144" spans="1:8" x14ac:dyDescent="0.25">
      <c r="A144">
        <v>3666</v>
      </c>
      <c r="B144">
        <v>4</v>
      </c>
      <c r="C144">
        <v>1</v>
      </c>
      <c r="D144">
        <v>31</v>
      </c>
      <c r="E144">
        <v>27</v>
      </c>
      <c r="F144">
        <v>1</v>
      </c>
      <c r="G144">
        <v>5</v>
      </c>
      <c r="H144">
        <v>928624</v>
      </c>
    </row>
    <row r="145" spans="1:8" x14ac:dyDescent="0.25">
      <c r="A145">
        <v>1318</v>
      </c>
      <c r="B145">
        <v>4</v>
      </c>
      <c r="C145">
        <v>4</v>
      </c>
      <c r="D145">
        <v>8</v>
      </c>
      <c r="E145">
        <v>23</v>
      </c>
      <c r="F145">
        <v>1</v>
      </c>
      <c r="G145">
        <v>3</v>
      </c>
      <c r="H145">
        <v>706350</v>
      </c>
    </row>
    <row r="146" spans="1:8" x14ac:dyDescent="0.25">
      <c r="A146">
        <v>2773</v>
      </c>
      <c r="B146">
        <v>4</v>
      </c>
      <c r="C146">
        <v>2</v>
      </c>
      <c r="D146">
        <v>19</v>
      </c>
      <c r="E146">
        <v>30</v>
      </c>
      <c r="F146">
        <v>1</v>
      </c>
      <c r="G146">
        <v>8</v>
      </c>
      <c r="H146">
        <v>943915</v>
      </c>
    </row>
    <row r="147" spans="1:8" x14ac:dyDescent="0.25">
      <c r="A147">
        <v>3848</v>
      </c>
      <c r="B147">
        <v>4</v>
      </c>
      <c r="C147">
        <v>2</v>
      </c>
      <c r="D147">
        <v>37</v>
      </c>
      <c r="E147">
        <v>28</v>
      </c>
      <c r="F147">
        <v>1</v>
      </c>
      <c r="G147">
        <v>3</v>
      </c>
      <c r="H147">
        <v>694903</v>
      </c>
    </row>
    <row r="148" spans="1:8" x14ac:dyDescent="0.25">
      <c r="A148">
        <v>1560</v>
      </c>
      <c r="B148">
        <v>4</v>
      </c>
      <c r="C148">
        <v>2</v>
      </c>
      <c r="D148">
        <v>12</v>
      </c>
      <c r="E148">
        <v>9</v>
      </c>
      <c r="F148">
        <v>1</v>
      </c>
      <c r="G148">
        <v>6</v>
      </c>
      <c r="H148">
        <v>698486</v>
      </c>
    </row>
    <row r="149" spans="1:8" x14ac:dyDescent="0.25">
      <c r="A149">
        <v>1246</v>
      </c>
      <c r="B149">
        <v>4</v>
      </c>
      <c r="C149">
        <v>2</v>
      </c>
      <c r="D149">
        <v>15</v>
      </c>
      <c r="E149">
        <v>28</v>
      </c>
      <c r="F149">
        <v>1</v>
      </c>
      <c r="G149">
        <v>6</v>
      </c>
      <c r="H149">
        <v>507634</v>
      </c>
    </row>
    <row r="150" spans="1:8" x14ac:dyDescent="0.25">
      <c r="A150">
        <v>2438</v>
      </c>
      <c r="B150">
        <v>4</v>
      </c>
      <c r="C150">
        <v>4</v>
      </c>
      <c r="D150">
        <v>16</v>
      </c>
      <c r="E150">
        <v>21</v>
      </c>
      <c r="F150">
        <v>1</v>
      </c>
      <c r="G150">
        <v>5</v>
      </c>
      <c r="H150">
        <v>707151</v>
      </c>
    </row>
    <row r="151" spans="1:8" x14ac:dyDescent="0.25">
      <c r="A151">
        <v>3021</v>
      </c>
      <c r="B151">
        <v>4</v>
      </c>
      <c r="C151">
        <v>3</v>
      </c>
      <c r="D151">
        <v>12</v>
      </c>
      <c r="E151">
        <v>28</v>
      </c>
      <c r="F151">
        <v>1</v>
      </c>
      <c r="G151">
        <v>3</v>
      </c>
      <c r="H151">
        <v>702470</v>
      </c>
    </row>
    <row r="152" spans="1:8" x14ac:dyDescent="0.25">
      <c r="A152">
        <v>1465</v>
      </c>
      <c r="B152">
        <v>4</v>
      </c>
      <c r="C152">
        <v>1</v>
      </c>
      <c r="D152">
        <v>20</v>
      </c>
      <c r="E152">
        <v>9</v>
      </c>
      <c r="F152">
        <v>1</v>
      </c>
      <c r="G152">
        <v>9</v>
      </c>
      <c r="H152">
        <v>662165</v>
      </c>
    </row>
    <row r="153" spans="1:8" x14ac:dyDescent="0.25">
      <c r="A153">
        <v>2743</v>
      </c>
      <c r="B153">
        <v>4</v>
      </c>
      <c r="C153">
        <v>3</v>
      </c>
      <c r="D153">
        <v>0</v>
      </c>
      <c r="E153">
        <v>2</v>
      </c>
      <c r="F153">
        <v>1</v>
      </c>
      <c r="G153">
        <v>7</v>
      </c>
      <c r="H153">
        <v>872116</v>
      </c>
    </row>
    <row r="154" spans="1:8" x14ac:dyDescent="0.25">
      <c r="A154">
        <v>4418</v>
      </c>
      <c r="B154">
        <v>4</v>
      </c>
      <c r="C154">
        <v>4</v>
      </c>
      <c r="D154">
        <v>17</v>
      </c>
      <c r="E154">
        <v>28</v>
      </c>
      <c r="F154">
        <v>1</v>
      </c>
      <c r="G154">
        <v>3</v>
      </c>
      <c r="H154">
        <v>899361</v>
      </c>
    </row>
    <row r="155" spans="1:8" x14ac:dyDescent="0.25">
      <c r="A155">
        <v>3026</v>
      </c>
      <c r="B155">
        <v>4</v>
      </c>
      <c r="C155">
        <v>1</v>
      </c>
      <c r="D155">
        <v>17</v>
      </c>
      <c r="E155">
        <v>6</v>
      </c>
      <c r="F155">
        <v>1</v>
      </c>
      <c r="G155">
        <v>2</v>
      </c>
      <c r="H155">
        <v>636152</v>
      </c>
    </row>
    <row r="156" spans="1:8" x14ac:dyDescent="0.25">
      <c r="A156">
        <v>3628</v>
      </c>
      <c r="B156">
        <v>4</v>
      </c>
      <c r="C156">
        <v>3</v>
      </c>
      <c r="D156">
        <v>34</v>
      </c>
      <c r="E156">
        <v>9</v>
      </c>
      <c r="F156">
        <v>1</v>
      </c>
      <c r="G156">
        <v>5</v>
      </c>
      <c r="H156">
        <v>877733</v>
      </c>
    </row>
    <row r="157" spans="1:8" x14ac:dyDescent="0.25">
      <c r="A157">
        <v>2997</v>
      </c>
      <c r="B157">
        <v>4</v>
      </c>
      <c r="C157">
        <v>1</v>
      </c>
      <c r="D157">
        <v>7</v>
      </c>
      <c r="E157">
        <v>2</v>
      </c>
      <c r="F157">
        <v>1</v>
      </c>
      <c r="G157">
        <v>1</v>
      </c>
      <c r="H157">
        <v>599946</v>
      </c>
    </row>
    <row r="158" spans="1:8" x14ac:dyDescent="0.25">
      <c r="A158">
        <v>2665</v>
      </c>
      <c r="B158">
        <v>4</v>
      </c>
      <c r="C158">
        <v>2</v>
      </c>
      <c r="D158">
        <v>34</v>
      </c>
      <c r="E158">
        <v>19</v>
      </c>
      <c r="F158">
        <v>1</v>
      </c>
      <c r="G158">
        <v>7</v>
      </c>
      <c r="H158">
        <v>687433</v>
      </c>
    </row>
    <row r="159" spans="1:8" x14ac:dyDescent="0.25">
      <c r="A159">
        <v>3768</v>
      </c>
      <c r="B159">
        <v>4</v>
      </c>
      <c r="C159">
        <v>2</v>
      </c>
      <c r="D159">
        <v>36</v>
      </c>
      <c r="E159">
        <v>14</v>
      </c>
      <c r="F159">
        <v>1</v>
      </c>
      <c r="G159">
        <v>9</v>
      </c>
      <c r="H159">
        <v>1002333</v>
      </c>
    </row>
    <row r="160" spans="1:8" x14ac:dyDescent="0.25">
      <c r="A160">
        <v>1605</v>
      </c>
      <c r="B160">
        <v>4</v>
      </c>
      <c r="C160">
        <v>3</v>
      </c>
      <c r="D160">
        <v>19</v>
      </c>
      <c r="E160">
        <v>14</v>
      </c>
      <c r="F160">
        <v>1</v>
      </c>
      <c r="G160">
        <v>5</v>
      </c>
      <c r="H160">
        <v>772768</v>
      </c>
    </row>
    <row r="161" spans="1:8" x14ac:dyDescent="0.25">
      <c r="A161">
        <v>3108</v>
      </c>
      <c r="B161">
        <v>4</v>
      </c>
      <c r="C161">
        <v>1</v>
      </c>
      <c r="D161">
        <v>37</v>
      </c>
      <c r="E161">
        <v>9</v>
      </c>
      <c r="F161">
        <v>1</v>
      </c>
      <c r="G161">
        <v>1</v>
      </c>
      <c r="H161">
        <v>601794</v>
      </c>
    </row>
    <row r="162" spans="1:8" x14ac:dyDescent="0.25">
      <c r="A162">
        <v>601</v>
      </c>
      <c r="B162">
        <v>4</v>
      </c>
      <c r="C162">
        <v>4</v>
      </c>
      <c r="D162">
        <v>12</v>
      </c>
      <c r="E162">
        <v>18</v>
      </c>
      <c r="F162">
        <v>1</v>
      </c>
      <c r="G162">
        <v>9</v>
      </c>
      <c r="H162">
        <v>713003</v>
      </c>
    </row>
    <row r="163" spans="1:8" x14ac:dyDescent="0.25">
      <c r="A163">
        <v>874</v>
      </c>
      <c r="B163">
        <v>4</v>
      </c>
      <c r="C163">
        <v>1</v>
      </c>
      <c r="D163">
        <v>15</v>
      </c>
      <c r="E163">
        <v>29</v>
      </c>
      <c r="F163">
        <v>1</v>
      </c>
      <c r="G163">
        <v>10</v>
      </c>
      <c r="H163">
        <v>579323</v>
      </c>
    </row>
    <row r="164" spans="1:8" x14ac:dyDescent="0.25">
      <c r="A164">
        <v>1366</v>
      </c>
      <c r="B164">
        <v>4</v>
      </c>
      <c r="C164">
        <v>4</v>
      </c>
      <c r="D164">
        <v>31</v>
      </c>
      <c r="E164">
        <v>27</v>
      </c>
      <c r="F164">
        <v>1</v>
      </c>
      <c r="G164">
        <v>4</v>
      </c>
      <c r="H164">
        <v>473602</v>
      </c>
    </row>
    <row r="165" spans="1:8" x14ac:dyDescent="0.25">
      <c r="A165">
        <v>4822</v>
      </c>
      <c r="B165">
        <v>4</v>
      </c>
      <c r="C165">
        <v>3</v>
      </c>
      <c r="D165">
        <v>36</v>
      </c>
      <c r="E165">
        <v>3</v>
      </c>
      <c r="F165">
        <v>1</v>
      </c>
      <c r="G165">
        <v>7</v>
      </c>
      <c r="H165">
        <v>1135708</v>
      </c>
    </row>
    <row r="166" spans="1:8" x14ac:dyDescent="0.25">
      <c r="A166">
        <v>2479</v>
      </c>
      <c r="B166">
        <v>4</v>
      </c>
      <c r="C166">
        <v>2</v>
      </c>
      <c r="D166">
        <v>31</v>
      </c>
      <c r="E166">
        <v>25</v>
      </c>
      <c r="F166">
        <v>1</v>
      </c>
      <c r="G166">
        <v>9</v>
      </c>
      <c r="H166">
        <v>719152</v>
      </c>
    </row>
    <row r="167" spans="1:8" x14ac:dyDescent="0.25">
      <c r="A167">
        <v>2465</v>
      </c>
      <c r="B167">
        <v>4</v>
      </c>
      <c r="C167">
        <v>3</v>
      </c>
      <c r="D167">
        <v>28</v>
      </c>
      <c r="E167">
        <v>9</v>
      </c>
      <c r="F167">
        <v>1</v>
      </c>
      <c r="G167">
        <v>9</v>
      </c>
      <c r="H167">
        <v>891666</v>
      </c>
    </row>
    <row r="168" spans="1:8" x14ac:dyDescent="0.25">
      <c r="A168">
        <v>2561</v>
      </c>
      <c r="B168">
        <v>4</v>
      </c>
      <c r="C168">
        <v>1</v>
      </c>
      <c r="D168">
        <v>5</v>
      </c>
      <c r="E168">
        <v>10</v>
      </c>
      <c r="F168">
        <v>1</v>
      </c>
      <c r="G168">
        <v>3</v>
      </c>
      <c r="H168">
        <v>533480</v>
      </c>
    </row>
    <row r="169" spans="1:8" x14ac:dyDescent="0.25">
      <c r="A169">
        <v>4808</v>
      </c>
      <c r="B169">
        <v>4</v>
      </c>
      <c r="C169">
        <v>3</v>
      </c>
      <c r="D169">
        <v>17</v>
      </c>
      <c r="E169">
        <v>25</v>
      </c>
      <c r="F169">
        <v>1</v>
      </c>
      <c r="G169">
        <v>3</v>
      </c>
      <c r="H169">
        <v>906816</v>
      </c>
    </row>
    <row r="170" spans="1:8" x14ac:dyDescent="0.25">
      <c r="A170">
        <v>2543</v>
      </c>
      <c r="B170">
        <v>4</v>
      </c>
      <c r="C170">
        <v>4</v>
      </c>
      <c r="D170">
        <v>3</v>
      </c>
      <c r="E170">
        <v>5</v>
      </c>
      <c r="F170">
        <v>1</v>
      </c>
      <c r="G170">
        <v>8</v>
      </c>
      <c r="H170">
        <v>952144</v>
      </c>
    </row>
    <row r="171" spans="1:8" x14ac:dyDescent="0.25">
      <c r="A171">
        <v>4825</v>
      </c>
      <c r="B171">
        <v>4</v>
      </c>
      <c r="C171">
        <v>3</v>
      </c>
      <c r="D171">
        <v>26</v>
      </c>
      <c r="E171">
        <v>4</v>
      </c>
      <c r="F171">
        <v>1</v>
      </c>
      <c r="G171">
        <v>7</v>
      </c>
      <c r="H171">
        <v>1127662</v>
      </c>
    </row>
    <row r="172" spans="1:8" x14ac:dyDescent="0.25">
      <c r="A172">
        <v>1260</v>
      </c>
      <c r="B172">
        <v>5</v>
      </c>
      <c r="C172">
        <v>3</v>
      </c>
      <c r="D172">
        <v>20</v>
      </c>
      <c r="E172">
        <v>34</v>
      </c>
      <c r="F172">
        <v>1</v>
      </c>
      <c r="G172">
        <v>9</v>
      </c>
      <c r="H172">
        <v>776315</v>
      </c>
    </row>
    <row r="173" spans="1:8" x14ac:dyDescent="0.25">
      <c r="A173">
        <v>2773</v>
      </c>
      <c r="B173">
        <v>5</v>
      </c>
      <c r="C173">
        <v>2</v>
      </c>
      <c r="D173">
        <v>37</v>
      </c>
      <c r="E173">
        <v>14</v>
      </c>
      <c r="F173">
        <v>1</v>
      </c>
      <c r="G173">
        <v>4</v>
      </c>
      <c r="H173">
        <v>711034</v>
      </c>
    </row>
    <row r="174" spans="1:8" x14ac:dyDescent="0.25">
      <c r="A174">
        <v>3473</v>
      </c>
      <c r="B174">
        <v>5</v>
      </c>
      <c r="C174">
        <v>3</v>
      </c>
      <c r="D174">
        <v>8</v>
      </c>
      <c r="E174">
        <v>7</v>
      </c>
      <c r="F174">
        <v>1</v>
      </c>
      <c r="G174">
        <v>5</v>
      </c>
      <c r="H174">
        <v>896631</v>
      </c>
    </row>
    <row r="175" spans="1:8" x14ac:dyDescent="0.25">
      <c r="A175">
        <v>4243</v>
      </c>
      <c r="B175">
        <v>5</v>
      </c>
      <c r="C175">
        <v>3</v>
      </c>
      <c r="D175">
        <v>10</v>
      </c>
      <c r="E175">
        <v>3</v>
      </c>
      <c r="F175">
        <v>1</v>
      </c>
      <c r="G175">
        <v>6</v>
      </c>
      <c r="H175">
        <v>1108220</v>
      </c>
    </row>
    <row r="176" spans="1:8" x14ac:dyDescent="0.25">
      <c r="A176">
        <v>561</v>
      </c>
      <c r="B176">
        <v>5</v>
      </c>
      <c r="C176">
        <v>2</v>
      </c>
      <c r="D176">
        <v>13</v>
      </c>
      <c r="E176">
        <v>18</v>
      </c>
      <c r="F176">
        <v>1</v>
      </c>
      <c r="G176">
        <v>6</v>
      </c>
      <c r="H176">
        <v>509011</v>
      </c>
    </row>
    <row r="177" spans="1:8" x14ac:dyDescent="0.25">
      <c r="A177">
        <v>1416</v>
      </c>
      <c r="B177">
        <v>5</v>
      </c>
      <c r="C177">
        <v>2</v>
      </c>
      <c r="D177">
        <v>15</v>
      </c>
      <c r="E177">
        <v>32</v>
      </c>
      <c r="F177">
        <v>1</v>
      </c>
      <c r="G177">
        <v>3</v>
      </c>
      <c r="H177">
        <v>557466</v>
      </c>
    </row>
    <row r="178" spans="1:8" x14ac:dyDescent="0.25">
      <c r="A178">
        <v>1895</v>
      </c>
      <c r="B178">
        <v>5</v>
      </c>
      <c r="C178">
        <v>3</v>
      </c>
      <c r="D178">
        <v>8</v>
      </c>
      <c r="E178">
        <v>21</v>
      </c>
      <c r="F178">
        <v>1</v>
      </c>
      <c r="G178">
        <v>4</v>
      </c>
      <c r="H178">
        <v>683161</v>
      </c>
    </row>
    <row r="179" spans="1:8" x14ac:dyDescent="0.25">
      <c r="A179">
        <v>3961</v>
      </c>
      <c r="B179">
        <v>5</v>
      </c>
      <c r="C179">
        <v>1</v>
      </c>
      <c r="D179">
        <v>16</v>
      </c>
      <c r="E179">
        <v>7</v>
      </c>
      <c r="F179">
        <v>1</v>
      </c>
      <c r="G179">
        <v>2</v>
      </c>
      <c r="H179">
        <v>835346</v>
      </c>
    </row>
    <row r="180" spans="1:8" x14ac:dyDescent="0.25">
      <c r="A180">
        <v>1884</v>
      </c>
      <c r="B180">
        <v>5</v>
      </c>
      <c r="C180">
        <v>4</v>
      </c>
      <c r="D180">
        <v>3</v>
      </c>
      <c r="E180">
        <v>8</v>
      </c>
      <c r="F180">
        <v>1</v>
      </c>
      <c r="G180">
        <v>10</v>
      </c>
      <c r="H180">
        <v>958544</v>
      </c>
    </row>
    <row r="181" spans="1:8" x14ac:dyDescent="0.25">
      <c r="A181">
        <v>2381</v>
      </c>
      <c r="B181">
        <v>5</v>
      </c>
      <c r="C181">
        <v>3</v>
      </c>
      <c r="D181">
        <v>24</v>
      </c>
      <c r="E181">
        <v>29</v>
      </c>
      <c r="F181">
        <v>1</v>
      </c>
      <c r="G181">
        <v>2</v>
      </c>
      <c r="H181">
        <v>568487</v>
      </c>
    </row>
    <row r="182" spans="1:8" x14ac:dyDescent="0.25">
      <c r="A182">
        <v>4429</v>
      </c>
      <c r="B182">
        <v>5</v>
      </c>
      <c r="C182">
        <v>2</v>
      </c>
      <c r="D182">
        <v>7</v>
      </c>
      <c r="E182">
        <v>32</v>
      </c>
      <c r="F182">
        <v>1</v>
      </c>
      <c r="G182">
        <v>9</v>
      </c>
      <c r="H182">
        <v>1210048</v>
      </c>
    </row>
    <row r="183" spans="1:8" x14ac:dyDescent="0.25">
      <c r="A183">
        <v>4148</v>
      </c>
      <c r="B183">
        <v>5</v>
      </c>
      <c r="C183">
        <v>2</v>
      </c>
      <c r="D183">
        <v>39</v>
      </c>
      <c r="E183">
        <v>18</v>
      </c>
      <c r="F183">
        <v>1</v>
      </c>
      <c r="G183">
        <v>2</v>
      </c>
      <c r="H183">
        <v>841664</v>
      </c>
    </row>
    <row r="184" spans="1:8" x14ac:dyDescent="0.25">
      <c r="A184">
        <v>4163</v>
      </c>
      <c r="B184">
        <v>5</v>
      </c>
      <c r="C184">
        <v>3</v>
      </c>
      <c r="D184">
        <v>19</v>
      </c>
      <c r="E184">
        <v>28</v>
      </c>
      <c r="F184">
        <v>1</v>
      </c>
      <c r="G184">
        <v>7</v>
      </c>
      <c r="H184">
        <v>986716</v>
      </c>
    </row>
    <row r="185" spans="1:8" x14ac:dyDescent="0.25">
      <c r="A185">
        <v>1059</v>
      </c>
      <c r="B185">
        <v>5</v>
      </c>
      <c r="C185">
        <v>1</v>
      </c>
      <c r="D185">
        <v>19</v>
      </c>
      <c r="E185">
        <v>1</v>
      </c>
      <c r="F185">
        <v>1</v>
      </c>
      <c r="G185">
        <v>5</v>
      </c>
      <c r="H185">
        <v>520031</v>
      </c>
    </row>
    <row r="186" spans="1:8" x14ac:dyDescent="0.25">
      <c r="A186">
        <v>3311</v>
      </c>
      <c r="B186">
        <v>5</v>
      </c>
      <c r="C186">
        <v>1</v>
      </c>
      <c r="D186">
        <v>32</v>
      </c>
      <c r="E186">
        <v>33</v>
      </c>
      <c r="F186">
        <v>1</v>
      </c>
      <c r="G186">
        <v>10</v>
      </c>
      <c r="H186">
        <v>978432</v>
      </c>
    </row>
    <row r="187" spans="1:8" x14ac:dyDescent="0.25">
      <c r="A187">
        <v>4490</v>
      </c>
      <c r="B187">
        <v>5</v>
      </c>
      <c r="C187">
        <v>4</v>
      </c>
      <c r="D187">
        <v>13</v>
      </c>
      <c r="E187">
        <v>13</v>
      </c>
      <c r="F187">
        <v>1</v>
      </c>
      <c r="G187">
        <v>7</v>
      </c>
      <c r="H187">
        <v>1160492</v>
      </c>
    </row>
    <row r="188" spans="1:8" x14ac:dyDescent="0.25">
      <c r="A188">
        <v>3570</v>
      </c>
      <c r="B188">
        <v>5</v>
      </c>
      <c r="C188">
        <v>4</v>
      </c>
      <c r="D188">
        <v>8</v>
      </c>
      <c r="E188">
        <v>8</v>
      </c>
      <c r="F188">
        <v>1</v>
      </c>
      <c r="G188">
        <v>2</v>
      </c>
      <c r="H188">
        <v>858522</v>
      </c>
    </row>
    <row r="189" spans="1:8" x14ac:dyDescent="0.25">
      <c r="A189">
        <v>2773</v>
      </c>
      <c r="B189">
        <v>5</v>
      </c>
      <c r="C189">
        <v>4</v>
      </c>
      <c r="D189">
        <v>39</v>
      </c>
      <c r="E189">
        <v>11</v>
      </c>
      <c r="F189">
        <v>1</v>
      </c>
      <c r="G189">
        <v>7</v>
      </c>
      <c r="H189">
        <v>1010570</v>
      </c>
    </row>
    <row r="190" spans="1:8" x14ac:dyDescent="0.25">
      <c r="A190">
        <v>4387</v>
      </c>
      <c r="B190">
        <v>5</v>
      </c>
      <c r="C190">
        <v>3</v>
      </c>
      <c r="D190">
        <v>27</v>
      </c>
      <c r="E190">
        <v>18</v>
      </c>
      <c r="F190">
        <v>1</v>
      </c>
      <c r="G190">
        <v>4</v>
      </c>
      <c r="H190">
        <v>877941</v>
      </c>
    </row>
    <row r="191" spans="1:8" x14ac:dyDescent="0.25">
      <c r="A191">
        <v>2773</v>
      </c>
      <c r="B191">
        <v>5</v>
      </c>
      <c r="C191">
        <v>3</v>
      </c>
      <c r="D191">
        <v>20</v>
      </c>
      <c r="E191">
        <v>31</v>
      </c>
      <c r="F191">
        <v>1</v>
      </c>
      <c r="G191">
        <v>5</v>
      </c>
      <c r="H191">
        <v>472670</v>
      </c>
    </row>
    <row r="192" spans="1:8" x14ac:dyDescent="0.25">
      <c r="A192">
        <v>1618</v>
      </c>
      <c r="B192">
        <v>5</v>
      </c>
      <c r="C192">
        <v>1</v>
      </c>
      <c r="D192">
        <v>17</v>
      </c>
      <c r="E192">
        <v>18</v>
      </c>
      <c r="F192">
        <v>1</v>
      </c>
      <c r="G192">
        <v>6</v>
      </c>
      <c r="H192">
        <v>725969</v>
      </c>
    </row>
    <row r="193" spans="1:8" x14ac:dyDescent="0.25">
      <c r="A193">
        <v>2885</v>
      </c>
      <c r="B193">
        <v>5</v>
      </c>
      <c r="C193">
        <v>3</v>
      </c>
      <c r="D193">
        <v>22</v>
      </c>
      <c r="E193">
        <v>35</v>
      </c>
      <c r="F193">
        <v>1</v>
      </c>
      <c r="G193">
        <v>9</v>
      </c>
      <c r="H193">
        <v>967857</v>
      </c>
    </row>
    <row r="194" spans="1:8" x14ac:dyDescent="0.25">
      <c r="A194">
        <v>1469</v>
      </c>
      <c r="B194">
        <v>5</v>
      </c>
      <c r="C194">
        <v>2</v>
      </c>
      <c r="D194">
        <v>3</v>
      </c>
      <c r="E194">
        <v>33</v>
      </c>
      <c r="F194">
        <v>1</v>
      </c>
      <c r="G194">
        <v>4</v>
      </c>
      <c r="H194">
        <v>599172</v>
      </c>
    </row>
    <row r="195" spans="1:8" x14ac:dyDescent="0.25">
      <c r="A195">
        <v>3727</v>
      </c>
      <c r="B195">
        <v>5</v>
      </c>
      <c r="C195">
        <v>4</v>
      </c>
      <c r="D195">
        <v>33</v>
      </c>
      <c r="E195">
        <v>31</v>
      </c>
      <c r="F195">
        <v>1</v>
      </c>
      <c r="G195">
        <v>5</v>
      </c>
      <c r="H195">
        <v>925545</v>
      </c>
    </row>
    <row r="196" spans="1:8" x14ac:dyDescent="0.25">
      <c r="A196">
        <v>3409</v>
      </c>
      <c r="B196">
        <v>5</v>
      </c>
      <c r="C196">
        <v>2</v>
      </c>
      <c r="D196">
        <v>25</v>
      </c>
      <c r="E196">
        <v>19</v>
      </c>
      <c r="F196">
        <v>1</v>
      </c>
      <c r="G196">
        <v>9</v>
      </c>
      <c r="H196">
        <v>1034327</v>
      </c>
    </row>
    <row r="197" spans="1:8" x14ac:dyDescent="0.25">
      <c r="A197">
        <v>937</v>
      </c>
      <c r="B197">
        <v>5</v>
      </c>
      <c r="C197">
        <v>2</v>
      </c>
      <c r="D197">
        <v>34</v>
      </c>
      <c r="E197">
        <v>10</v>
      </c>
      <c r="F197">
        <v>1</v>
      </c>
      <c r="G197">
        <v>5</v>
      </c>
      <c r="H197">
        <v>491559</v>
      </c>
    </row>
    <row r="198" spans="1:8" x14ac:dyDescent="0.25">
      <c r="A198">
        <v>4515</v>
      </c>
      <c r="B198">
        <v>5</v>
      </c>
      <c r="C198">
        <v>2</v>
      </c>
      <c r="D198">
        <v>28</v>
      </c>
      <c r="E198">
        <v>30</v>
      </c>
      <c r="F198">
        <v>1</v>
      </c>
      <c r="G198">
        <v>6</v>
      </c>
      <c r="H198">
        <v>988379</v>
      </c>
    </row>
    <row r="199" spans="1:8" x14ac:dyDescent="0.25">
      <c r="A199">
        <v>2891</v>
      </c>
      <c r="B199">
        <v>5</v>
      </c>
      <c r="C199">
        <v>1</v>
      </c>
      <c r="D199">
        <v>38</v>
      </c>
      <c r="E199">
        <v>33</v>
      </c>
      <c r="F199">
        <v>1</v>
      </c>
      <c r="G199">
        <v>1</v>
      </c>
      <c r="H199">
        <v>437904</v>
      </c>
    </row>
    <row r="200" spans="1:8" x14ac:dyDescent="0.25">
      <c r="A200">
        <v>3060</v>
      </c>
      <c r="B200">
        <v>5</v>
      </c>
      <c r="C200">
        <v>1</v>
      </c>
      <c r="D200">
        <v>3</v>
      </c>
      <c r="E200">
        <v>14</v>
      </c>
      <c r="F200">
        <v>1</v>
      </c>
      <c r="G200">
        <v>1</v>
      </c>
      <c r="H200">
        <v>666448</v>
      </c>
    </row>
    <row r="201" spans="1:8" x14ac:dyDescent="0.25">
      <c r="A201">
        <v>4865</v>
      </c>
      <c r="B201">
        <v>5</v>
      </c>
      <c r="C201">
        <v>2</v>
      </c>
      <c r="D201">
        <v>35</v>
      </c>
      <c r="E201">
        <v>21</v>
      </c>
      <c r="F201">
        <v>1</v>
      </c>
      <c r="G201">
        <v>6</v>
      </c>
      <c r="H201">
        <v>951604</v>
      </c>
    </row>
    <row r="202" spans="1:8" x14ac:dyDescent="0.25">
      <c r="A202">
        <v>2093</v>
      </c>
      <c r="B202">
        <v>5</v>
      </c>
      <c r="C202">
        <v>2</v>
      </c>
      <c r="D202">
        <v>34</v>
      </c>
      <c r="E202">
        <v>19</v>
      </c>
      <c r="F202">
        <v>1</v>
      </c>
      <c r="G202">
        <v>8</v>
      </c>
      <c r="H202">
        <v>818117</v>
      </c>
    </row>
    <row r="203" spans="1:8" x14ac:dyDescent="0.25">
      <c r="A203">
        <v>3547</v>
      </c>
      <c r="B203">
        <v>5</v>
      </c>
      <c r="C203">
        <v>1</v>
      </c>
      <c r="D203">
        <v>4</v>
      </c>
      <c r="E203">
        <v>21</v>
      </c>
      <c r="F203">
        <v>1</v>
      </c>
      <c r="G203">
        <v>7</v>
      </c>
      <c r="H203">
        <v>934446</v>
      </c>
    </row>
    <row r="204" spans="1:8" x14ac:dyDescent="0.25">
      <c r="A204">
        <v>1643</v>
      </c>
      <c r="B204">
        <v>5</v>
      </c>
      <c r="C204">
        <v>3</v>
      </c>
      <c r="D204">
        <v>25</v>
      </c>
      <c r="E204">
        <v>20</v>
      </c>
      <c r="F204">
        <v>1</v>
      </c>
      <c r="G204">
        <v>7</v>
      </c>
      <c r="H204">
        <v>781070</v>
      </c>
    </row>
    <row r="205" spans="1:8" x14ac:dyDescent="0.25">
      <c r="A205">
        <v>2035</v>
      </c>
      <c r="B205">
        <v>5</v>
      </c>
      <c r="C205">
        <v>1</v>
      </c>
      <c r="D205">
        <v>22</v>
      </c>
      <c r="E205">
        <v>19</v>
      </c>
      <c r="F205">
        <v>1</v>
      </c>
      <c r="G205">
        <v>8</v>
      </c>
      <c r="H205">
        <v>820787</v>
      </c>
    </row>
    <row r="206" spans="1:8" x14ac:dyDescent="0.25">
      <c r="A206">
        <v>2157</v>
      </c>
      <c r="B206">
        <v>5</v>
      </c>
      <c r="C206">
        <v>2</v>
      </c>
      <c r="D206">
        <v>14</v>
      </c>
      <c r="E206">
        <v>22</v>
      </c>
      <c r="F206">
        <v>1</v>
      </c>
      <c r="G206">
        <v>2</v>
      </c>
      <c r="H206">
        <v>558123</v>
      </c>
    </row>
    <row r="207" spans="1:8" x14ac:dyDescent="0.25">
      <c r="A207">
        <v>3138</v>
      </c>
      <c r="B207">
        <v>5</v>
      </c>
      <c r="C207">
        <v>4</v>
      </c>
      <c r="D207">
        <v>15</v>
      </c>
      <c r="E207">
        <v>22</v>
      </c>
      <c r="F207">
        <v>1</v>
      </c>
      <c r="G207">
        <v>2</v>
      </c>
      <c r="H207">
        <v>686266</v>
      </c>
    </row>
    <row r="208" spans="1:8" x14ac:dyDescent="0.25">
      <c r="A208">
        <v>2773</v>
      </c>
      <c r="B208">
        <v>5</v>
      </c>
      <c r="C208">
        <v>4</v>
      </c>
      <c r="D208">
        <v>11</v>
      </c>
      <c r="E208">
        <v>4</v>
      </c>
      <c r="F208">
        <v>1</v>
      </c>
      <c r="G208">
        <v>6</v>
      </c>
      <c r="H208">
        <v>854515</v>
      </c>
    </row>
    <row r="209" spans="1:8" x14ac:dyDescent="0.25">
      <c r="A209">
        <v>3296</v>
      </c>
      <c r="B209">
        <v>5</v>
      </c>
      <c r="C209">
        <v>1</v>
      </c>
      <c r="D209">
        <v>29</v>
      </c>
      <c r="E209">
        <v>34</v>
      </c>
      <c r="F209">
        <v>1</v>
      </c>
      <c r="G209">
        <v>5</v>
      </c>
      <c r="H209">
        <v>710627</v>
      </c>
    </row>
    <row r="210" spans="1:8" x14ac:dyDescent="0.25">
      <c r="A210">
        <v>2025</v>
      </c>
      <c r="B210">
        <v>5</v>
      </c>
      <c r="C210">
        <v>2</v>
      </c>
      <c r="D210">
        <v>20</v>
      </c>
      <c r="E210">
        <v>33</v>
      </c>
      <c r="F210">
        <v>1</v>
      </c>
      <c r="G210">
        <v>1</v>
      </c>
      <c r="H210">
        <v>560650</v>
      </c>
    </row>
    <row r="211" spans="1:8" x14ac:dyDescent="0.25">
      <c r="A211">
        <v>1128</v>
      </c>
      <c r="B211">
        <v>5</v>
      </c>
      <c r="C211">
        <v>3</v>
      </c>
      <c r="D211">
        <v>36</v>
      </c>
      <c r="E211">
        <v>15</v>
      </c>
      <c r="F211">
        <v>1</v>
      </c>
      <c r="G211">
        <v>2</v>
      </c>
      <c r="H211">
        <v>407458</v>
      </c>
    </row>
    <row r="212" spans="1:8" x14ac:dyDescent="0.25">
      <c r="A212">
        <v>2773</v>
      </c>
      <c r="B212">
        <v>5</v>
      </c>
      <c r="C212">
        <v>2</v>
      </c>
      <c r="D212">
        <v>4</v>
      </c>
      <c r="E212">
        <v>25</v>
      </c>
      <c r="F212">
        <v>1</v>
      </c>
      <c r="G212">
        <v>2</v>
      </c>
      <c r="H212">
        <v>653325</v>
      </c>
    </row>
    <row r="213" spans="1:8" x14ac:dyDescent="0.25">
      <c r="A213">
        <v>4251</v>
      </c>
      <c r="B213">
        <v>5</v>
      </c>
      <c r="C213">
        <v>2</v>
      </c>
      <c r="D213">
        <v>22</v>
      </c>
      <c r="E213">
        <v>14</v>
      </c>
      <c r="F213">
        <v>1</v>
      </c>
      <c r="G213">
        <v>1</v>
      </c>
      <c r="H213">
        <v>843030</v>
      </c>
    </row>
    <row r="214" spans="1:8" x14ac:dyDescent="0.25">
      <c r="A214">
        <v>2773</v>
      </c>
      <c r="B214">
        <v>5</v>
      </c>
      <c r="C214">
        <v>4</v>
      </c>
      <c r="D214">
        <v>13</v>
      </c>
      <c r="E214">
        <v>22</v>
      </c>
      <c r="F214">
        <v>1</v>
      </c>
      <c r="G214">
        <v>4</v>
      </c>
      <c r="H214">
        <v>1084941</v>
      </c>
    </row>
    <row r="215" spans="1:8" x14ac:dyDescent="0.25">
      <c r="A215">
        <v>3182</v>
      </c>
      <c r="B215">
        <v>5</v>
      </c>
      <c r="C215">
        <v>3</v>
      </c>
      <c r="D215">
        <v>37</v>
      </c>
      <c r="E215">
        <v>30</v>
      </c>
      <c r="F215">
        <v>1</v>
      </c>
      <c r="G215">
        <v>9</v>
      </c>
      <c r="H215">
        <v>939219</v>
      </c>
    </row>
    <row r="216" spans="1:8" x14ac:dyDescent="0.25">
      <c r="A216">
        <v>4868</v>
      </c>
      <c r="B216">
        <v>5</v>
      </c>
      <c r="C216">
        <v>4</v>
      </c>
      <c r="D216">
        <v>22</v>
      </c>
      <c r="E216">
        <v>11</v>
      </c>
      <c r="F216">
        <v>1</v>
      </c>
      <c r="G216">
        <v>10</v>
      </c>
      <c r="H216">
        <v>1289170</v>
      </c>
    </row>
    <row r="217" spans="1:8" x14ac:dyDescent="0.25">
      <c r="A217">
        <v>4944</v>
      </c>
      <c r="B217">
        <v>5</v>
      </c>
      <c r="C217">
        <v>2</v>
      </c>
      <c r="D217">
        <v>21</v>
      </c>
      <c r="E217">
        <v>25</v>
      </c>
      <c r="F217">
        <v>1</v>
      </c>
      <c r="G217">
        <v>10</v>
      </c>
      <c r="H217">
        <v>1264741</v>
      </c>
    </row>
    <row r="218" spans="1:8" x14ac:dyDescent="0.25">
      <c r="A218">
        <v>2481</v>
      </c>
      <c r="B218">
        <v>5</v>
      </c>
      <c r="C218">
        <v>2</v>
      </c>
      <c r="D218">
        <v>22</v>
      </c>
      <c r="E218">
        <v>32</v>
      </c>
      <c r="F218">
        <v>1</v>
      </c>
      <c r="G218">
        <v>9</v>
      </c>
      <c r="H218">
        <v>904072</v>
      </c>
    </row>
    <row r="219" spans="1:8" x14ac:dyDescent="0.25">
      <c r="A219">
        <v>635</v>
      </c>
      <c r="B219">
        <v>5</v>
      </c>
      <c r="C219">
        <v>4</v>
      </c>
      <c r="D219">
        <v>27</v>
      </c>
      <c r="E219">
        <v>5</v>
      </c>
      <c r="F219">
        <v>1</v>
      </c>
      <c r="G219">
        <v>4</v>
      </c>
      <c r="H219">
        <v>531417</v>
      </c>
    </row>
    <row r="220" spans="1:8" x14ac:dyDescent="0.25">
      <c r="A220">
        <v>1299</v>
      </c>
      <c r="B220">
        <v>5</v>
      </c>
      <c r="C220">
        <v>4</v>
      </c>
      <c r="D220">
        <v>26</v>
      </c>
      <c r="E220">
        <v>18</v>
      </c>
      <c r="F220">
        <v>1</v>
      </c>
      <c r="G220">
        <v>6</v>
      </c>
      <c r="H220">
        <v>684049</v>
      </c>
    </row>
    <row r="221" spans="1:8" x14ac:dyDescent="0.25">
      <c r="A221">
        <v>2119</v>
      </c>
      <c r="B221">
        <v>5</v>
      </c>
      <c r="C221">
        <v>4</v>
      </c>
      <c r="D221">
        <v>36</v>
      </c>
      <c r="E221">
        <v>1</v>
      </c>
      <c r="F221">
        <v>1</v>
      </c>
      <c r="G221">
        <v>9</v>
      </c>
      <c r="H221">
        <v>831548</v>
      </c>
    </row>
    <row r="222" spans="1:8" x14ac:dyDescent="0.25">
      <c r="A222">
        <v>2696</v>
      </c>
      <c r="B222">
        <v>5</v>
      </c>
      <c r="C222">
        <v>1</v>
      </c>
      <c r="D222">
        <v>7</v>
      </c>
      <c r="E222">
        <v>27</v>
      </c>
      <c r="F222">
        <v>1</v>
      </c>
      <c r="G222">
        <v>2</v>
      </c>
      <c r="H222">
        <v>642440</v>
      </c>
    </row>
    <row r="223" spans="1:8" x14ac:dyDescent="0.25">
      <c r="A223">
        <v>2661</v>
      </c>
      <c r="B223">
        <v>5</v>
      </c>
      <c r="C223">
        <v>3</v>
      </c>
      <c r="D223">
        <v>32</v>
      </c>
      <c r="E223">
        <v>5</v>
      </c>
      <c r="F223">
        <v>1</v>
      </c>
      <c r="G223">
        <v>2</v>
      </c>
      <c r="H223">
        <v>750259</v>
      </c>
    </row>
    <row r="224" spans="1:8" x14ac:dyDescent="0.25">
      <c r="A224">
        <v>4602</v>
      </c>
      <c r="B224">
        <v>5</v>
      </c>
      <c r="C224">
        <v>1</v>
      </c>
      <c r="D224">
        <v>20</v>
      </c>
      <c r="E224">
        <v>18</v>
      </c>
      <c r="F224">
        <v>1</v>
      </c>
      <c r="G224">
        <v>6</v>
      </c>
      <c r="H224">
        <v>959893</v>
      </c>
    </row>
    <row r="225" spans="1:8" x14ac:dyDescent="0.25">
      <c r="A225">
        <v>3166</v>
      </c>
      <c r="B225">
        <v>5</v>
      </c>
      <c r="C225">
        <v>4</v>
      </c>
      <c r="D225">
        <v>28</v>
      </c>
      <c r="E225">
        <v>12</v>
      </c>
      <c r="F225">
        <v>1</v>
      </c>
      <c r="G225">
        <v>4</v>
      </c>
      <c r="H225">
        <v>830124</v>
      </c>
    </row>
    <row r="226" spans="1:8" x14ac:dyDescent="0.25">
      <c r="A226">
        <v>1931</v>
      </c>
      <c r="B226">
        <v>5</v>
      </c>
      <c r="C226">
        <v>4</v>
      </c>
      <c r="D226">
        <v>31</v>
      </c>
      <c r="E226">
        <v>20</v>
      </c>
      <c r="F226">
        <v>1</v>
      </c>
      <c r="G226">
        <v>7</v>
      </c>
      <c r="H226">
        <v>743112</v>
      </c>
    </row>
    <row r="227" spans="1:8" x14ac:dyDescent="0.25">
      <c r="A227">
        <v>2773</v>
      </c>
      <c r="B227">
        <v>5</v>
      </c>
      <c r="C227">
        <v>2</v>
      </c>
      <c r="D227">
        <v>21</v>
      </c>
      <c r="E227">
        <v>26</v>
      </c>
      <c r="F227">
        <v>1</v>
      </c>
      <c r="G227">
        <v>5</v>
      </c>
      <c r="H227">
        <v>596741</v>
      </c>
    </row>
    <row r="228" spans="1:8" x14ac:dyDescent="0.25">
      <c r="A228">
        <v>2376</v>
      </c>
      <c r="B228">
        <v>5</v>
      </c>
      <c r="C228">
        <v>3</v>
      </c>
      <c r="D228">
        <v>25</v>
      </c>
      <c r="E228">
        <v>4</v>
      </c>
      <c r="F228">
        <v>1</v>
      </c>
      <c r="G228">
        <v>10</v>
      </c>
      <c r="H228">
        <v>954193</v>
      </c>
    </row>
    <row r="229" spans="1:8" x14ac:dyDescent="0.25">
      <c r="A229">
        <v>624</v>
      </c>
      <c r="B229">
        <v>5</v>
      </c>
      <c r="C229">
        <v>3</v>
      </c>
      <c r="D229">
        <v>10</v>
      </c>
      <c r="E229">
        <v>30</v>
      </c>
      <c r="F229">
        <v>1</v>
      </c>
      <c r="G229">
        <v>1</v>
      </c>
      <c r="H229">
        <v>554354</v>
      </c>
    </row>
    <row r="230" spans="1:8" x14ac:dyDescent="0.25">
      <c r="A230">
        <v>2073</v>
      </c>
      <c r="B230">
        <v>5</v>
      </c>
      <c r="C230">
        <v>3</v>
      </c>
      <c r="D230">
        <v>15</v>
      </c>
      <c r="E230">
        <v>5</v>
      </c>
      <c r="F230">
        <v>1</v>
      </c>
      <c r="G230">
        <v>7</v>
      </c>
      <c r="H230">
        <v>846216</v>
      </c>
    </row>
    <row r="231" spans="1:8" x14ac:dyDescent="0.25">
      <c r="A231">
        <v>2019</v>
      </c>
      <c r="B231">
        <v>5</v>
      </c>
      <c r="C231">
        <v>4</v>
      </c>
      <c r="D231">
        <v>12</v>
      </c>
      <c r="E231">
        <v>26</v>
      </c>
      <c r="F231">
        <v>1</v>
      </c>
      <c r="G231">
        <v>7</v>
      </c>
      <c r="H231">
        <v>870769</v>
      </c>
    </row>
    <row r="232" spans="1:8" x14ac:dyDescent="0.25">
      <c r="A232">
        <v>720</v>
      </c>
      <c r="B232">
        <v>5</v>
      </c>
      <c r="C232">
        <v>3</v>
      </c>
      <c r="D232">
        <v>20</v>
      </c>
      <c r="E232">
        <v>22</v>
      </c>
      <c r="F232">
        <v>1</v>
      </c>
      <c r="G232">
        <v>2</v>
      </c>
      <c r="H232">
        <v>474727</v>
      </c>
    </row>
    <row r="233" spans="1:8" x14ac:dyDescent="0.25">
      <c r="A233">
        <v>775</v>
      </c>
      <c r="B233">
        <v>5</v>
      </c>
      <c r="C233">
        <v>2</v>
      </c>
      <c r="D233">
        <v>36</v>
      </c>
      <c r="E233">
        <v>27</v>
      </c>
      <c r="F233">
        <v>1</v>
      </c>
      <c r="G233">
        <v>4</v>
      </c>
      <c r="H233">
        <v>496815</v>
      </c>
    </row>
    <row r="234" spans="1:8" x14ac:dyDescent="0.25">
      <c r="A234">
        <v>4162</v>
      </c>
      <c r="B234">
        <v>5</v>
      </c>
      <c r="C234">
        <v>3</v>
      </c>
      <c r="D234">
        <v>6</v>
      </c>
      <c r="E234">
        <v>4</v>
      </c>
      <c r="F234">
        <v>1</v>
      </c>
      <c r="G234">
        <v>1</v>
      </c>
      <c r="H234">
        <v>945180</v>
      </c>
    </row>
    <row r="235" spans="1:8" x14ac:dyDescent="0.25">
      <c r="A235">
        <v>4087</v>
      </c>
      <c r="B235">
        <v>5</v>
      </c>
      <c r="C235">
        <v>4</v>
      </c>
      <c r="D235">
        <v>20</v>
      </c>
      <c r="E235">
        <v>3</v>
      </c>
      <c r="F235">
        <v>1</v>
      </c>
      <c r="G235">
        <v>7</v>
      </c>
      <c r="H235">
        <v>1185323</v>
      </c>
    </row>
    <row r="236" spans="1:8" x14ac:dyDescent="0.25">
      <c r="A236">
        <v>1322</v>
      </c>
      <c r="B236">
        <v>5</v>
      </c>
      <c r="C236">
        <v>3</v>
      </c>
      <c r="D236">
        <v>19</v>
      </c>
      <c r="E236">
        <v>7</v>
      </c>
      <c r="F236">
        <v>1</v>
      </c>
      <c r="G236">
        <v>4</v>
      </c>
      <c r="H236">
        <v>664702</v>
      </c>
    </row>
    <row r="237" spans="1:8" x14ac:dyDescent="0.25">
      <c r="A237">
        <v>3253</v>
      </c>
      <c r="B237">
        <v>5</v>
      </c>
      <c r="C237">
        <v>2</v>
      </c>
      <c r="D237">
        <v>20</v>
      </c>
      <c r="E237">
        <v>11</v>
      </c>
      <c r="F237">
        <v>1</v>
      </c>
      <c r="G237">
        <v>3</v>
      </c>
      <c r="H237">
        <v>766708</v>
      </c>
    </row>
    <row r="238" spans="1:8" x14ac:dyDescent="0.25">
      <c r="A238">
        <v>3261</v>
      </c>
      <c r="B238">
        <v>5</v>
      </c>
      <c r="C238">
        <v>2</v>
      </c>
      <c r="D238">
        <v>6</v>
      </c>
      <c r="E238">
        <v>4</v>
      </c>
      <c r="F238">
        <v>1</v>
      </c>
      <c r="G238">
        <v>7</v>
      </c>
      <c r="H238">
        <v>904696</v>
      </c>
    </row>
    <row r="239" spans="1:8" x14ac:dyDescent="0.25">
      <c r="A239">
        <v>3817</v>
      </c>
      <c r="B239">
        <v>5</v>
      </c>
      <c r="C239">
        <v>3</v>
      </c>
      <c r="D239">
        <v>37</v>
      </c>
      <c r="E239">
        <v>2</v>
      </c>
      <c r="F239">
        <v>1</v>
      </c>
      <c r="G239">
        <v>8</v>
      </c>
      <c r="H239">
        <v>1010812</v>
      </c>
    </row>
    <row r="240" spans="1:8" x14ac:dyDescent="0.25">
      <c r="A240">
        <v>3902</v>
      </c>
      <c r="B240">
        <v>5</v>
      </c>
      <c r="C240">
        <v>4</v>
      </c>
      <c r="D240">
        <v>35</v>
      </c>
      <c r="E240">
        <v>4</v>
      </c>
      <c r="F240">
        <v>1</v>
      </c>
      <c r="G240">
        <v>7</v>
      </c>
      <c r="H240">
        <v>1181329</v>
      </c>
    </row>
    <row r="241" spans="1:8" x14ac:dyDescent="0.25">
      <c r="A241">
        <v>974</v>
      </c>
      <c r="B241">
        <v>5</v>
      </c>
      <c r="C241">
        <v>2</v>
      </c>
      <c r="D241">
        <v>36</v>
      </c>
      <c r="E241">
        <v>18</v>
      </c>
      <c r="F241">
        <v>1</v>
      </c>
      <c r="G241">
        <v>2</v>
      </c>
      <c r="H241">
        <v>358309</v>
      </c>
    </row>
    <row r="242" spans="1:8" x14ac:dyDescent="0.25">
      <c r="A242">
        <v>1088</v>
      </c>
      <c r="B242">
        <v>5</v>
      </c>
      <c r="C242">
        <v>1</v>
      </c>
      <c r="D242">
        <v>20</v>
      </c>
      <c r="E242">
        <v>18</v>
      </c>
      <c r="F242">
        <v>1</v>
      </c>
      <c r="G242">
        <v>2</v>
      </c>
      <c r="H242">
        <v>448417</v>
      </c>
    </row>
    <row r="243" spans="1:8" x14ac:dyDescent="0.25">
      <c r="A243">
        <v>2662</v>
      </c>
      <c r="B243">
        <v>5</v>
      </c>
      <c r="C243">
        <v>4</v>
      </c>
      <c r="D243">
        <v>20</v>
      </c>
      <c r="E243">
        <v>27</v>
      </c>
      <c r="F243">
        <v>1</v>
      </c>
      <c r="G243">
        <v>2</v>
      </c>
      <c r="H243">
        <v>663398</v>
      </c>
    </row>
    <row r="244" spans="1:8" x14ac:dyDescent="0.25">
      <c r="A244">
        <v>1122</v>
      </c>
      <c r="B244">
        <v>5</v>
      </c>
      <c r="C244">
        <v>4</v>
      </c>
      <c r="D244">
        <v>39</v>
      </c>
      <c r="E244">
        <v>16</v>
      </c>
      <c r="F244">
        <v>1</v>
      </c>
      <c r="G244">
        <v>6</v>
      </c>
      <c r="H244">
        <v>690399</v>
      </c>
    </row>
    <row r="245" spans="1:8" x14ac:dyDescent="0.25">
      <c r="A245">
        <v>4689</v>
      </c>
      <c r="B245">
        <v>5</v>
      </c>
      <c r="C245">
        <v>3</v>
      </c>
      <c r="D245">
        <v>5</v>
      </c>
      <c r="E245">
        <v>11</v>
      </c>
      <c r="F245">
        <v>1</v>
      </c>
      <c r="G245">
        <v>6</v>
      </c>
      <c r="H245">
        <v>1075812</v>
      </c>
    </row>
    <row r="246" spans="1:8" x14ac:dyDescent="0.25">
      <c r="A246">
        <v>3735</v>
      </c>
      <c r="B246">
        <v>5</v>
      </c>
      <c r="C246">
        <v>4</v>
      </c>
      <c r="D246">
        <v>16</v>
      </c>
      <c r="E246">
        <v>2</v>
      </c>
      <c r="F246">
        <v>1</v>
      </c>
      <c r="G246">
        <v>8</v>
      </c>
      <c r="H246">
        <v>1124326</v>
      </c>
    </row>
    <row r="247" spans="1:8" x14ac:dyDescent="0.25">
      <c r="A247">
        <v>4162</v>
      </c>
      <c r="B247">
        <v>5</v>
      </c>
      <c r="C247">
        <v>3</v>
      </c>
      <c r="D247">
        <v>6</v>
      </c>
      <c r="E247">
        <v>4</v>
      </c>
      <c r="F247">
        <v>1</v>
      </c>
      <c r="G247">
        <v>1</v>
      </c>
      <c r="H247">
        <v>945180</v>
      </c>
    </row>
    <row r="248" spans="1:8" x14ac:dyDescent="0.25">
      <c r="A248">
        <v>3956</v>
      </c>
      <c r="B248">
        <v>1</v>
      </c>
      <c r="C248">
        <v>2</v>
      </c>
      <c r="D248">
        <v>23</v>
      </c>
      <c r="E248">
        <v>24</v>
      </c>
      <c r="F248">
        <v>1</v>
      </c>
      <c r="G248">
        <v>5</v>
      </c>
      <c r="H248">
        <v>630356</v>
      </c>
    </row>
    <row r="249" spans="1:8" x14ac:dyDescent="0.25">
      <c r="A249">
        <v>2835</v>
      </c>
      <c r="B249">
        <v>1</v>
      </c>
      <c r="C249">
        <v>4</v>
      </c>
      <c r="D249">
        <v>22</v>
      </c>
      <c r="E249">
        <v>34</v>
      </c>
      <c r="F249">
        <v>1</v>
      </c>
      <c r="G249">
        <v>4</v>
      </c>
      <c r="H249">
        <v>499322</v>
      </c>
    </row>
    <row r="250" spans="1:8" x14ac:dyDescent="0.25">
      <c r="A250">
        <v>2381</v>
      </c>
      <c r="B250">
        <v>1</v>
      </c>
      <c r="C250">
        <v>3</v>
      </c>
      <c r="D250">
        <v>3</v>
      </c>
      <c r="E250">
        <v>22</v>
      </c>
      <c r="F250">
        <v>1</v>
      </c>
      <c r="G250">
        <v>5</v>
      </c>
      <c r="H250">
        <v>580370</v>
      </c>
    </row>
    <row r="251" spans="1:8" x14ac:dyDescent="0.25">
      <c r="A251">
        <v>2427</v>
      </c>
      <c r="B251">
        <v>1</v>
      </c>
      <c r="C251">
        <v>1</v>
      </c>
      <c r="D251">
        <v>2</v>
      </c>
      <c r="E251">
        <v>16</v>
      </c>
      <c r="F251">
        <v>1</v>
      </c>
      <c r="G251">
        <v>2</v>
      </c>
      <c r="H251">
        <v>455273</v>
      </c>
    </row>
    <row r="252" spans="1:8" x14ac:dyDescent="0.25">
      <c r="A252">
        <v>3173</v>
      </c>
      <c r="B252">
        <v>1</v>
      </c>
      <c r="C252">
        <v>4</v>
      </c>
      <c r="D252">
        <v>14</v>
      </c>
      <c r="E252">
        <v>2</v>
      </c>
      <c r="F252">
        <v>1</v>
      </c>
      <c r="G252">
        <v>5</v>
      </c>
      <c r="H252">
        <v>805255</v>
      </c>
    </row>
    <row r="253" spans="1:8" x14ac:dyDescent="0.25">
      <c r="A253">
        <v>963</v>
      </c>
      <c r="B253">
        <v>1</v>
      </c>
      <c r="C253">
        <v>2</v>
      </c>
      <c r="D253">
        <v>27</v>
      </c>
      <c r="E253">
        <v>26</v>
      </c>
      <c r="F253">
        <v>1</v>
      </c>
      <c r="G253">
        <v>6</v>
      </c>
      <c r="H253">
        <v>328723</v>
      </c>
    </row>
    <row r="254" spans="1:8" x14ac:dyDescent="0.25">
      <c r="A254">
        <v>3642</v>
      </c>
      <c r="B254">
        <v>1</v>
      </c>
      <c r="C254">
        <v>1</v>
      </c>
      <c r="D254">
        <v>2</v>
      </c>
      <c r="E254">
        <v>28</v>
      </c>
      <c r="F254">
        <v>1</v>
      </c>
      <c r="G254">
        <v>7</v>
      </c>
      <c r="H254">
        <v>736492</v>
      </c>
    </row>
    <row r="255" spans="1:8" x14ac:dyDescent="0.25">
      <c r="A255">
        <v>2773</v>
      </c>
      <c r="B255">
        <v>1</v>
      </c>
      <c r="C255">
        <v>2</v>
      </c>
      <c r="D255">
        <v>34</v>
      </c>
      <c r="E255">
        <v>21</v>
      </c>
      <c r="F255">
        <v>1</v>
      </c>
      <c r="G255">
        <v>10</v>
      </c>
      <c r="H255">
        <v>1018009</v>
      </c>
    </row>
    <row r="256" spans="1:8" x14ac:dyDescent="0.25">
      <c r="A256">
        <v>3845</v>
      </c>
      <c r="B256">
        <v>1</v>
      </c>
      <c r="C256">
        <v>2</v>
      </c>
      <c r="D256">
        <v>20</v>
      </c>
      <c r="E256">
        <v>31</v>
      </c>
      <c r="F256">
        <v>1</v>
      </c>
      <c r="G256">
        <v>4</v>
      </c>
      <c r="H256">
        <v>629514</v>
      </c>
    </row>
    <row r="257" spans="1:8" x14ac:dyDescent="0.25">
      <c r="A257">
        <v>4143</v>
      </c>
      <c r="B257">
        <v>1</v>
      </c>
      <c r="C257">
        <v>3</v>
      </c>
      <c r="D257">
        <v>12</v>
      </c>
      <c r="E257">
        <v>14</v>
      </c>
      <c r="F257">
        <v>1</v>
      </c>
      <c r="G257">
        <v>2</v>
      </c>
      <c r="H257">
        <v>674460</v>
      </c>
    </row>
    <row r="258" spans="1:8" x14ac:dyDescent="0.25">
      <c r="A258">
        <v>2036</v>
      </c>
      <c r="B258">
        <v>1</v>
      </c>
      <c r="C258">
        <v>2</v>
      </c>
      <c r="D258">
        <v>8</v>
      </c>
      <c r="E258">
        <v>11</v>
      </c>
      <c r="F258">
        <v>1</v>
      </c>
      <c r="G258">
        <v>8</v>
      </c>
      <c r="H258">
        <v>660928</v>
      </c>
    </row>
    <row r="259" spans="1:8" x14ac:dyDescent="0.25">
      <c r="A259">
        <v>1098</v>
      </c>
      <c r="B259">
        <v>1</v>
      </c>
      <c r="C259">
        <v>1</v>
      </c>
      <c r="D259">
        <v>23</v>
      </c>
      <c r="E259">
        <v>28</v>
      </c>
      <c r="F259">
        <v>1</v>
      </c>
      <c r="G259">
        <v>3</v>
      </c>
      <c r="H259">
        <v>251700</v>
      </c>
    </row>
    <row r="260" spans="1:8" x14ac:dyDescent="0.25">
      <c r="A260">
        <v>3874</v>
      </c>
      <c r="B260">
        <v>1</v>
      </c>
      <c r="C260">
        <v>4</v>
      </c>
      <c r="D260">
        <v>12</v>
      </c>
      <c r="E260">
        <v>30</v>
      </c>
      <c r="F260">
        <v>1</v>
      </c>
      <c r="G260">
        <v>1</v>
      </c>
      <c r="H260">
        <v>566030</v>
      </c>
    </row>
    <row r="261" spans="1:8" x14ac:dyDescent="0.25">
      <c r="A261">
        <v>602</v>
      </c>
      <c r="B261">
        <v>1</v>
      </c>
      <c r="C261">
        <v>4</v>
      </c>
      <c r="D261">
        <v>0</v>
      </c>
      <c r="E261">
        <v>23</v>
      </c>
      <c r="F261">
        <v>1</v>
      </c>
      <c r="G261">
        <v>8</v>
      </c>
      <c r="H261">
        <v>506892</v>
      </c>
    </row>
    <row r="262" spans="1:8" x14ac:dyDescent="0.25">
      <c r="A262">
        <v>546</v>
      </c>
      <c r="B262">
        <v>1</v>
      </c>
      <c r="C262">
        <v>2</v>
      </c>
      <c r="D262">
        <v>3</v>
      </c>
      <c r="E262">
        <v>18</v>
      </c>
      <c r="F262">
        <v>1</v>
      </c>
      <c r="G262">
        <v>3</v>
      </c>
      <c r="H262">
        <v>269212</v>
      </c>
    </row>
    <row r="263" spans="1:8" x14ac:dyDescent="0.25">
      <c r="A263">
        <v>2134</v>
      </c>
      <c r="B263">
        <v>1</v>
      </c>
      <c r="C263">
        <v>2</v>
      </c>
      <c r="D263">
        <v>35</v>
      </c>
      <c r="E263">
        <v>26</v>
      </c>
      <c r="F263">
        <v>1</v>
      </c>
      <c r="G263">
        <v>4</v>
      </c>
      <c r="H263">
        <v>425800</v>
      </c>
    </row>
    <row r="264" spans="1:8" x14ac:dyDescent="0.25">
      <c r="A264">
        <v>2456</v>
      </c>
      <c r="B264">
        <v>1</v>
      </c>
      <c r="C264">
        <v>4</v>
      </c>
      <c r="D264">
        <v>17</v>
      </c>
      <c r="E264">
        <v>10</v>
      </c>
      <c r="F264">
        <v>1</v>
      </c>
      <c r="G264">
        <v>8</v>
      </c>
      <c r="H264">
        <v>665330</v>
      </c>
    </row>
    <row r="265" spans="1:8" x14ac:dyDescent="0.25">
      <c r="A265">
        <v>4391</v>
      </c>
      <c r="B265">
        <v>1</v>
      </c>
      <c r="C265">
        <v>3</v>
      </c>
      <c r="D265">
        <v>1</v>
      </c>
      <c r="E265">
        <v>28</v>
      </c>
      <c r="F265">
        <v>1</v>
      </c>
      <c r="G265">
        <v>8</v>
      </c>
      <c r="H265">
        <v>968799</v>
      </c>
    </row>
    <row r="266" spans="1:8" x14ac:dyDescent="0.25">
      <c r="A266">
        <v>4323</v>
      </c>
      <c r="B266">
        <v>1</v>
      </c>
      <c r="C266">
        <v>3</v>
      </c>
      <c r="D266">
        <v>15</v>
      </c>
      <c r="E266">
        <v>15</v>
      </c>
      <c r="F266">
        <v>1</v>
      </c>
      <c r="G266">
        <v>3</v>
      </c>
      <c r="H266">
        <v>697078</v>
      </c>
    </row>
    <row r="267" spans="1:8" x14ac:dyDescent="0.25">
      <c r="A267">
        <v>4177</v>
      </c>
      <c r="B267">
        <v>1</v>
      </c>
      <c r="C267">
        <v>4</v>
      </c>
      <c r="D267">
        <v>14</v>
      </c>
      <c r="E267">
        <v>15</v>
      </c>
      <c r="F267">
        <v>1</v>
      </c>
      <c r="G267">
        <v>5</v>
      </c>
      <c r="H267">
        <v>841267</v>
      </c>
    </row>
    <row r="268" spans="1:8" x14ac:dyDescent="0.25">
      <c r="A268">
        <v>1460</v>
      </c>
      <c r="B268">
        <v>1</v>
      </c>
      <c r="C268">
        <v>2</v>
      </c>
      <c r="D268">
        <v>0</v>
      </c>
      <c r="E268">
        <v>33</v>
      </c>
      <c r="F268">
        <v>1</v>
      </c>
      <c r="G268">
        <v>4</v>
      </c>
      <c r="H268">
        <v>399104</v>
      </c>
    </row>
    <row r="269" spans="1:8" x14ac:dyDescent="0.25">
      <c r="A269">
        <v>4764</v>
      </c>
      <c r="B269">
        <v>1</v>
      </c>
      <c r="C269">
        <v>2</v>
      </c>
      <c r="D269">
        <v>10</v>
      </c>
      <c r="E269">
        <v>2</v>
      </c>
      <c r="F269">
        <v>1</v>
      </c>
      <c r="G269">
        <v>8</v>
      </c>
      <c r="H269">
        <v>984843</v>
      </c>
    </row>
    <row r="270" spans="1:8" x14ac:dyDescent="0.25">
      <c r="A270">
        <v>1412</v>
      </c>
      <c r="B270">
        <v>1</v>
      </c>
      <c r="C270">
        <v>2</v>
      </c>
      <c r="D270">
        <v>4</v>
      </c>
      <c r="E270">
        <v>14</v>
      </c>
      <c r="F270">
        <v>1</v>
      </c>
      <c r="G270">
        <v>5</v>
      </c>
      <c r="H270">
        <v>470002</v>
      </c>
    </row>
    <row r="271" spans="1:8" x14ac:dyDescent="0.25">
      <c r="A271">
        <v>3906</v>
      </c>
      <c r="B271">
        <v>1</v>
      </c>
      <c r="C271">
        <v>2</v>
      </c>
      <c r="D271">
        <v>11</v>
      </c>
      <c r="E271">
        <v>30</v>
      </c>
      <c r="F271">
        <v>1</v>
      </c>
      <c r="G271">
        <v>1</v>
      </c>
      <c r="H271">
        <v>570551</v>
      </c>
    </row>
    <row r="272" spans="1:8" x14ac:dyDescent="0.25">
      <c r="A272">
        <v>1415</v>
      </c>
      <c r="B272">
        <v>1</v>
      </c>
      <c r="C272">
        <v>4</v>
      </c>
      <c r="D272">
        <v>6</v>
      </c>
      <c r="E272">
        <v>3</v>
      </c>
      <c r="F272">
        <v>1</v>
      </c>
      <c r="G272">
        <v>8</v>
      </c>
      <c r="H272">
        <v>597638</v>
      </c>
    </row>
    <row r="273" spans="1:8" x14ac:dyDescent="0.25">
      <c r="A273">
        <v>4313</v>
      </c>
      <c r="B273">
        <v>1</v>
      </c>
      <c r="C273">
        <v>3</v>
      </c>
      <c r="D273">
        <v>21</v>
      </c>
      <c r="E273">
        <v>28</v>
      </c>
      <c r="F273">
        <v>1</v>
      </c>
      <c r="G273">
        <v>7</v>
      </c>
      <c r="H273">
        <v>767007</v>
      </c>
    </row>
    <row r="274" spans="1:8" x14ac:dyDescent="0.25">
      <c r="A274">
        <v>2482</v>
      </c>
      <c r="B274">
        <v>1</v>
      </c>
      <c r="C274">
        <v>1</v>
      </c>
      <c r="D274">
        <v>23</v>
      </c>
      <c r="E274">
        <v>29</v>
      </c>
      <c r="F274">
        <v>1</v>
      </c>
      <c r="G274">
        <v>8</v>
      </c>
      <c r="H274">
        <v>563999</v>
      </c>
    </row>
    <row r="275" spans="1:8" x14ac:dyDescent="0.25">
      <c r="A275">
        <v>3622</v>
      </c>
      <c r="B275">
        <v>1</v>
      </c>
      <c r="C275">
        <v>3</v>
      </c>
      <c r="D275">
        <v>37</v>
      </c>
      <c r="E275">
        <v>30</v>
      </c>
      <c r="F275">
        <v>1</v>
      </c>
      <c r="G275">
        <v>8</v>
      </c>
      <c r="H275">
        <v>703468</v>
      </c>
    </row>
    <row r="276" spans="1:8" x14ac:dyDescent="0.25">
      <c r="A276">
        <v>1567</v>
      </c>
      <c r="B276">
        <v>1</v>
      </c>
      <c r="C276">
        <v>3</v>
      </c>
      <c r="D276">
        <v>1</v>
      </c>
      <c r="E276">
        <v>4</v>
      </c>
      <c r="F276">
        <v>1</v>
      </c>
      <c r="G276">
        <v>4</v>
      </c>
      <c r="H276">
        <v>453922</v>
      </c>
    </row>
    <row r="277" spans="1:8" x14ac:dyDescent="0.25">
      <c r="A277">
        <v>3701</v>
      </c>
      <c r="B277">
        <v>1</v>
      </c>
      <c r="C277">
        <v>4</v>
      </c>
      <c r="D277">
        <v>28</v>
      </c>
      <c r="E277">
        <v>2</v>
      </c>
      <c r="F277">
        <v>1</v>
      </c>
      <c r="G277">
        <v>6</v>
      </c>
      <c r="H277">
        <v>770205</v>
      </c>
    </row>
    <row r="278" spans="1:8" x14ac:dyDescent="0.25">
      <c r="A278">
        <v>3636</v>
      </c>
      <c r="B278">
        <v>1</v>
      </c>
      <c r="C278">
        <v>2</v>
      </c>
      <c r="D278">
        <v>20</v>
      </c>
      <c r="E278">
        <v>6</v>
      </c>
      <c r="F278">
        <v>1</v>
      </c>
      <c r="G278">
        <v>7</v>
      </c>
      <c r="H278">
        <v>763336</v>
      </c>
    </row>
    <row r="279" spans="1:8" x14ac:dyDescent="0.25">
      <c r="A279">
        <v>4119</v>
      </c>
      <c r="B279">
        <v>1</v>
      </c>
      <c r="C279">
        <v>3</v>
      </c>
      <c r="D279">
        <v>18</v>
      </c>
      <c r="E279">
        <v>16</v>
      </c>
      <c r="F279">
        <v>1</v>
      </c>
      <c r="G279">
        <v>6</v>
      </c>
      <c r="H279">
        <v>833240</v>
      </c>
    </row>
    <row r="280" spans="1:8" x14ac:dyDescent="0.25">
      <c r="A280">
        <v>899</v>
      </c>
      <c r="B280">
        <v>1</v>
      </c>
      <c r="C280">
        <v>2</v>
      </c>
      <c r="D280">
        <v>16</v>
      </c>
      <c r="E280">
        <v>33</v>
      </c>
      <c r="F280">
        <v>1</v>
      </c>
      <c r="G280">
        <v>5</v>
      </c>
      <c r="H280">
        <v>338437</v>
      </c>
    </row>
    <row r="281" spans="1:8" x14ac:dyDescent="0.25">
      <c r="A281">
        <v>2773</v>
      </c>
      <c r="B281">
        <v>1</v>
      </c>
      <c r="C281">
        <v>4</v>
      </c>
      <c r="D281">
        <v>31</v>
      </c>
      <c r="E281">
        <v>21</v>
      </c>
      <c r="F281">
        <v>1</v>
      </c>
      <c r="G281">
        <v>7</v>
      </c>
      <c r="H281">
        <v>449943</v>
      </c>
    </row>
    <row r="282" spans="1:8" x14ac:dyDescent="0.25">
      <c r="A282">
        <v>1555</v>
      </c>
      <c r="B282">
        <v>1</v>
      </c>
      <c r="C282">
        <v>4</v>
      </c>
      <c r="D282">
        <v>35</v>
      </c>
      <c r="E282">
        <v>3</v>
      </c>
      <c r="F282">
        <v>1</v>
      </c>
      <c r="G282">
        <v>2</v>
      </c>
      <c r="H282">
        <v>394203</v>
      </c>
    </row>
    <row r="283" spans="1:8" x14ac:dyDescent="0.25">
      <c r="A283">
        <v>2210</v>
      </c>
      <c r="B283">
        <v>1</v>
      </c>
      <c r="C283">
        <v>4</v>
      </c>
      <c r="D283">
        <v>13</v>
      </c>
      <c r="E283">
        <v>25</v>
      </c>
      <c r="F283">
        <v>1</v>
      </c>
      <c r="G283">
        <v>8</v>
      </c>
      <c r="H283">
        <v>701285</v>
      </c>
    </row>
    <row r="284" spans="1:8" x14ac:dyDescent="0.25">
      <c r="A284">
        <v>4586</v>
      </c>
      <c r="B284">
        <v>1</v>
      </c>
      <c r="C284">
        <v>3</v>
      </c>
      <c r="D284">
        <v>14</v>
      </c>
      <c r="E284">
        <v>32</v>
      </c>
      <c r="F284">
        <v>1</v>
      </c>
      <c r="G284">
        <v>3</v>
      </c>
      <c r="H284">
        <v>673467</v>
      </c>
    </row>
    <row r="285" spans="1:8" x14ac:dyDescent="0.25">
      <c r="A285">
        <v>4534</v>
      </c>
      <c r="B285">
        <v>1</v>
      </c>
      <c r="C285">
        <v>4</v>
      </c>
      <c r="D285">
        <v>3</v>
      </c>
      <c r="E285">
        <v>24</v>
      </c>
      <c r="F285">
        <v>1</v>
      </c>
      <c r="G285">
        <v>3</v>
      </c>
      <c r="H285">
        <v>865509</v>
      </c>
    </row>
    <row r="286" spans="1:8" x14ac:dyDescent="0.25">
      <c r="A286">
        <v>2396</v>
      </c>
      <c r="B286">
        <v>1</v>
      </c>
      <c r="C286">
        <v>3</v>
      </c>
      <c r="D286">
        <v>10</v>
      </c>
      <c r="E286">
        <v>24</v>
      </c>
      <c r="F286">
        <v>1</v>
      </c>
      <c r="G286">
        <v>5</v>
      </c>
      <c r="H286">
        <v>504284</v>
      </c>
    </row>
    <row r="287" spans="1:8" x14ac:dyDescent="0.25">
      <c r="A287">
        <v>1328</v>
      </c>
      <c r="B287">
        <v>1</v>
      </c>
      <c r="C287">
        <v>2</v>
      </c>
      <c r="D287">
        <v>31</v>
      </c>
      <c r="E287">
        <v>16</v>
      </c>
      <c r="F287">
        <v>1</v>
      </c>
      <c r="G287">
        <v>2</v>
      </c>
      <c r="H287">
        <v>258761</v>
      </c>
    </row>
    <row r="288" spans="1:8" x14ac:dyDescent="0.25">
      <c r="A288">
        <v>2908</v>
      </c>
      <c r="B288">
        <v>1</v>
      </c>
      <c r="C288">
        <v>1</v>
      </c>
      <c r="D288">
        <v>20</v>
      </c>
      <c r="E288">
        <v>29</v>
      </c>
      <c r="F288">
        <v>1</v>
      </c>
      <c r="G288">
        <v>8</v>
      </c>
      <c r="H288">
        <v>577552</v>
      </c>
    </row>
    <row r="289" spans="1:8" x14ac:dyDescent="0.25">
      <c r="A289">
        <v>2344</v>
      </c>
      <c r="B289">
        <v>1</v>
      </c>
      <c r="C289">
        <v>3</v>
      </c>
      <c r="D289">
        <v>29</v>
      </c>
      <c r="E289">
        <v>7</v>
      </c>
      <c r="F289">
        <v>1</v>
      </c>
      <c r="G289">
        <v>3</v>
      </c>
      <c r="H289">
        <v>490550</v>
      </c>
    </row>
    <row r="290" spans="1:8" x14ac:dyDescent="0.25">
      <c r="A290">
        <v>788</v>
      </c>
      <c r="B290">
        <v>1</v>
      </c>
      <c r="C290">
        <v>2</v>
      </c>
      <c r="D290">
        <v>39</v>
      </c>
      <c r="E290">
        <v>30</v>
      </c>
      <c r="F290">
        <v>1</v>
      </c>
      <c r="G290">
        <v>5</v>
      </c>
      <c r="H290">
        <v>342424</v>
      </c>
    </row>
    <row r="291" spans="1:8" x14ac:dyDescent="0.25">
      <c r="A291">
        <v>2773</v>
      </c>
      <c r="B291">
        <v>1</v>
      </c>
      <c r="C291">
        <v>2</v>
      </c>
      <c r="D291">
        <v>9</v>
      </c>
      <c r="E291">
        <v>21</v>
      </c>
      <c r="F291">
        <v>1</v>
      </c>
      <c r="G291">
        <v>8</v>
      </c>
      <c r="H291">
        <v>525595</v>
      </c>
    </row>
    <row r="292" spans="1:8" x14ac:dyDescent="0.25">
      <c r="A292">
        <v>2522</v>
      </c>
      <c r="B292">
        <v>1</v>
      </c>
      <c r="C292">
        <v>1</v>
      </c>
      <c r="D292">
        <v>12</v>
      </c>
      <c r="E292">
        <v>20</v>
      </c>
      <c r="F292">
        <v>1</v>
      </c>
      <c r="G292">
        <v>3</v>
      </c>
      <c r="H292">
        <v>567101</v>
      </c>
    </row>
    <row r="293" spans="1:8" x14ac:dyDescent="0.25">
      <c r="A293">
        <v>2417</v>
      </c>
      <c r="B293">
        <v>1</v>
      </c>
      <c r="C293">
        <v>2</v>
      </c>
      <c r="D293">
        <v>35</v>
      </c>
      <c r="E293">
        <v>18</v>
      </c>
      <c r="F293">
        <v>1</v>
      </c>
      <c r="G293">
        <v>3</v>
      </c>
      <c r="H293">
        <v>326441</v>
      </c>
    </row>
    <row r="294" spans="1:8" x14ac:dyDescent="0.25">
      <c r="A294">
        <v>3431</v>
      </c>
      <c r="B294">
        <v>1</v>
      </c>
      <c r="C294">
        <v>4</v>
      </c>
      <c r="D294">
        <v>35</v>
      </c>
      <c r="E294">
        <v>2</v>
      </c>
      <c r="F294">
        <v>1</v>
      </c>
      <c r="G294">
        <v>8</v>
      </c>
      <c r="H294">
        <v>847027</v>
      </c>
    </row>
    <row r="295" spans="1:8" x14ac:dyDescent="0.25">
      <c r="A295">
        <v>4538</v>
      </c>
      <c r="B295">
        <v>1</v>
      </c>
      <c r="C295">
        <v>3</v>
      </c>
      <c r="D295">
        <v>27</v>
      </c>
      <c r="E295">
        <v>7</v>
      </c>
      <c r="F295">
        <v>1</v>
      </c>
      <c r="G295">
        <v>1</v>
      </c>
      <c r="H295">
        <v>703298</v>
      </c>
    </row>
    <row r="296" spans="1:8" x14ac:dyDescent="0.25">
      <c r="A296">
        <v>680</v>
      </c>
      <c r="B296">
        <v>1</v>
      </c>
      <c r="C296">
        <v>2</v>
      </c>
      <c r="D296">
        <v>5</v>
      </c>
      <c r="E296">
        <v>27</v>
      </c>
      <c r="F296">
        <v>1</v>
      </c>
      <c r="G296">
        <v>9</v>
      </c>
      <c r="H296">
        <v>543530</v>
      </c>
    </row>
    <row r="297" spans="1:8" x14ac:dyDescent="0.25">
      <c r="A297">
        <v>3996</v>
      </c>
      <c r="B297">
        <v>1</v>
      </c>
      <c r="C297">
        <v>1</v>
      </c>
      <c r="D297">
        <v>24</v>
      </c>
      <c r="E297">
        <v>11</v>
      </c>
      <c r="F297">
        <v>1</v>
      </c>
      <c r="G297">
        <v>6</v>
      </c>
      <c r="H297">
        <v>768295</v>
      </c>
    </row>
    <row r="298" spans="1:8" x14ac:dyDescent="0.25">
      <c r="A298">
        <v>1569</v>
      </c>
      <c r="B298">
        <v>1</v>
      </c>
      <c r="C298">
        <v>1</v>
      </c>
      <c r="D298">
        <v>39</v>
      </c>
      <c r="E298">
        <v>23</v>
      </c>
      <c r="F298">
        <v>1</v>
      </c>
      <c r="G298">
        <v>5</v>
      </c>
      <c r="H298">
        <v>350721</v>
      </c>
    </row>
    <row r="299" spans="1:8" x14ac:dyDescent="0.25">
      <c r="A299">
        <v>4606</v>
      </c>
      <c r="B299">
        <v>1</v>
      </c>
      <c r="C299">
        <v>4</v>
      </c>
      <c r="D299">
        <v>30</v>
      </c>
      <c r="E299">
        <v>11</v>
      </c>
      <c r="F299">
        <v>1</v>
      </c>
      <c r="G299">
        <v>8</v>
      </c>
      <c r="H299">
        <v>958400</v>
      </c>
    </row>
    <row r="300" spans="1:8" x14ac:dyDescent="0.25">
      <c r="A300">
        <v>3139</v>
      </c>
      <c r="B300">
        <v>1</v>
      </c>
      <c r="C300">
        <v>2</v>
      </c>
      <c r="D300">
        <v>23</v>
      </c>
      <c r="E300">
        <v>32</v>
      </c>
      <c r="F300">
        <v>1</v>
      </c>
      <c r="G300">
        <v>8</v>
      </c>
      <c r="H300">
        <v>732502</v>
      </c>
    </row>
    <row r="301" spans="1:8" x14ac:dyDescent="0.25">
      <c r="A301">
        <v>3109</v>
      </c>
      <c r="B301">
        <v>1</v>
      </c>
      <c r="C301">
        <v>1</v>
      </c>
      <c r="D301">
        <v>14</v>
      </c>
      <c r="E301">
        <v>11</v>
      </c>
      <c r="F301">
        <v>1</v>
      </c>
      <c r="G301">
        <v>1</v>
      </c>
      <c r="H301">
        <v>421831</v>
      </c>
    </row>
    <row r="302" spans="1:8" x14ac:dyDescent="0.25">
      <c r="A302">
        <v>867</v>
      </c>
      <c r="B302">
        <v>1</v>
      </c>
      <c r="C302">
        <v>1</v>
      </c>
      <c r="D302">
        <v>32</v>
      </c>
      <c r="E302">
        <v>3</v>
      </c>
      <c r="F302">
        <v>1</v>
      </c>
      <c r="G302">
        <v>10</v>
      </c>
      <c r="H302">
        <v>450279</v>
      </c>
    </row>
    <row r="303" spans="1:8" x14ac:dyDescent="0.25">
      <c r="A303">
        <v>4608</v>
      </c>
      <c r="B303">
        <v>1</v>
      </c>
      <c r="C303">
        <v>1</v>
      </c>
      <c r="D303">
        <v>36</v>
      </c>
      <c r="E303">
        <v>13</v>
      </c>
      <c r="F303">
        <v>1</v>
      </c>
      <c r="G303">
        <v>4</v>
      </c>
      <c r="H303">
        <v>667144</v>
      </c>
    </row>
    <row r="304" spans="1:8" x14ac:dyDescent="0.25">
      <c r="A304">
        <v>3035</v>
      </c>
      <c r="B304">
        <v>1</v>
      </c>
      <c r="C304">
        <v>1</v>
      </c>
      <c r="D304">
        <v>27</v>
      </c>
      <c r="E304">
        <v>3</v>
      </c>
      <c r="F304">
        <v>1</v>
      </c>
      <c r="G304">
        <v>3</v>
      </c>
      <c r="H304">
        <v>516031</v>
      </c>
    </row>
    <row r="305" spans="1:8" x14ac:dyDescent="0.25">
      <c r="A305">
        <v>3112</v>
      </c>
      <c r="B305">
        <v>1</v>
      </c>
      <c r="C305">
        <v>2</v>
      </c>
      <c r="D305">
        <v>19</v>
      </c>
      <c r="E305">
        <v>8</v>
      </c>
      <c r="F305">
        <v>1</v>
      </c>
      <c r="G305">
        <v>7</v>
      </c>
      <c r="H305">
        <v>791180</v>
      </c>
    </row>
    <row r="306" spans="1:8" x14ac:dyDescent="0.25">
      <c r="A306">
        <v>4433</v>
      </c>
      <c r="B306">
        <v>1</v>
      </c>
      <c r="C306">
        <v>3</v>
      </c>
      <c r="D306">
        <v>26</v>
      </c>
      <c r="E306">
        <v>18</v>
      </c>
      <c r="F306">
        <v>1</v>
      </c>
      <c r="G306">
        <v>5</v>
      </c>
      <c r="H306">
        <v>698621</v>
      </c>
    </row>
    <row r="307" spans="1:8" x14ac:dyDescent="0.25">
      <c r="A307">
        <v>2749</v>
      </c>
      <c r="B307">
        <v>1</v>
      </c>
      <c r="C307">
        <v>3</v>
      </c>
      <c r="D307">
        <v>26</v>
      </c>
      <c r="E307">
        <v>34</v>
      </c>
      <c r="F307">
        <v>1</v>
      </c>
      <c r="G307">
        <v>4</v>
      </c>
      <c r="H307">
        <v>551229</v>
      </c>
    </row>
    <row r="308" spans="1:8" x14ac:dyDescent="0.25">
      <c r="A308">
        <v>3849</v>
      </c>
      <c r="B308">
        <v>1</v>
      </c>
      <c r="C308">
        <v>1</v>
      </c>
      <c r="D308">
        <v>22</v>
      </c>
      <c r="E308">
        <v>11</v>
      </c>
      <c r="F308">
        <v>1</v>
      </c>
      <c r="G308">
        <v>3</v>
      </c>
      <c r="H308">
        <v>523270</v>
      </c>
    </row>
    <row r="309" spans="1:8" x14ac:dyDescent="0.25">
      <c r="A309">
        <v>2045</v>
      </c>
      <c r="B309">
        <v>1</v>
      </c>
      <c r="C309">
        <v>3</v>
      </c>
      <c r="D309">
        <v>20</v>
      </c>
      <c r="E309">
        <v>27</v>
      </c>
      <c r="F309">
        <v>1</v>
      </c>
      <c r="G309">
        <v>3</v>
      </c>
      <c r="H309">
        <v>418826</v>
      </c>
    </row>
    <row r="310" spans="1:8" x14ac:dyDescent="0.25">
      <c r="A310">
        <v>3272</v>
      </c>
      <c r="B310">
        <v>1</v>
      </c>
      <c r="C310">
        <v>3</v>
      </c>
      <c r="D310">
        <v>21</v>
      </c>
      <c r="E310">
        <v>31</v>
      </c>
      <c r="F310">
        <v>1</v>
      </c>
      <c r="G310">
        <v>10</v>
      </c>
      <c r="H310">
        <v>786529</v>
      </c>
    </row>
    <row r="311" spans="1:8" x14ac:dyDescent="0.25">
      <c r="A311">
        <v>3972</v>
      </c>
      <c r="B311">
        <v>1</v>
      </c>
      <c r="C311">
        <v>4</v>
      </c>
      <c r="D311">
        <v>9</v>
      </c>
      <c r="E311">
        <v>29</v>
      </c>
      <c r="F311">
        <v>1</v>
      </c>
      <c r="G311">
        <v>5</v>
      </c>
      <c r="H311">
        <v>720244</v>
      </c>
    </row>
    <row r="312" spans="1:8" x14ac:dyDescent="0.25">
      <c r="A312">
        <v>4101</v>
      </c>
      <c r="B312">
        <v>1</v>
      </c>
      <c r="C312">
        <v>4</v>
      </c>
      <c r="D312">
        <v>3</v>
      </c>
      <c r="E312">
        <v>15</v>
      </c>
      <c r="F312">
        <v>1</v>
      </c>
      <c r="G312">
        <v>4</v>
      </c>
      <c r="H312">
        <v>760111</v>
      </c>
    </row>
    <row r="313" spans="1:8" x14ac:dyDescent="0.25">
      <c r="A313">
        <v>2732</v>
      </c>
      <c r="B313">
        <v>1</v>
      </c>
      <c r="C313">
        <v>1</v>
      </c>
      <c r="D313">
        <v>5</v>
      </c>
      <c r="E313">
        <v>12</v>
      </c>
      <c r="F313">
        <v>1</v>
      </c>
      <c r="G313">
        <v>5</v>
      </c>
      <c r="H313">
        <v>525861</v>
      </c>
    </row>
    <row r="314" spans="1:8" x14ac:dyDescent="0.25">
      <c r="A314">
        <v>1881</v>
      </c>
      <c r="B314">
        <v>1</v>
      </c>
      <c r="C314">
        <v>1</v>
      </c>
      <c r="D314">
        <v>0</v>
      </c>
      <c r="E314">
        <v>8</v>
      </c>
      <c r="F314">
        <v>1</v>
      </c>
      <c r="G314">
        <v>1</v>
      </c>
      <c r="H314">
        <v>385864</v>
      </c>
    </row>
    <row r="315" spans="1:8" x14ac:dyDescent="0.25">
      <c r="A315">
        <v>454</v>
      </c>
      <c r="B315">
        <v>1</v>
      </c>
      <c r="C315">
        <v>2</v>
      </c>
      <c r="D315">
        <v>14</v>
      </c>
      <c r="E315">
        <v>26</v>
      </c>
      <c r="F315">
        <v>1</v>
      </c>
      <c r="G315">
        <v>6</v>
      </c>
      <c r="H315">
        <v>351715</v>
      </c>
    </row>
    <row r="316" spans="1:8" x14ac:dyDescent="0.25">
      <c r="A316">
        <v>3862</v>
      </c>
      <c r="B316">
        <v>1</v>
      </c>
      <c r="C316">
        <v>3</v>
      </c>
      <c r="D316">
        <v>31</v>
      </c>
      <c r="E316">
        <v>27</v>
      </c>
      <c r="F316">
        <v>1</v>
      </c>
      <c r="G316">
        <v>8</v>
      </c>
      <c r="H316">
        <v>782537</v>
      </c>
    </row>
    <row r="317" spans="1:8" x14ac:dyDescent="0.25">
      <c r="A317">
        <v>1881</v>
      </c>
      <c r="B317">
        <v>1</v>
      </c>
      <c r="C317">
        <v>1</v>
      </c>
      <c r="D317">
        <v>0</v>
      </c>
      <c r="E317">
        <v>8</v>
      </c>
      <c r="F317">
        <v>1</v>
      </c>
      <c r="G317">
        <v>1</v>
      </c>
      <c r="H317">
        <v>385864</v>
      </c>
    </row>
    <row r="318" spans="1:8" x14ac:dyDescent="0.25">
      <c r="A318">
        <v>3844</v>
      </c>
      <c r="B318">
        <v>2</v>
      </c>
      <c r="C318">
        <v>4</v>
      </c>
      <c r="D318">
        <v>13</v>
      </c>
      <c r="E318">
        <v>28</v>
      </c>
      <c r="F318">
        <v>1</v>
      </c>
      <c r="G318">
        <v>6</v>
      </c>
      <c r="H318">
        <v>934419</v>
      </c>
    </row>
    <row r="319" spans="1:8" x14ac:dyDescent="0.25">
      <c r="A319">
        <v>2791</v>
      </c>
      <c r="B319">
        <v>2</v>
      </c>
      <c r="C319">
        <v>1</v>
      </c>
      <c r="D319">
        <v>34</v>
      </c>
      <c r="E319">
        <v>3</v>
      </c>
      <c r="F319">
        <v>1</v>
      </c>
      <c r="G319">
        <v>9</v>
      </c>
      <c r="H319">
        <v>772317</v>
      </c>
    </row>
    <row r="320" spans="1:8" x14ac:dyDescent="0.25">
      <c r="A320">
        <v>2206</v>
      </c>
      <c r="B320">
        <v>2</v>
      </c>
      <c r="C320">
        <v>4</v>
      </c>
      <c r="D320">
        <v>7</v>
      </c>
      <c r="E320">
        <v>33</v>
      </c>
      <c r="F320">
        <v>1</v>
      </c>
      <c r="G320">
        <v>3</v>
      </c>
      <c r="H320">
        <v>578756</v>
      </c>
    </row>
    <row r="321" spans="1:8" x14ac:dyDescent="0.25">
      <c r="A321">
        <v>3405</v>
      </c>
      <c r="B321">
        <v>2</v>
      </c>
      <c r="C321">
        <v>1</v>
      </c>
      <c r="D321">
        <v>29</v>
      </c>
      <c r="E321">
        <v>21</v>
      </c>
      <c r="F321">
        <v>1</v>
      </c>
      <c r="G321">
        <v>4</v>
      </c>
      <c r="H321">
        <v>572961</v>
      </c>
    </row>
    <row r="322" spans="1:8" x14ac:dyDescent="0.25">
      <c r="A322">
        <v>1763</v>
      </c>
      <c r="B322">
        <v>2</v>
      </c>
      <c r="C322">
        <v>4</v>
      </c>
      <c r="D322">
        <v>6</v>
      </c>
      <c r="E322">
        <v>12</v>
      </c>
      <c r="F322">
        <v>1</v>
      </c>
      <c r="G322">
        <v>3</v>
      </c>
      <c r="H322">
        <v>472619</v>
      </c>
    </row>
    <row r="323" spans="1:8" x14ac:dyDescent="0.25">
      <c r="A323">
        <v>3742</v>
      </c>
      <c r="B323">
        <v>2</v>
      </c>
      <c r="C323">
        <v>3</v>
      </c>
      <c r="D323">
        <v>27</v>
      </c>
      <c r="E323">
        <v>24</v>
      </c>
      <c r="F323">
        <v>1</v>
      </c>
      <c r="G323">
        <v>4</v>
      </c>
      <c r="H323">
        <v>721201</v>
      </c>
    </row>
    <row r="324" spans="1:8" x14ac:dyDescent="0.25">
      <c r="A324">
        <v>737</v>
      </c>
      <c r="B324">
        <v>2</v>
      </c>
      <c r="C324">
        <v>2</v>
      </c>
      <c r="D324">
        <v>28</v>
      </c>
      <c r="E324">
        <v>3</v>
      </c>
      <c r="F324">
        <v>1</v>
      </c>
      <c r="G324">
        <v>1</v>
      </c>
      <c r="H324">
        <v>196356</v>
      </c>
    </row>
    <row r="325" spans="1:8" x14ac:dyDescent="0.25">
      <c r="A325">
        <v>2157</v>
      </c>
      <c r="B325">
        <v>2</v>
      </c>
      <c r="C325">
        <v>2</v>
      </c>
      <c r="D325">
        <v>21</v>
      </c>
      <c r="E325">
        <v>31</v>
      </c>
      <c r="F325">
        <v>1</v>
      </c>
      <c r="G325">
        <v>9</v>
      </c>
      <c r="H325">
        <v>619892</v>
      </c>
    </row>
    <row r="326" spans="1:8" x14ac:dyDescent="0.25">
      <c r="A326">
        <v>1763</v>
      </c>
      <c r="B326">
        <v>2</v>
      </c>
      <c r="C326">
        <v>2</v>
      </c>
      <c r="D326">
        <v>21</v>
      </c>
      <c r="E326">
        <v>23</v>
      </c>
      <c r="F326">
        <v>1</v>
      </c>
      <c r="G326">
        <v>3</v>
      </c>
      <c r="H326">
        <v>365058</v>
      </c>
    </row>
    <row r="327" spans="1:8" x14ac:dyDescent="0.25">
      <c r="A327">
        <v>3857</v>
      </c>
      <c r="B327">
        <v>2</v>
      </c>
      <c r="C327">
        <v>1</v>
      </c>
      <c r="D327">
        <v>20</v>
      </c>
      <c r="E327">
        <v>35</v>
      </c>
      <c r="F327">
        <v>1</v>
      </c>
      <c r="G327">
        <v>3</v>
      </c>
      <c r="H327">
        <v>583806</v>
      </c>
    </row>
    <row r="328" spans="1:8" x14ac:dyDescent="0.25">
      <c r="A328">
        <v>4497</v>
      </c>
      <c r="B328">
        <v>2</v>
      </c>
      <c r="C328">
        <v>1</v>
      </c>
      <c r="D328">
        <v>38</v>
      </c>
      <c r="E328">
        <v>30</v>
      </c>
      <c r="F328">
        <v>1</v>
      </c>
      <c r="G328">
        <v>3</v>
      </c>
      <c r="H328">
        <v>626206</v>
      </c>
    </row>
    <row r="329" spans="1:8" x14ac:dyDescent="0.25">
      <c r="A329">
        <v>4618</v>
      </c>
      <c r="B329">
        <v>2</v>
      </c>
      <c r="C329">
        <v>3</v>
      </c>
      <c r="D329">
        <v>18</v>
      </c>
      <c r="E329">
        <v>18</v>
      </c>
      <c r="F329">
        <v>1</v>
      </c>
      <c r="G329">
        <v>3</v>
      </c>
      <c r="H329">
        <v>814550</v>
      </c>
    </row>
    <row r="330" spans="1:8" x14ac:dyDescent="0.25">
      <c r="A330">
        <v>4789</v>
      </c>
      <c r="B330">
        <v>2</v>
      </c>
      <c r="C330">
        <v>3</v>
      </c>
      <c r="D330">
        <v>7</v>
      </c>
      <c r="E330">
        <v>28</v>
      </c>
      <c r="F330">
        <v>1</v>
      </c>
      <c r="G330">
        <v>4</v>
      </c>
      <c r="H330">
        <v>934417</v>
      </c>
    </row>
    <row r="331" spans="1:8" x14ac:dyDescent="0.25">
      <c r="A331">
        <v>2202</v>
      </c>
      <c r="B331">
        <v>2</v>
      </c>
      <c r="C331">
        <v>1</v>
      </c>
      <c r="D331">
        <v>20</v>
      </c>
      <c r="E331">
        <v>16</v>
      </c>
      <c r="F331">
        <v>1</v>
      </c>
      <c r="G331">
        <v>2</v>
      </c>
      <c r="H331">
        <v>345561</v>
      </c>
    </row>
    <row r="332" spans="1:8" x14ac:dyDescent="0.25">
      <c r="A332">
        <v>2773</v>
      </c>
      <c r="B332">
        <v>2</v>
      </c>
      <c r="C332">
        <v>4</v>
      </c>
      <c r="D332">
        <v>28</v>
      </c>
      <c r="E332">
        <v>18</v>
      </c>
      <c r="F332">
        <v>1</v>
      </c>
      <c r="G332">
        <v>6</v>
      </c>
      <c r="H332">
        <v>423628</v>
      </c>
    </row>
    <row r="333" spans="1:8" x14ac:dyDescent="0.25">
      <c r="A333">
        <v>1099</v>
      </c>
      <c r="B333">
        <v>2</v>
      </c>
      <c r="C333">
        <v>3</v>
      </c>
      <c r="D333">
        <v>34</v>
      </c>
      <c r="E333">
        <v>27</v>
      </c>
      <c r="F333">
        <v>1</v>
      </c>
      <c r="G333">
        <v>5</v>
      </c>
      <c r="H333">
        <v>380997</v>
      </c>
    </row>
    <row r="334" spans="1:8" x14ac:dyDescent="0.25">
      <c r="A334">
        <v>3575</v>
      </c>
      <c r="B334">
        <v>2</v>
      </c>
      <c r="C334">
        <v>2</v>
      </c>
      <c r="D334">
        <v>36</v>
      </c>
      <c r="E334">
        <v>15</v>
      </c>
      <c r="F334">
        <v>1</v>
      </c>
      <c r="G334">
        <v>1</v>
      </c>
      <c r="H334">
        <v>586943</v>
      </c>
    </row>
    <row r="335" spans="1:8" x14ac:dyDescent="0.25">
      <c r="A335">
        <v>2768</v>
      </c>
      <c r="B335">
        <v>2</v>
      </c>
      <c r="C335">
        <v>2</v>
      </c>
      <c r="D335">
        <v>12</v>
      </c>
      <c r="E335">
        <v>19</v>
      </c>
      <c r="F335">
        <v>1</v>
      </c>
      <c r="G335">
        <v>3</v>
      </c>
      <c r="H335">
        <v>503899</v>
      </c>
    </row>
    <row r="336" spans="1:8" x14ac:dyDescent="0.25">
      <c r="A336">
        <v>4247</v>
      </c>
      <c r="B336">
        <v>2</v>
      </c>
      <c r="C336">
        <v>1</v>
      </c>
      <c r="D336">
        <v>16</v>
      </c>
      <c r="E336">
        <v>34</v>
      </c>
      <c r="F336">
        <v>1</v>
      </c>
      <c r="G336">
        <v>4</v>
      </c>
      <c r="H336">
        <v>733454</v>
      </c>
    </row>
    <row r="337" spans="1:8" x14ac:dyDescent="0.25">
      <c r="A337">
        <v>1481</v>
      </c>
      <c r="B337">
        <v>2</v>
      </c>
      <c r="C337">
        <v>2</v>
      </c>
      <c r="D337">
        <v>36</v>
      </c>
      <c r="E337">
        <v>9</v>
      </c>
      <c r="F337">
        <v>1</v>
      </c>
      <c r="G337">
        <v>9</v>
      </c>
      <c r="H337">
        <v>632216</v>
      </c>
    </row>
    <row r="338" spans="1:8" x14ac:dyDescent="0.25">
      <c r="A338">
        <v>3459</v>
      </c>
      <c r="B338">
        <v>2</v>
      </c>
      <c r="C338">
        <v>3</v>
      </c>
      <c r="D338">
        <v>35</v>
      </c>
      <c r="E338">
        <v>16</v>
      </c>
      <c r="F338">
        <v>1</v>
      </c>
      <c r="G338">
        <v>7</v>
      </c>
      <c r="H338">
        <v>841275</v>
      </c>
    </row>
    <row r="339" spans="1:8" x14ac:dyDescent="0.25">
      <c r="A339">
        <v>1748</v>
      </c>
      <c r="B339">
        <v>2</v>
      </c>
      <c r="C339">
        <v>3</v>
      </c>
      <c r="D339">
        <v>34</v>
      </c>
      <c r="E339">
        <v>27</v>
      </c>
      <c r="F339">
        <v>1</v>
      </c>
      <c r="G339">
        <v>9</v>
      </c>
      <c r="H339">
        <v>686916</v>
      </c>
    </row>
    <row r="340" spans="1:8" x14ac:dyDescent="0.25">
      <c r="A340">
        <v>3239</v>
      </c>
      <c r="B340">
        <v>2</v>
      </c>
      <c r="C340">
        <v>3</v>
      </c>
      <c r="D340">
        <v>7</v>
      </c>
      <c r="E340">
        <v>16</v>
      </c>
      <c r="F340">
        <v>1</v>
      </c>
      <c r="G340">
        <v>5</v>
      </c>
      <c r="H340">
        <v>920515</v>
      </c>
    </row>
    <row r="341" spans="1:8" x14ac:dyDescent="0.25">
      <c r="A341">
        <v>2844</v>
      </c>
      <c r="B341">
        <v>2</v>
      </c>
      <c r="C341">
        <v>3</v>
      </c>
      <c r="D341">
        <v>2</v>
      </c>
      <c r="E341">
        <v>18</v>
      </c>
      <c r="F341">
        <v>1</v>
      </c>
      <c r="G341">
        <v>6</v>
      </c>
      <c r="H341">
        <v>748208</v>
      </c>
    </row>
    <row r="342" spans="1:8" x14ac:dyDescent="0.25">
      <c r="A342">
        <v>4507</v>
      </c>
      <c r="B342">
        <v>2</v>
      </c>
      <c r="C342">
        <v>1</v>
      </c>
      <c r="D342">
        <v>9</v>
      </c>
      <c r="E342">
        <v>26</v>
      </c>
      <c r="F342">
        <v>1</v>
      </c>
      <c r="G342">
        <v>4</v>
      </c>
      <c r="H342">
        <v>752804</v>
      </c>
    </row>
    <row r="343" spans="1:8" x14ac:dyDescent="0.25">
      <c r="A343">
        <v>1353</v>
      </c>
      <c r="B343">
        <v>2</v>
      </c>
      <c r="C343">
        <v>4</v>
      </c>
      <c r="D343">
        <v>22</v>
      </c>
      <c r="E343">
        <v>28</v>
      </c>
      <c r="F343">
        <v>1</v>
      </c>
      <c r="G343">
        <v>4</v>
      </c>
      <c r="H343">
        <v>508392</v>
      </c>
    </row>
    <row r="344" spans="1:8" x14ac:dyDescent="0.25">
      <c r="A344">
        <v>1591</v>
      </c>
      <c r="B344">
        <v>2</v>
      </c>
      <c r="C344">
        <v>3</v>
      </c>
      <c r="D344">
        <v>38</v>
      </c>
      <c r="E344">
        <v>16</v>
      </c>
      <c r="F344">
        <v>1</v>
      </c>
      <c r="G344">
        <v>1</v>
      </c>
      <c r="H344">
        <v>290093</v>
      </c>
    </row>
    <row r="345" spans="1:8" x14ac:dyDescent="0.25">
      <c r="A345">
        <v>3393</v>
      </c>
      <c r="B345">
        <v>2</v>
      </c>
      <c r="C345">
        <v>2</v>
      </c>
      <c r="D345">
        <v>0</v>
      </c>
      <c r="E345">
        <v>33</v>
      </c>
      <c r="F345">
        <v>1</v>
      </c>
      <c r="G345">
        <v>10</v>
      </c>
      <c r="H345">
        <v>991646</v>
      </c>
    </row>
    <row r="346" spans="1:8" x14ac:dyDescent="0.25">
      <c r="A346">
        <v>2773</v>
      </c>
      <c r="B346">
        <v>2</v>
      </c>
      <c r="C346">
        <v>4</v>
      </c>
      <c r="D346">
        <v>20</v>
      </c>
      <c r="E346">
        <v>34</v>
      </c>
      <c r="F346">
        <v>1</v>
      </c>
      <c r="G346">
        <v>4</v>
      </c>
      <c r="H346">
        <v>458891</v>
      </c>
    </row>
    <row r="347" spans="1:8" x14ac:dyDescent="0.25">
      <c r="A347">
        <v>855</v>
      </c>
      <c r="B347">
        <v>2</v>
      </c>
      <c r="C347">
        <v>2</v>
      </c>
      <c r="D347">
        <v>30</v>
      </c>
      <c r="E347">
        <v>28</v>
      </c>
      <c r="F347">
        <v>1</v>
      </c>
      <c r="G347">
        <v>10</v>
      </c>
      <c r="H347">
        <v>486230</v>
      </c>
    </row>
    <row r="348" spans="1:8" x14ac:dyDescent="0.25">
      <c r="A348">
        <v>1294</v>
      </c>
      <c r="B348">
        <v>2</v>
      </c>
      <c r="C348">
        <v>4</v>
      </c>
      <c r="D348">
        <v>20</v>
      </c>
      <c r="E348">
        <v>31</v>
      </c>
      <c r="F348">
        <v>1</v>
      </c>
      <c r="G348">
        <v>3</v>
      </c>
      <c r="H348">
        <v>486951</v>
      </c>
    </row>
    <row r="349" spans="1:8" x14ac:dyDescent="0.25">
      <c r="A349">
        <v>1784</v>
      </c>
      <c r="B349">
        <v>2</v>
      </c>
      <c r="C349">
        <v>2</v>
      </c>
      <c r="D349">
        <v>33</v>
      </c>
      <c r="E349">
        <v>5</v>
      </c>
      <c r="F349">
        <v>1</v>
      </c>
      <c r="G349">
        <v>2</v>
      </c>
      <c r="H349">
        <v>393568</v>
      </c>
    </row>
    <row r="350" spans="1:8" x14ac:dyDescent="0.25">
      <c r="A350">
        <v>4027</v>
      </c>
      <c r="B350">
        <v>2</v>
      </c>
      <c r="C350">
        <v>4</v>
      </c>
      <c r="D350">
        <v>16</v>
      </c>
      <c r="E350">
        <v>18</v>
      </c>
      <c r="F350">
        <v>1</v>
      </c>
      <c r="G350">
        <v>4</v>
      </c>
      <c r="H350">
        <v>699037</v>
      </c>
    </row>
    <row r="351" spans="1:8" x14ac:dyDescent="0.25">
      <c r="A351">
        <v>1650</v>
      </c>
      <c r="B351">
        <v>2</v>
      </c>
      <c r="C351">
        <v>3</v>
      </c>
      <c r="D351">
        <v>27</v>
      </c>
      <c r="E351">
        <v>2</v>
      </c>
      <c r="F351">
        <v>1</v>
      </c>
      <c r="G351">
        <v>4</v>
      </c>
      <c r="H351">
        <v>656863</v>
      </c>
    </row>
    <row r="352" spans="1:8" x14ac:dyDescent="0.25">
      <c r="A352">
        <v>3912</v>
      </c>
      <c r="B352">
        <v>2</v>
      </c>
      <c r="C352">
        <v>4</v>
      </c>
      <c r="D352">
        <v>10</v>
      </c>
      <c r="E352">
        <v>33</v>
      </c>
      <c r="F352">
        <v>1</v>
      </c>
      <c r="G352">
        <v>9</v>
      </c>
      <c r="H352">
        <v>1038069</v>
      </c>
    </row>
    <row r="353" spans="1:8" x14ac:dyDescent="0.25">
      <c r="A353">
        <v>1415</v>
      </c>
      <c r="B353">
        <v>2</v>
      </c>
      <c r="C353">
        <v>3</v>
      </c>
      <c r="D353">
        <v>18</v>
      </c>
      <c r="E353">
        <v>14</v>
      </c>
      <c r="F353">
        <v>1</v>
      </c>
      <c r="G353">
        <v>6</v>
      </c>
      <c r="H353">
        <v>661817</v>
      </c>
    </row>
    <row r="354" spans="1:8" x14ac:dyDescent="0.25">
      <c r="A354">
        <v>1860</v>
      </c>
      <c r="B354">
        <v>2</v>
      </c>
      <c r="C354">
        <v>2</v>
      </c>
      <c r="D354">
        <v>30</v>
      </c>
      <c r="E354">
        <v>23</v>
      </c>
      <c r="F354">
        <v>1</v>
      </c>
      <c r="G354">
        <v>7</v>
      </c>
      <c r="H354">
        <v>525884</v>
      </c>
    </row>
    <row r="355" spans="1:8" x14ac:dyDescent="0.25">
      <c r="A355">
        <v>4763</v>
      </c>
      <c r="B355">
        <v>2</v>
      </c>
      <c r="C355">
        <v>2</v>
      </c>
      <c r="D355">
        <v>27</v>
      </c>
      <c r="E355">
        <v>33</v>
      </c>
      <c r="F355">
        <v>1</v>
      </c>
      <c r="G355">
        <v>1</v>
      </c>
      <c r="H355">
        <v>610453</v>
      </c>
    </row>
    <row r="356" spans="1:8" x14ac:dyDescent="0.25">
      <c r="A356">
        <v>1729</v>
      </c>
      <c r="B356">
        <v>2</v>
      </c>
      <c r="C356">
        <v>4</v>
      </c>
      <c r="D356">
        <v>23</v>
      </c>
      <c r="E356">
        <v>9</v>
      </c>
      <c r="F356">
        <v>1</v>
      </c>
      <c r="G356">
        <v>9</v>
      </c>
      <c r="H356">
        <v>750246</v>
      </c>
    </row>
    <row r="357" spans="1:8" x14ac:dyDescent="0.25">
      <c r="A357">
        <v>4556</v>
      </c>
      <c r="B357">
        <v>2</v>
      </c>
      <c r="C357">
        <v>1</v>
      </c>
      <c r="D357">
        <v>15</v>
      </c>
      <c r="E357">
        <v>25</v>
      </c>
      <c r="F357">
        <v>1</v>
      </c>
      <c r="G357">
        <v>10</v>
      </c>
      <c r="H357">
        <v>993805</v>
      </c>
    </row>
    <row r="358" spans="1:8" x14ac:dyDescent="0.25">
      <c r="A358">
        <v>925</v>
      </c>
      <c r="B358">
        <v>2</v>
      </c>
      <c r="C358">
        <v>4</v>
      </c>
      <c r="D358">
        <v>12</v>
      </c>
      <c r="E358">
        <v>7</v>
      </c>
      <c r="F358">
        <v>1</v>
      </c>
      <c r="G358">
        <v>8</v>
      </c>
      <c r="H358">
        <v>742099</v>
      </c>
    </row>
    <row r="359" spans="1:8" x14ac:dyDescent="0.25">
      <c r="A359">
        <v>2773</v>
      </c>
      <c r="B359">
        <v>2</v>
      </c>
      <c r="C359">
        <v>1</v>
      </c>
      <c r="D359">
        <v>14</v>
      </c>
      <c r="E359">
        <v>32</v>
      </c>
      <c r="F359">
        <v>1</v>
      </c>
      <c r="G359">
        <v>4</v>
      </c>
      <c r="H359">
        <v>610486</v>
      </c>
    </row>
    <row r="360" spans="1:8" x14ac:dyDescent="0.25">
      <c r="A360">
        <v>525</v>
      </c>
      <c r="B360">
        <v>2</v>
      </c>
      <c r="C360">
        <v>2</v>
      </c>
      <c r="D360">
        <v>25</v>
      </c>
      <c r="E360">
        <v>15</v>
      </c>
      <c r="F360">
        <v>1</v>
      </c>
      <c r="G360">
        <v>5</v>
      </c>
      <c r="H360">
        <v>313585</v>
      </c>
    </row>
    <row r="361" spans="1:8" x14ac:dyDescent="0.25">
      <c r="A361">
        <v>2558</v>
      </c>
      <c r="B361">
        <v>2</v>
      </c>
      <c r="C361">
        <v>4</v>
      </c>
      <c r="D361">
        <v>3</v>
      </c>
      <c r="E361">
        <v>7</v>
      </c>
      <c r="F361">
        <v>1</v>
      </c>
      <c r="G361">
        <v>4</v>
      </c>
      <c r="H361">
        <v>591158</v>
      </c>
    </row>
    <row r="362" spans="1:8" x14ac:dyDescent="0.25">
      <c r="A362">
        <v>1319</v>
      </c>
      <c r="B362">
        <v>2</v>
      </c>
      <c r="C362">
        <v>2</v>
      </c>
      <c r="D362">
        <v>28</v>
      </c>
      <c r="E362">
        <v>7</v>
      </c>
      <c r="F362">
        <v>1</v>
      </c>
      <c r="G362">
        <v>9</v>
      </c>
      <c r="H362">
        <v>606987</v>
      </c>
    </row>
    <row r="363" spans="1:8" x14ac:dyDescent="0.25">
      <c r="A363">
        <v>1301</v>
      </c>
      <c r="B363">
        <v>2</v>
      </c>
      <c r="C363">
        <v>3</v>
      </c>
      <c r="D363">
        <v>3</v>
      </c>
      <c r="E363">
        <v>30</v>
      </c>
      <c r="F363">
        <v>1</v>
      </c>
      <c r="G363">
        <v>5</v>
      </c>
      <c r="H363">
        <v>510191</v>
      </c>
    </row>
    <row r="364" spans="1:8" x14ac:dyDescent="0.25">
      <c r="A364">
        <v>2619</v>
      </c>
      <c r="B364">
        <v>2</v>
      </c>
      <c r="C364">
        <v>3</v>
      </c>
      <c r="D364">
        <v>1</v>
      </c>
      <c r="E364">
        <v>24</v>
      </c>
      <c r="F364">
        <v>1</v>
      </c>
      <c r="G364">
        <v>7</v>
      </c>
      <c r="H364">
        <v>805875</v>
      </c>
    </row>
    <row r="365" spans="1:8" x14ac:dyDescent="0.25">
      <c r="A365">
        <v>1652</v>
      </c>
      <c r="B365">
        <v>2</v>
      </c>
      <c r="C365">
        <v>2</v>
      </c>
      <c r="D365">
        <v>36</v>
      </c>
      <c r="E365">
        <v>22</v>
      </c>
      <c r="F365">
        <v>1</v>
      </c>
      <c r="G365">
        <v>8</v>
      </c>
      <c r="H365">
        <v>646151</v>
      </c>
    </row>
    <row r="366" spans="1:8" x14ac:dyDescent="0.25">
      <c r="A366">
        <v>2849</v>
      </c>
      <c r="B366">
        <v>2</v>
      </c>
      <c r="C366">
        <v>4</v>
      </c>
      <c r="D366">
        <v>33</v>
      </c>
      <c r="E366">
        <v>28</v>
      </c>
      <c r="F366">
        <v>1</v>
      </c>
      <c r="G366">
        <v>4</v>
      </c>
      <c r="H366">
        <v>627494</v>
      </c>
    </row>
    <row r="367" spans="1:8" x14ac:dyDescent="0.25">
      <c r="A367">
        <v>1392</v>
      </c>
      <c r="B367">
        <v>2</v>
      </c>
      <c r="C367">
        <v>3</v>
      </c>
      <c r="D367">
        <v>19</v>
      </c>
      <c r="E367">
        <v>19</v>
      </c>
      <c r="F367">
        <v>1</v>
      </c>
      <c r="G367">
        <v>4</v>
      </c>
      <c r="H367">
        <v>388926</v>
      </c>
    </row>
    <row r="368" spans="1:8" x14ac:dyDescent="0.25">
      <c r="A368">
        <v>2397</v>
      </c>
      <c r="B368">
        <v>2</v>
      </c>
      <c r="C368">
        <v>4</v>
      </c>
      <c r="D368">
        <v>25</v>
      </c>
      <c r="E368">
        <v>26</v>
      </c>
      <c r="F368">
        <v>1</v>
      </c>
      <c r="G368">
        <v>8</v>
      </c>
      <c r="H368">
        <v>674143</v>
      </c>
    </row>
    <row r="369" spans="1:8" x14ac:dyDescent="0.25">
      <c r="A369">
        <v>3045</v>
      </c>
      <c r="B369">
        <v>2</v>
      </c>
      <c r="C369">
        <v>4</v>
      </c>
      <c r="D369">
        <v>28</v>
      </c>
      <c r="E369">
        <v>3</v>
      </c>
      <c r="F369">
        <v>1</v>
      </c>
      <c r="G369">
        <v>4</v>
      </c>
      <c r="H369">
        <v>643538</v>
      </c>
    </row>
    <row r="370" spans="1:8" x14ac:dyDescent="0.25">
      <c r="A370">
        <v>2265</v>
      </c>
      <c r="B370">
        <v>2</v>
      </c>
      <c r="C370">
        <v>2</v>
      </c>
      <c r="D370">
        <v>4</v>
      </c>
      <c r="E370">
        <v>21</v>
      </c>
      <c r="F370">
        <v>1</v>
      </c>
      <c r="G370">
        <v>6</v>
      </c>
      <c r="H370">
        <v>537899</v>
      </c>
    </row>
    <row r="371" spans="1:8" x14ac:dyDescent="0.25">
      <c r="A371">
        <v>1193</v>
      </c>
      <c r="B371">
        <v>2</v>
      </c>
      <c r="C371">
        <v>1</v>
      </c>
      <c r="D371">
        <v>13</v>
      </c>
      <c r="E371">
        <v>2</v>
      </c>
      <c r="F371">
        <v>1</v>
      </c>
      <c r="G371">
        <v>7</v>
      </c>
      <c r="H371">
        <v>428593</v>
      </c>
    </row>
    <row r="372" spans="1:8" x14ac:dyDescent="0.25">
      <c r="A372">
        <v>2516</v>
      </c>
      <c r="B372">
        <v>2</v>
      </c>
      <c r="C372">
        <v>3</v>
      </c>
      <c r="D372">
        <v>20</v>
      </c>
      <c r="E372">
        <v>23</v>
      </c>
      <c r="F372">
        <v>1</v>
      </c>
      <c r="G372">
        <v>6</v>
      </c>
      <c r="H372">
        <v>588724</v>
      </c>
    </row>
    <row r="373" spans="1:8" x14ac:dyDescent="0.25">
      <c r="A373">
        <v>2390</v>
      </c>
      <c r="B373">
        <v>2</v>
      </c>
      <c r="C373">
        <v>3</v>
      </c>
      <c r="D373">
        <v>30</v>
      </c>
      <c r="E373">
        <v>30</v>
      </c>
      <c r="F373">
        <v>1</v>
      </c>
      <c r="G373">
        <v>7</v>
      </c>
      <c r="H373">
        <v>671697</v>
      </c>
    </row>
    <row r="374" spans="1:8" x14ac:dyDescent="0.25">
      <c r="A374">
        <v>4383</v>
      </c>
      <c r="B374">
        <v>2</v>
      </c>
      <c r="C374">
        <v>1</v>
      </c>
      <c r="D374">
        <v>5</v>
      </c>
      <c r="E374">
        <v>15</v>
      </c>
      <c r="F374">
        <v>1</v>
      </c>
      <c r="G374">
        <v>3</v>
      </c>
      <c r="H374">
        <v>832658</v>
      </c>
    </row>
    <row r="375" spans="1:8" x14ac:dyDescent="0.25">
      <c r="A375">
        <v>2085</v>
      </c>
      <c r="B375">
        <v>4</v>
      </c>
      <c r="C375">
        <v>1</v>
      </c>
      <c r="D375">
        <v>38</v>
      </c>
      <c r="E375">
        <v>29</v>
      </c>
      <c r="F375">
        <v>2</v>
      </c>
      <c r="G375">
        <v>7</v>
      </c>
      <c r="H375">
        <v>682284</v>
      </c>
    </row>
    <row r="376" spans="1:8" x14ac:dyDescent="0.25">
      <c r="A376">
        <v>2461</v>
      </c>
      <c r="B376">
        <v>4</v>
      </c>
      <c r="C376">
        <v>4</v>
      </c>
      <c r="D376">
        <v>2</v>
      </c>
      <c r="E376">
        <v>5</v>
      </c>
      <c r="F376">
        <v>2</v>
      </c>
      <c r="G376">
        <v>9</v>
      </c>
      <c r="H376">
        <v>980297</v>
      </c>
    </row>
    <row r="377" spans="1:8" x14ac:dyDescent="0.25">
      <c r="A377">
        <v>4951</v>
      </c>
      <c r="B377">
        <v>4</v>
      </c>
      <c r="C377">
        <v>3</v>
      </c>
      <c r="D377">
        <v>7</v>
      </c>
      <c r="E377">
        <v>5</v>
      </c>
      <c r="F377">
        <v>2</v>
      </c>
      <c r="G377">
        <v>1</v>
      </c>
      <c r="H377">
        <v>968885</v>
      </c>
    </row>
    <row r="378" spans="1:8" x14ac:dyDescent="0.25">
      <c r="A378">
        <v>464</v>
      </c>
      <c r="B378">
        <v>4</v>
      </c>
      <c r="C378">
        <v>4</v>
      </c>
      <c r="D378">
        <v>19</v>
      </c>
      <c r="E378">
        <v>13</v>
      </c>
      <c r="F378">
        <v>2</v>
      </c>
      <c r="G378">
        <v>9</v>
      </c>
      <c r="H378">
        <v>662101</v>
      </c>
    </row>
    <row r="379" spans="1:8" x14ac:dyDescent="0.25">
      <c r="A379">
        <v>3504</v>
      </c>
      <c r="B379">
        <v>4</v>
      </c>
      <c r="C379">
        <v>3</v>
      </c>
      <c r="D379">
        <v>0</v>
      </c>
      <c r="E379">
        <v>8</v>
      </c>
      <c r="F379">
        <v>2</v>
      </c>
      <c r="G379">
        <v>1</v>
      </c>
      <c r="H379">
        <v>743059</v>
      </c>
    </row>
    <row r="380" spans="1:8" x14ac:dyDescent="0.25">
      <c r="A380">
        <v>4240</v>
      </c>
      <c r="B380">
        <v>4</v>
      </c>
      <c r="C380">
        <v>4</v>
      </c>
      <c r="D380">
        <v>28</v>
      </c>
      <c r="E380">
        <v>33</v>
      </c>
      <c r="F380">
        <v>2</v>
      </c>
      <c r="G380">
        <v>9</v>
      </c>
      <c r="H380">
        <v>1113312</v>
      </c>
    </row>
    <row r="381" spans="1:8" x14ac:dyDescent="0.25">
      <c r="A381">
        <v>4893</v>
      </c>
      <c r="B381">
        <v>4</v>
      </c>
      <c r="C381">
        <v>3</v>
      </c>
      <c r="D381">
        <v>20</v>
      </c>
      <c r="E381">
        <v>8</v>
      </c>
      <c r="F381">
        <v>2</v>
      </c>
      <c r="G381">
        <v>8</v>
      </c>
      <c r="H381">
        <v>1083637</v>
      </c>
    </row>
    <row r="382" spans="1:8" x14ac:dyDescent="0.25">
      <c r="A382">
        <v>3508</v>
      </c>
      <c r="B382">
        <v>4</v>
      </c>
      <c r="C382">
        <v>2</v>
      </c>
      <c r="D382">
        <v>9</v>
      </c>
      <c r="E382">
        <v>22</v>
      </c>
      <c r="F382">
        <v>2</v>
      </c>
      <c r="G382">
        <v>9</v>
      </c>
      <c r="H382">
        <v>990760</v>
      </c>
    </row>
    <row r="383" spans="1:8" x14ac:dyDescent="0.25">
      <c r="A383">
        <v>2048</v>
      </c>
      <c r="B383">
        <v>4</v>
      </c>
      <c r="C383">
        <v>2</v>
      </c>
      <c r="D383">
        <v>28</v>
      </c>
      <c r="E383">
        <v>31</v>
      </c>
      <c r="F383">
        <v>2</v>
      </c>
      <c r="G383">
        <v>4</v>
      </c>
      <c r="H383">
        <v>569243</v>
      </c>
    </row>
    <row r="384" spans="1:8" x14ac:dyDescent="0.25">
      <c r="A384">
        <v>4467</v>
      </c>
      <c r="B384">
        <v>4</v>
      </c>
      <c r="C384">
        <v>4</v>
      </c>
      <c r="D384">
        <v>24</v>
      </c>
      <c r="E384">
        <v>11</v>
      </c>
      <c r="F384">
        <v>2</v>
      </c>
      <c r="G384">
        <v>4</v>
      </c>
      <c r="H384">
        <v>980894</v>
      </c>
    </row>
    <row r="385" spans="1:8" x14ac:dyDescent="0.25">
      <c r="A385">
        <v>560</v>
      </c>
      <c r="B385">
        <v>4</v>
      </c>
      <c r="C385">
        <v>1</v>
      </c>
      <c r="D385">
        <v>20</v>
      </c>
      <c r="E385">
        <v>19</v>
      </c>
      <c r="F385">
        <v>2</v>
      </c>
      <c r="G385">
        <v>7</v>
      </c>
      <c r="H385">
        <v>574256</v>
      </c>
    </row>
    <row r="386" spans="1:8" x14ac:dyDescent="0.25">
      <c r="A386">
        <v>3820</v>
      </c>
      <c r="B386">
        <v>4</v>
      </c>
      <c r="C386">
        <v>4</v>
      </c>
      <c r="D386">
        <v>18</v>
      </c>
      <c r="E386">
        <v>34</v>
      </c>
      <c r="F386">
        <v>2</v>
      </c>
      <c r="G386">
        <v>8</v>
      </c>
      <c r="H386">
        <v>994072</v>
      </c>
    </row>
    <row r="387" spans="1:8" x14ac:dyDescent="0.25">
      <c r="A387">
        <v>2216</v>
      </c>
      <c r="B387">
        <v>4</v>
      </c>
      <c r="C387">
        <v>2</v>
      </c>
      <c r="D387">
        <v>30</v>
      </c>
      <c r="E387">
        <v>26</v>
      </c>
      <c r="F387">
        <v>2</v>
      </c>
      <c r="G387">
        <v>6</v>
      </c>
      <c r="H387">
        <v>617842</v>
      </c>
    </row>
    <row r="388" spans="1:8" x14ac:dyDescent="0.25">
      <c r="A388">
        <v>2086</v>
      </c>
      <c r="B388">
        <v>4</v>
      </c>
      <c r="C388">
        <v>4</v>
      </c>
      <c r="D388">
        <v>3</v>
      </c>
      <c r="E388">
        <v>10</v>
      </c>
      <c r="F388">
        <v>2</v>
      </c>
      <c r="G388">
        <v>8</v>
      </c>
      <c r="H388">
        <v>847874</v>
      </c>
    </row>
    <row r="389" spans="1:8" x14ac:dyDescent="0.25">
      <c r="A389">
        <v>1184</v>
      </c>
      <c r="B389">
        <v>4</v>
      </c>
      <c r="C389">
        <v>3</v>
      </c>
      <c r="D389">
        <v>29</v>
      </c>
      <c r="E389">
        <v>1</v>
      </c>
      <c r="F389">
        <v>2</v>
      </c>
      <c r="G389">
        <v>5</v>
      </c>
      <c r="H389">
        <v>491357</v>
      </c>
    </row>
    <row r="390" spans="1:8" x14ac:dyDescent="0.25">
      <c r="A390">
        <v>1566</v>
      </c>
      <c r="B390">
        <v>4</v>
      </c>
      <c r="C390">
        <v>4</v>
      </c>
      <c r="D390">
        <v>4</v>
      </c>
      <c r="E390">
        <v>8</v>
      </c>
      <c r="F390">
        <v>2</v>
      </c>
      <c r="G390">
        <v>10</v>
      </c>
      <c r="H390">
        <v>874193</v>
      </c>
    </row>
    <row r="391" spans="1:8" x14ac:dyDescent="0.25">
      <c r="A391">
        <v>1140</v>
      </c>
      <c r="B391">
        <v>4</v>
      </c>
      <c r="C391">
        <v>2</v>
      </c>
      <c r="D391">
        <v>36</v>
      </c>
      <c r="E391">
        <v>8</v>
      </c>
      <c r="F391">
        <v>2</v>
      </c>
      <c r="G391">
        <v>9</v>
      </c>
      <c r="H391">
        <v>596594</v>
      </c>
    </row>
    <row r="392" spans="1:8" x14ac:dyDescent="0.25">
      <c r="A392">
        <v>4445</v>
      </c>
      <c r="B392">
        <v>4</v>
      </c>
      <c r="C392">
        <v>3</v>
      </c>
      <c r="D392">
        <v>18</v>
      </c>
      <c r="E392">
        <v>26</v>
      </c>
      <c r="F392">
        <v>2</v>
      </c>
      <c r="G392">
        <v>9</v>
      </c>
      <c r="H392">
        <v>1044383</v>
      </c>
    </row>
    <row r="393" spans="1:8" x14ac:dyDescent="0.25">
      <c r="A393">
        <v>2879</v>
      </c>
      <c r="B393">
        <v>4</v>
      </c>
      <c r="C393">
        <v>3</v>
      </c>
      <c r="D393">
        <v>23</v>
      </c>
      <c r="E393">
        <v>19</v>
      </c>
      <c r="F393">
        <v>2</v>
      </c>
      <c r="G393">
        <v>1</v>
      </c>
      <c r="H393">
        <v>581381</v>
      </c>
    </row>
    <row r="394" spans="1:8" x14ac:dyDescent="0.25">
      <c r="A394">
        <v>1153</v>
      </c>
      <c r="B394">
        <v>4</v>
      </c>
      <c r="C394">
        <v>3</v>
      </c>
      <c r="D394">
        <v>1</v>
      </c>
      <c r="E394">
        <v>18</v>
      </c>
      <c r="F394">
        <v>2</v>
      </c>
      <c r="G394">
        <v>4</v>
      </c>
      <c r="H394">
        <v>556582</v>
      </c>
    </row>
    <row r="395" spans="1:8" x14ac:dyDescent="0.25">
      <c r="A395">
        <v>1765</v>
      </c>
      <c r="B395">
        <v>4</v>
      </c>
      <c r="C395">
        <v>2</v>
      </c>
      <c r="D395">
        <v>10</v>
      </c>
      <c r="E395">
        <v>20</v>
      </c>
      <c r="F395">
        <v>2</v>
      </c>
      <c r="G395">
        <v>6</v>
      </c>
      <c r="H395">
        <v>708461</v>
      </c>
    </row>
    <row r="396" spans="1:8" x14ac:dyDescent="0.25">
      <c r="A396">
        <v>2773</v>
      </c>
      <c r="B396">
        <v>4</v>
      </c>
      <c r="C396">
        <v>1</v>
      </c>
      <c r="D396">
        <v>15</v>
      </c>
      <c r="E396">
        <v>16</v>
      </c>
      <c r="F396">
        <v>2</v>
      </c>
      <c r="G396">
        <v>6</v>
      </c>
      <c r="H396">
        <v>938279</v>
      </c>
    </row>
    <row r="397" spans="1:8" x14ac:dyDescent="0.25">
      <c r="A397">
        <v>4036</v>
      </c>
      <c r="B397">
        <v>4</v>
      </c>
      <c r="C397">
        <v>3</v>
      </c>
      <c r="D397">
        <v>15</v>
      </c>
      <c r="E397">
        <v>13</v>
      </c>
      <c r="F397">
        <v>2</v>
      </c>
      <c r="G397">
        <v>5</v>
      </c>
      <c r="H397">
        <v>950268</v>
      </c>
    </row>
    <row r="398" spans="1:8" x14ac:dyDescent="0.25">
      <c r="A398">
        <v>2786</v>
      </c>
      <c r="B398">
        <v>4</v>
      </c>
      <c r="C398">
        <v>4</v>
      </c>
      <c r="D398">
        <v>18</v>
      </c>
      <c r="E398">
        <v>16</v>
      </c>
      <c r="F398">
        <v>2</v>
      </c>
      <c r="G398">
        <v>9</v>
      </c>
      <c r="H398">
        <v>991546</v>
      </c>
    </row>
    <row r="399" spans="1:8" x14ac:dyDescent="0.25">
      <c r="A399">
        <v>2773</v>
      </c>
      <c r="B399">
        <v>4</v>
      </c>
      <c r="C399">
        <v>3</v>
      </c>
      <c r="D399">
        <v>22</v>
      </c>
      <c r="E399">
        <v>18</v>
      </c>
      <c r="F399">
        <v>2</v>
      </c>
      <c r="G399">
        <v>1</v>
      </c>
      <c r="H399">
        <v>829921</v>
      </c>
    </row>
    <row r="400" spans="1:8" x14ac:dyDescent="0.25">
      <c r="A400">
        <v>3472</v>
      </c>
      <c r="B400">
        <v>4</v>
      </c>
      <c r="C400">
        <v>2</v>
      </c>
      <c r="D400">
        <v>33</v>
      </c>
      <c r="E400">
        <v>8</v>
      </c>
      <c r="F400">
        <v>2</v>
      </c>
      <c r="G400">
        <v>8</v>
      </c>
      <c r="H400">
        <v>804541</v>
      </c>
    </row>
    <row r="401" spans="1:8" x14ac:dyDescent="0.25">
      <c r="A401">
        <v>3730</v>
      </c>
      <c r="B401">
        <v>4</v>
      </c>
      <c r="C401">
        <v>3</v>
      </c>
      <c r="D401">
        <v>35</v>
      </c>
      <c r="E401">
        <v>1</v>
      </c>
      <c r="F401">
        <v>2</v>
      </c>
      <c r="G401">
        <v>8</v>
      </c>
      <c r="H401">
        <v>929967</v>
      </c>
    </row>
    <row r="402" spans="1:8" x14ac:dyDescent="0.25">
      <c r="A402">
        <v>3356</v>
      </c>
      <c r="B402">
        <v>4</v>
      </c>
      <c r="C402">
        <v>4</v>
      </c>
      <c r="D402">
        <v>32</v>
      </c>
      <c r="E402">
        <v>6</v>
      </c>
      <c r="F402">
        <v>2</v>
      </c>
      <c r="G402">
        <v>5</v>
      </c>
      <c r="H402">
        <v>798346</v>
      </c>
    </row>
    <row r="403" spans="1:8" x14ac:dyDescent="0.25">
      <c r="A403">
        <v>623</v>
      </c>
      <c r="B403">
        <v>4</v>
      </c>
      <c r="C403">
        <v>1</v>
      </c>
      <c r="D403">
        <v>36</v>
      </c>
      <c r="E403">
        <v>12</v>
      </c>
      <c r="F403">
        <v>2</v>
      </c>
      <c r="G403">
        <v>5</v>
      </c>
      <c r="H403">
        <v>320396</v>
      </c>
    </row>
    <row r="404" spans="1:8" x14ac:dyDescent="0.25">
      <c r="A404">
        <v>4558</v>
      </c>
      <c r="B404">
        <v>4</v>
      </c>
      <c r="C404">
        <v>4</v>
      </c>
      <c r="D404">
        <v>38</v>
      </c>
      <c r="E404">
        <v>19</v>
      </c>
      <c r="F404">
        <v>2</v>
      </c>
      <c r="G404">
        <v>7</v>
      </c>
      <c r="H404">
        <v>1045766</v>
      </c>
    </row>
    <row r="405" spans="1:8" x14ac:dyDescent="0.25">
      <c r="A405">
        <v>4325</v>
      </c>
      <c r="B405">
        <v>4</v>
      </c>
      <c r="C405">
        <v>1</v>
      </c>
      <c r="D405">
        <v>27</v>
      </c>
      <c r="E405">
        <v>35</v>
      </c>
      <c r="F405">
        <v>2</v>
      </c>
      <c r="G405">
        <v>5</v>
      </c>
      <c r="H405">
        <v>790148</v>
      </c>
    </row>
    <row r="406" spans="1:8" x14ac:dyDescent="0.25">
      <c r="A406">
        <v>3774</v>
      </c>
      <c r="B406">
        <v>4</v>
      </c>
      <c r="C406">
        <v>3</v>
      </c>
      <c r="D406">
        <v>34</v>
      </c>
      <c r="E406">
        <v>15</v>
      </c>
      <c r="F406">
        <v>2</v>
      </c>
      <c r="G406">
        <v>2</v>
      </c>
      <c r="H406">
        <v>746353</v>
      </c>
    </row>
    <row r="407" spans="1:8" x14ac:dyDescent="0.25">
      <c r="A407">
        <v>4744</v>
      </c>
      <c r="B407">
        <v>4</v>
      </c>
      <c r="C407">
        <v>4</v>
      </c>
      <c r="D407">
        <v>9</v>
      </c>
      <c r="E407">
        <v>12</v>
      </c>
      <c r="F407">
        <v>2</v>
      </c>
      <c r="G407">
        <v>5</v>
      </c>
      <c r="H407">
        <v>1053029</v>
      </c>
    </row>
    <row r="408" spans="1:8" x14ac:dyDescent="0.25">
      <c r="A408">
        <v>1066</v>
      </c>
      <c r="B408">
        <v>4</v>
      </c>
      <c r="C408">
        <v>1</v>
      </c>
      <c r="D408">
        <v>24</v>
      </c>
      <c r="E408">
        <v>18</v>
      </c>
      <c r="F408">
        <v>2</v>
      </c>
      <c r="G408">
        <v>10</v>
      </c>
      <c r="H408">
        <v>665486</v>
      </c>
    </row>
    <row r="409" spans="1:8" x14ac:dyDescent="0.25">
      <c r="A409">
        <v>2793</v>
      </c>
      <c r="B409">
        <v>4</v>
      </c>
      <c r="C409">
        <v>4</v>
      </c>
      <c r="D409">
        <v>6</v>
      </c>
      <c r="E409">
        <v>2</v>
      </c>
      <c r="F409">
        <v>2</v>
      </c>
      <c r="G409">
        <v>4</v>
      </c>
      <c r="H409">
        <v>822693</v>
      </c>
    </row>
    <row r="410" spans="1:8" x14ac:dyDescent="0.25">
      <c r="A410">
        <v>4832</v>
      </c>
      <c r="B410">
        <v>4</v>
      </c>
      <c r="C410">
        <v>3</v>
      </c>
      <c r="D410">
        <v>39</v>
      </c>
      <c r="E410">
        <v>28</v>
      </c>
      <c r="F410">
        <v>2</v>
      </c>
      <c r="G410">
        <v>4</v>
      </c>
      <c r="H410">
        <v>878683</v>
      </c>
    </row>
    <row r="411" spans="1:8" x14ac:dyDescent="0.25">
      <c r="A411">
        <v>1676</v>
      </c>
      <c r="B411">
        <v>4</v>
      </c>
      <c r="C411">
        <v>2</v>
      </c>
      <c r="D411">
        <v>20</v>
      </c>
      <c r="E411">
        <v>8</v>
      </c>
      <c r="F411">
        <v>2</v>
      </c>
      <c r="G411">
        <v>10</v>
      </c>
      <c r="H411">
        <v>779486</v>
      </c>
    </row>
    <row r="412" spans="1:8" x14ac:dyDescent="0.25">
      <c r="A412">
        <v>4980</v>
      </c>
      <c r="B412">
        <v>4</v>
      </c>
      <c r="C412">
        <v>2</v>
      </c>
      <c r="D412">
        <v>31</v>
      </c>
      <c r="E412">
        <v>13</v>
      </c>
      <c r="F412">
        <v>2</v>
      </c>
      <c r="G412">
        <v>6</v>
      </c>
      <c r="H412">
        <v>1010476</v>
      </c>
    </row>
    <row r="413" spans="1:8" x14ac:dyDescent="0.25">
      <c r="A413">
        <v>1463</v>
      </c>
      <c r="B413">
        <v>4</v>
      </c>
      <c r="C413">
        <v>2</v>
      </c>
      <c r="D413">
        <v>2</v>
      </c>
      <c r="E413">
        <v>12</v>
      </c>
      <c r="F413">
        <v>2</v>
      </c>
      <c r="G413">
        <v>2</v>
      </c>
      <c r="H413">
        <v>544415</v>
      </c>
    </row>
    <row r="414" spans="1:8" x14ac:dyDescent="0.25">
      <c r="A414">
        <v>1123</v>
      </c>
      <c r="B414">
        <v>4</v>
      </c>
      <c r="C414">
        <v>4</v>
      </c>
      <c r="D414">
        <v>11</v>
      </c>
      <c r="E414">
        <v>25</v>
      </c>
      <c r="F414">
        <v>2</v>
      </c>
      <c r="G414">
        <v>1</v>
      </c>
      <c r="H414">
        <v>407056</v>
      </c>
    </row>
    <row r="415" spans="1:8" x14ac:dyDescent="0.25">
      <c r="A415">
        <v>4113</v>
      </c>
      <c r="B415">
        <v>4</v>
      </c>
      <c r="C415">
        <v>4</v>
      </c>
      <c r="D415">
        <v>7</v>
      </c>
      <c r="E415">
        <v>5</v>
      </c>
      <c r="F415">
        <v>2</v>
      </c>
      <c r="G415">
        <v>2</v>
      </c>
      <c r="H415">
        <v>821482</v>
      </c>
    </row>
    <row r="416" spans="1:8" x14ac:dyDescent="0.25">
      <c r="A416">
        <v>2004</v>
      </c>
      <c r="B416">
        <v>4</v>
      </c>
      <c r="C416">
        <v>4</v>
      </c>
      <c r="D416">
        <v>28</v>
      </c>
      <c r="E416">
        <v>25</v>
      </c>
      <c r="F416">
        <v>2</v>
      </c>
      <c r="G416">
        <v>2</v>
      </c>
      <c r="H416">
        <v>492797</v>
      </c>
    </row>
    <row r="417" spans="1:8" x14ac:dyDescent="0.25">
      <c r="A417">
        <v>3930</v>
      </c>
      <c r="B417">
        <v>4</v>
      </c>
      <c r="C417">
        <v>3</v>
      </c>
      <c r="D417">
        <v>27</v>
      </c>
      <c r="E417">
        <v>4</v>
      </c>
      <c r="F417">
        <v>2</v>
      </c>
      <c r="G417">
        <v>3</v>
      </c>
      <c r="H417">
        <v>788740</v>
      </c>
    </row>
    <row r="418" spans="1:8" x14ac:dyDescent="0.25">
      <c r="A418">
        <v>3365</v>
      </c>
      <c r="B418">
        <v>4</v>
      </c>
      <c r="C418">
        <v>4</v>
      </c>
      <c r="D418">
        <v>1</v>
      </c>
      <c r="E418">
        <v>8</v>
      </c>
      <c r="F418">
        <v>2</v>
      </c>
      <c r="G418">
        <v>4</v>
      </c>
      <c r="H418">
        <v>935950</v>
      </c>
    </row>
    <row r="419" spans="1:8" x14ac:dyDescent="0.25">
      <c r="A419">
        <v>1648</v>
      </c>
      <c r="B419">
        <v>4</v>
      </c>
      <c r="C419">
        <v>3</v>
      </c>
      <c r="D419">
        <v>34</v>
      </c>
      <c r="E419">
        <v>20</v>
      </c>
      <c r="F419">
        <v>2</v>
      </c>
      <c r="G419">
        <v>4</v>
      </c>
      <c r="H419">
        <v>584278</v>
      </c>
    </row>
    <row r="420" spans="1:8" x14ac:dyDescent="0.25">
      <c r="A420">
        <v>3291</v>
      </c>
      <c r="B420">
        <v>4</v>
      </c>
      <c r="C420">
        <v>3</v>
      </c>
      <c r="D420">
        <v>6</v>
      </c>
      <c r="E420">
        <v>33</v>
      </c>
      <c r="F420">
        <v>2</v>
      </c>
      <c r="G420">
        <v>7</v>
      </c>
      <c r="H420">
        <v>929399</v>
      </c>
    </row>
    <row r="421" spans="1:8" x14ac:dyDescent="0.25">
      <c r="A421">
        <v>3876</v>
      </c>
      <c r="B421">
        <v>4</v>
      </c>
      <c r="C421">
        <v>2</v>
      </c>
      <c r="D421">
        <v>38</v>
      </c>
      <c r="E421">
        <v>11</v>
      </c>
      <c r="F421">
        <v>2</v>
      </c>
      <c r="G421">
        <v>2</v>
      </c>
      <c r="H421">
        <v>780740</v>
      </c>
    </row>
    <row r="422" spans="1:8" x14ac:dyDescent="0.25">
      <c r="A422">
        <v>4612</v>
      </c>
      <c r="B422">
        <v>4</v>
      </c>
      <c r="C422">
        <v>2</v>
      </c>
      <c r="D422">
        <v>29</v>
      </c>
      <c r="E422">
        <v>9</v>
      </c>
      <c r="F422">
        <v>2</v>
      </c>
      <c r="G422">
        <v>5</v>
      </c>
      <c r="H422">
        <v>1103674</v>
      </c>
    </row>
    <row r="423" spans="1:8" x14ac:dyDescent="0.25">
      <c r="A423">
        <v>936</v>
      </c>
      <c r="B423">
        <v>4</v>
      </c>
      <c r="C423">
        <v>2</v>
      </c>
      <c r="D423">
        <v>24</v>
      </c>
      <c r="E423">
        <v>18</v>
      </c>
      <c r="F423">
        <v>2</v>
      </c>
      <c r="G423">
        <v>8</v>
      </c>
      <c r="H423">
        <v>599794</v>
      </c>
    </row>
    <row r="424" spans="1:8" x14ac:dyDescent="0.25">
      <c r="A424">
        <v>4520</v>
      </c>
      <c r="B424">
        <v>4</v>
      </c>
      <c r="C424">
        <v>2</v>
      </c>
      <c r="D424">
        <v>15</v>
      </c>
      <c r="E424">
        <v>8</v>
      </c>
      <c r="F424">
        <v>2</v>
      </c>
      <c r="G424">
        <v>8</v>
      </c>
      <c r="H424">
        <v>1103380</v>
      </c>
    </row>
    <row r="425" spans="1:8" x14ac:dyDescent="0.25">
      <c r="A425">
        <v>2159</v>
      </c>
      <c r="B425">
        <v>4</v>
      </c>
      <c r="C425">
        <v>4</v>
      </c>
      <c r="D425">
        <v>0</v>
      </c>
      <c r="E425">
        <v>15</v>
      </c>
      <c r="F425">
        <v>2</v>
      </c>
      <c r="G425">
        <v>7</v>
      </c>
      <c r="H425">
        <v>910046</v>
      </c>
    </row>
    <row r="426" spans="1:8" x14ac:dyDescent="0.25">
      <c r="A426">
        <v>3612</v>
      </c>
      <c r="B426">
        <v>4</v>
      </c>
      <c r="C426">
        <v>2</v>
      </c>
      <c r="D426">
        <v>24</v>
      </c>
      <c r="E426">
        <v>18</v>
      </c>
      <c r="F426">
        <v>2</v>
      </c>
      <c r="G426">
        <v>3</v>
      </c>
      <c r="H426">
        <v>729181</v>
      </c>
    </row>
    <row r="427" spans="1:8" x14ac:dyDescent="0.25">
      <c r="A427">
        <v>3789</v>
      </c>
      <c r="B427">
        <v>4</v>
      </c>
      <c r="C427">
        <v>2</v>
      </c>
      <c r="D427">
        <v>14</v>
      </c>
      <c r="E427">
        <v>28</v>
      </c>
      <c r="F427">
        <v>2</v>
      </c>
      <c r="G427">
        <v>9</v>
      </c>
      <c r="H427">
        <v>978642</v>
      </c>
    </row>
    <row r="428" spans="1:8" x14ac:dyDescent="0.25">
      <c r="A428">
        <v>4924</v>
      </c>
      <c r="B428">
        <v>4</v>
      </c>
      <c r="C428">
        <v>4</v>
      </c>
      <c r="D428">
        <v>22</v>
      </c>
      <c r="E428">
        <v>18</v>
      </c>
      <c r="F428">
        <v>2</v>
      </c>
      <c r="G428">
        <v>7</v>
      </c>
      <c r="H428">
        <v>1085374</v>
      </c>
    </row>
    <row r="429" spans="1:8" x14ac:dyDescent="0.25">
      <c r="A429">
        <v>2890</v>
      </c>
      <c r="B429">
        <v>4</v>
      </c>
      <c r="C429">
        <v>4</v>
      </c>
      <c r="D429">
        <v>34</v>
      </c>
      <c r="E429">
        <v>20</v>
      </c>
      <c r="F429">
        <v>2</v>
      </c>
      <c r="G429">
        <v>2</v>
      </c>
      <c r="H429">
        <v>618175</v>
      </c>
    </row>
    <row r="430" spans="1:8" x14ac:dyDescent="0.25">
      <c r="A430">
        <v>3591</v>
      </c>
      <c r="B430">
        <v>4</v>
      </c>
      <c r="C430">
        <v>3</v>
      </c>
      <c r="D430">
        <v>28</v>
      </c>
      <c r="E430">
        <v>7</v>
      </c>
      <c r="F430">
        <v>2</v>
      </c>
      <c r="G430">
        <v>4</v>
      </c>
      <c r="H430">
        <v>764563</v>
      </c>
    </row>
    <row r="431" spans="1:8" x14ac:dyDescent="0.25">
      <c r="A431">
        <v>1765</v>
      </c>
      <c r="B431">
        <v>4</v>
      </c>
      <c r="C431">
        <v>2</v>
      </c>
      <c r="D431">
        <v>10</v>
      </c>
      <c r="E431">
        <v>20</v>
      </c>
      <c r="F431">
        <v>2</v>
      </c>
      <c r="G431">
        <v>6</v>
      </c>
      <c r="H431">
        <v>708461</v>
      </c>
    </row>
    <row r="432" spans="1:8" x14ac:dyDescent="0.25">
      <c r="A432">
        <v>874</v>
      </c>
      <c r="B432">
        <v>1</v>
      </c>
      <c r="C432">
        <v>1</v>
      </c>
      <c r="D432">
        <v>22</v>
      </c>
      <c r="E432">
        <v>6</v>
      </c>
      <c r="F432">
        <v>2</v>
      </c>
      <c r="G432">
        <v>5</v>
      </c>
      <c r="H432">
        <v>316808</v>
      </c>
    </row>
    <row r="433" spans="1:8" x14ac:dyDescent="0.25">
      <c r="A433">
        <v>1421</v>
      </c>
      <c r="B433">
        <v>1</v>
      </c>
      <c r="C433">
        <v>2</v>
      </c>
      <c r="D433">
        <v>32</v>
      </c>
      <c r="E433">
        <v>21</v>
      </c>
      <c r="F433">
        <v>2</v>
      </c>
      <c r="G433">
        <v>5</v>
      </c>
      <c r="H433">
        <v>444249</v>
      </c>
    </row>
    <row r="434" spans="1:8" x14ac:dyDescent="0.25">
      <c r="A434">
        <v>1675</v>
      </c>
      <c r="B434">
        <v>1</v>
      </c>
      <c r="C434">
        <v>3</v>
      </c>
      <c r="D434">
        <v>21</v>
      </c>
      <c r="E434">
        <v>6</v>
      </c>
      <c r="F434">
        <v>2</v>
      </c>
      <c r="G434">
        <v>5</v>
      </c>
      <c r="H434">
        <v>436150</v>
      </c>
    </row>
    <row r="435" spans="1:8" x14ac:dyDescent="0.25">
      <c r="A435">
        <v>1476</v>
      </c>
      <c r="B435">
        <v>1</v>
      </c>
      <c r="C435">
        <v>2</v>
      </c>
      <c r="D435">
        <v>11</v>
      </c>
      <c r="E435">
        <v>25</v>
      </c>
      <c r="F435">
        <v>2</v>
      </c>
      <c r="G435">
        <v>9</v>
      </c>
      <c r="H435">
        <v>556992</v>
      </c>
    </row>
    <row r="436" spans="1:8" x14ac:dyDescent="0.25">
      <c r="A436">
        <v>4888</v>
      </c>
      <c r="B436">
        <v>1</v>
      </c>
      <c r="C436">
        <v>4</v>
      </c>
      <c r="D436">
        <v>19</v>
      </c>
      <c r="E436">
        <v>22</v>
      </c>
      <c r="F436">
        <v>2</v>
      </c>
      <c r="G436">
        <v>10</v>
      </c>
      <c r="H436">
        <v>1082557</v>
      </c>
    </row>
    <row r="437" spans="1:8" x14ac:dyDescent="0.25">
      <c r="A437">
        <v>1459</v>
      </c>
      <c r="B437">
        <v>1</v>
      </c>
      <c r="C437">
        <v>4</v>
      </c>
      <c r="D437">
        <v>21</v>
      </c>
      <c r="E437">
        <v>30</v>
      </c>
      <c r="F437">
        <v>2</v>
      </c>
      <c r="G437">
        <v>4</v>
      </c>
      <c r="H437">
        <v>463746</v>
      </c>
    </row>
    <row r="438" spans="1:8" x14ac:dyDescent="0.25">
      <c r="A438">
        <v>2122</v>
      </c>
      <c r="B438">
        <v>1</v>
      </c>
      <c r="C438">
        <v>3</v>
      </c>
      <c r="D438">
        <v>1</v>
      </c>
      <c r="E438">
        <v>29</v>
      </c>
      <c r="F438">
        <v>2</v>
      </c>
      <c r="G438">
        <v>5</v>
      </c>
      <c r="H438">
        <v>402584</v>
      </c>
    </row>
    <row r="439" spans="1:8" x14ac:dyDescent="0.25">
      <c r="A439">
        <v>3557</v>
      </c>
      <c r="B439">
        <v>1</v>
      </c>
      <c r="C439">
        <v>4</v>
      </c>
      <c r="D439">
        <v>33</v>
      </c>
      <c r="E439">
        <v>16</v>
      </c>
      <c r="F439">
        <v>2</v>
      </c>
      <c r="G439">
        <v>3</v>
      </c>
      <c r="H439">
        <v>631617</v>
      </c>
    </row>
    <row r="440" spans="1:8" x14ac:dyDescent="0.25">
      <c r="A440">
        <v>1063</v>
      </c>
      <c r="B440">
        <v>1</v>
      </c>
      <c r="C440">
        <v>3</v>
      </c>
      <c r="D440">
        <v>13</v>
      </c>
      <c r="E440">
        <v>13</v>
      </c>
      <c r="F440">
        <v>2</v>
      </c>
      <c r="G440">
        <v>4</v>
      </c>
      <c r="H440">
        <v>434287</v>
      </c>
    </row>
    <row r="441" spans="1:8" x14ac:dyDescent="0.25">
      <c r="A441">
        <v>2253</v>
      </c>
      <c r="B441">
        <v>1</v>
      </c>
      <c r="C441">
        <v>1</v>
      </c>
      <c r="D441">
        <v>32</v>
      </c>
      <c r="E441">
        <v>14</v>
      </c>
      <c r="F441">
        <v>2</v>
      </c>
      <c r="G441">
        <v>2</v>
      </c>
      <c r="H441">
        <v>353019</v>
      </c>
    </row>
    <row r="442" spans="1:8" x14ac:dyDescent="0.25">
      <c r="A442">
        <v>1008</v>
      </c>
      <c r="B442">
        <v>1</v>
      </c>
      <c r="C442">
        <v>2</v>
      </c>
      <c r="D442">
        <v>4</v>
      </c>
      <c r="E442">
        <v>21</v>
      </c>
      <c r="F442">
        <v>2</v>
      </c>
      <c r="G442">
        <v>4</v>
      </c>
      <c r="H442">
        <v>242510</v>
      </c>
    </row>
    <row r="443" spans="1:8" x14ac:dyDescent="0.25">
      <c r="A443">
        <v>1554</v>
      </c>
      <c r="B443">
        <v>1</v>
      </c>
      <c r="C443">
        <v>3</v>
      </c>
      <c r="D443">
        <v>2</v>
      </c>
      <c r="E443">
        <v>3</v>
      </c>
      <c r="F443">
        <v>2</v>
      </c>
      <c r="G443">
        <v>7</v>
      </c>
      <c r="H443">
        <v>538412</v>
      </c>
    </row>
    <row r="444" spans="1:8" x14ac:dyDescent="0.25">
      <c r="A444">
        <v>4833</v>
      </c>
      <c r="B444">
        <v>1</v>
      </c>
      <c r="C444">
        <v>1</v>
      </c>
      <c r="D444">
        <v>0</v>
      </c>
      <c r="E444">
        <v>17</v>
      </c>
      <c r="F444">
        <v>2</v>
      </c>
      <c r="G444">
        <v>3</v>
      </c>
      <c r="H444">
        <v>743221</v>
      </c>
    </row>
    <row r="445" spans="1:8" x14ac:dyDescent="0.25">
      <c r="A445">
        <v>1215</v>
      </c>
      <c r="B445">
        <v>1</v>
      </c>
      <c r="C445">
        <v>3</v>
      </c>
      <c r="D445">
        <v>23</v>
      </c>
      <c r="E445">
        <v>26</v>
      </c>
      <c r="F445">
        <v>2</v>
      </c>
      <c r="G445">
        <v>9</v>
      </c>
      <c r="H445">
        <v>608822</v>
      </c>
    </row>
    <row r="446" spans="1:8" x14ac:dyDescent="0.25">
      <c r="A446">
        <v>416</v>
      </c>
      <c r="B446">
        <v>1</v>
      </c>
      <c r="C446">
        <v>3</v>
      </c>
      <c r="D446">
        <v>33</v>
      </c>
      <c r="E446">
        <v>12</v>
      </c>
      <c r="F446">
        <v>2</v>
      </c>
      <c r="G446">
        <v>5</v>
      </c>
      <c r="H446">
        <v>339971</v>
      </c>
    </row>
    <row r="447" spans="1:8" x14ac:dyDescent="0.25">
      <c r="A447">
        <v>1643</v>
      </c>
      <c r="B447">
        <v>1</v>
      </c>
      <c r="C447">
        <v>4</v>
      </c>
      <c r="D447">
        <v>27</v>
      </c>
      <c r="E447">
        <v>19</v>
      </c>
      <c r="F447">
        <v>2</v>
      </c>
      <c r="G447">
        <v>3</v>
      </c>
      <c r="H447">
        <v>379306</v>
      </c>
    </row>
    <row r="448" spans="1:8" x14ac:dyDescent="0.25">
      <c r="A448">
        <v>4676</v>
      </c>
      <c r="B448">
        <v>1</v>
      </c>
      <c r="C448">
        <v>4</v>
      </c>
      <c r="D448">
        <v>9</v>
      </c>
      <c r="E448">
        <v>4</v>
      </c>
      <c r="F448">
        <v>2</v>
      </c>
      <c r="G448">
        <v>9</v>
      </c>
      <c r="H448">
        <v>1087248</v>
      </c>
    </row>
    <row r="449" spans="1:8" x14ac:dyDescent="0.25">
      <c r="A449">
        <v>527</v>
      </c>
      <c r="B449">
        <v>1</v>
      </c>
      <c r="C449">
        <v>1</v>
      </c>
      <c r="D449">
        <v>37</v>
      </c>
      <c r="E449">
        <v>25</v>
      </c>
      <c r="F449">
        <v>2</v>
      </c>
      <c r="G449">
        <v>4</v>
      </c>
      <c r="H449">
        <v>183847</v>
      </c>
    </row>
    <row r="450" spans="1:8" x14ac:dyDescent="0.25">
      <c r="A450">
        <v>1809</v>
      </c>
      <c r="B450">
        <v>1</v>
      </c>
      <c r="C450">
        <v>1</v>
      </c>
      <c r="D450">
        <v>5</v>
      </c>
      <c r="E450">
        <v>18</v>
      </c>
      <c r="F450">
        <v>2</v>
      </c>
      <c r="G450">
        <v>8</v>
      </c>
      <c r="H450">
        <v>561957</v>
      </c>
    </row>
    <row r="451" spans="1:8" x14ac:dyDescent="0.25">
      <c r="A451">
        <v>1253</v>
      </c>
      <c r="B451">
        <v>1</v>
      </c>
      <c r="C451">
        <v>4</v>
      </c>
      <c r="D451">
        <v>33</v>
      </c>
      <c r="E451">
        <v>16</v>
      </c>
      <c r="F451">
        <v>2</v>
      </c>
      <c r="G451">
        <v>5</v>
      </c>
      <c r="H451">
        <v>265432</v>
      </c>
    </row>
    <row r="452" spans="1:8" x14ac:dyDescent="0.25">
      <c r="A452">
        <v>3524</v>
      </c>
      <c r="B452">
        <v>1</v>
      </c>
      <c r="C452">
        <v>4</v>
      </c>
      <c r="D452">
        <v>0</v>
      </c>
      <c r="E452">
        <v>29</v>
      </c>
      <c r="F452">
        <v>2</v>
      </c>
      <c r="G452">
        <v>10</v>
      </c>
      <c r="H452">
        <v>927649</v>
      </c>
    </row>
    <row r="453" spans="1:8" x14ac:dyDescent="0.25">
      <c r="A453">
        <v>1276</v>
      </c>
      <c r="B453">
        <v>1</v>
      </c>
      <c r="C453">
        <v>4</v>
      </c>
      <c r="D453">
        <v>34</v>
      </c>
      <c r="E453">
        <v>22</v>
      </c>
      <c r="F453">
        <v>2</v>
      </c>
      <c r="G453">
        <v>9</v>
      </c>
      <c r="H453">
        <v>576954</v>
      </c>
    </row>
    <row r="454" spans="1:8" x14ac:dyDescent="0.25">
      <c r="A454">
        <v>3144</v>
      </c>
      <c r="B454">
        <v>1</v>
      </c>
      <c r="C454">
        <v>4</v>
      </c>
      <c r="D454">
        <v>5</v>
      </c>
      <c r="E454">
        <v>30</v>
      </c>
      <c r="F454">
        <v>2</v>
      </c>
      <c r="G454">
        <v>4</v>
      </c>
      <c r="H454">
        <v>687422</v>
      </c>
    </row>
    <row r="455" spans="1:8" x14ac:dyDescent="0.25">
      <c r="A455">
        <v>2031</v>
      </c>
      <c r="B455">
        <v>1</v>
      </c>
      <c r="C455">
        <v>1</v>
      </c>
      <c r="D455">
        <v>27</v>
      </c>
      <c r="E455">
        <v>23</v>
      </c>
      <c r="F455">
        <v>2</v>
      </c>
      <c r="G455">
        <v>7</v>
      </c>
      <c r="H455">
        <v>388368</v>
      </c>
    </row>
    <row r="456" spans="1:8" x14ac:dyDescent="0.25">
      <c r="A456">
        <v>3487</v>
      </c>
      <c r="B456">
        <v>1</v>
      </c>
      <c r="C456">
        <v>2</v>
      </c>
      <c r="D456">
        <v>8</v>
      </c>
      <c r="E456">
        <v>29</v>
      </c>
      <c r="F456">
        <v>2</v>
      </c>
      <c r="G456">
        <v>8</v>
      </c>
      <c r="H456">
        <v>652325</v>
      </c>
    </row>
    <row r="457" spans="1:8" x14ac:dyDescent="0.25">
      <c r="A457">
        <v>3367</v>
      </c>
      <c r="B457">
        <v>1</v>
      </c>
      <c r="C457">
        <v>1</v>
      </c>
      <c r="D457">
        <v>7</v>
      </c>
      <c r="E457">
        <v>32</v>
      </c>
      <c r="F457">
        <v>2</v>
      </c>
      <c r="G457">
        <v>8</v>
      </c>
      <c r="H457">
        <v>654179</v>
      </c>
    </row>
    <row r="458" spans="1:8" x14ac:dyDescent="0.25">
      <c r="A458">
        <v>4166</v>
      </c>
      <c r="B458">
        <v>1</v>
      </c>
      <c r="C458">
        <v>4</v>
      </c>
      <c r="D458">
        <v>33</v>
      </c>
      <c r="E458">
        <v>3</v>
      </c>
      <c r="F458">
        <v>2</v>
      </c>
      <c r="G458">
        <v>9</v>
      </c>
      <c r="H458">
        <v>918593</v>
      </c>
    </row>
    <row r="459" spans="1:8" x14ac:dyDescent="0.25">
      <c r="A459">
        <v>2726</v>
      </c>
      <c r="B459">
        <v>1</v>
      </c>
      <c r="C459">
        <v>1</v>
      </c>
      <c r="D459">
        <v>13</v>
      </c>
      <c r="E459">
        <v>23</v>
      </c>
      <c r="F459">
        <v>2</v>
      </c>
      <c r="G459">
        <v>3</v>
      </c>
      <c r="H459">
        <v>424129</v>
      </c>
    </row>
    <row r="460" spans="1:8" x14ac:dyDescent="0.25">
      <c r="A460">
        <v>4892</v>
      </c>
      <c r="B460">
        <v>1</v>
      </c>
      <c r="C460">
        <v>2</v>
      </c>
      <c r="D460">
        <v>34</v>
      </c>
      <c r="E460">
        <v>30</v>
      </c>
      <c r="F460">
        <v>2</v>
      </c>
      <c r="G460">
        <v>4</v>
      </c>
      <c r="H460">
        <v>750922</v>
      </c>
    </row>
    <row r="461" spans="1:8" x14ac:dyDescent="0.25">
      <c r="A461">
        <v>1098</v>
      </c>
      <c r="B461">
        <v>1</v>
      </c>
      <c r="C461">
        <v>2</v>
      </c>
      <c r="D461">
        <v>7</v>
      </c>
      <c r="E461">
        <v>14</v>
      </c>
      <c r="F461">
        <v>2</v>
      </c>
      <c r="G461">
        <v>4</v>
      </c>
      <c r="H461">
        <v>297386</v>
      </c>
    </row>
    <row r="462" spans="1:8" x14ac:dyDescent="0.25">
      <c r="A462">
        <v>3382</v>
      </c>
      <c r="B462">
        <v>1</v>
      </c>
      <c r="C462">
        <v>1</v>
      </c>
      <c r="D462">
        <v>30</v>
      </c>
      <c r="E462">
        <v>23</v>
      </c>
      <c r="F462">
        <v>2</v>
      </c>
      <c r="G462">
        <v>5</v>
      </c>
      <c r="H462">
        <v>662697</v>
      </c>
    </row>
    <row r="463" spans="1:8" x14ac:dyDescent="0.25">
      <c r="A463">
        <v>3694</v>
      </c>
      <c r="B463">
        <v>1</v>
      </c>
      <c r="C463">
        <v>2</v>
      </c>
      <c r="D463">
        <v>33</v>
      </c>
      <c r="E463">
        <v>34</v>
      </c>
      <c r="F463">
        <v>2</v>
      </c>
      <c r="G463">
        <v>9</v>
      </c>
      <c r="H463">
        <v>781733</v>
      </c>
    </row>
    <row r="464" spans="1:8" x14ac:dyDescent="0.25">
      <c r="A464">
        <v>2614</v>
      </c>
      <c r="B464">
        <v>1</v>
      </c>
      <c r="C464">
        <v>2</v>
      </c>
      <c r="D464">
        <v>23</v>
      </c>
      <c r="E464">
        <v>8</v>
      </c>
      <c r="F464">
        <v>2</v>
      </c>
      <c r="G464">
        <v>4</v>
      </c>
      <c r="H464">
        <v>501549</v>
      </c>
    </row>
    <row r="465" spans="1:8" x14ac:dyDescent="0.25">
      <c r="A465">
        <v>1223</v>
      </c>
      <c r="B465">
        <v>1</v>
      </c>
      <c r="C465">
        <v>3</v>
      </c>
      <c r="D465">
        <v>17</v>
      </c>
      <c r="E465">
        <v>12</v>
      </c>
      <c r="F465">
        <v>2</v>
      </c>
      <c r="G465">
        <v>9</v>
      </c>
      <c r="H465">
        <v>581660</v>
      </c>
    </row>
    <row r="466" spans="1:8" x14ac:dyDescent="0.25">
      <c r="A466">
        <v>3776</v>
      </c>
      <c r="B466">
        <v>1</v>
      </c>
      <c r="C466">
        <v>3</v>
      </c>
      <c r="D466">
        <v>18</v>
      </c>
      <c r="E466">
        <v>16</v>
      </c>
      <c r="F466">
        <v>2</v>
      </c>
      <c r="G466">
        <v>4</v>
      </c>
      <c r="H466">
        <v>672074</v>
      </c>
    </row>
    <row r="467" spans="1:8" x14ac:dyDescent="0.25">
      <c r="A467">
        <v>1753</v>
      </c>
      <c r="B467">
        <v>1</v>
      </c>
      <c r="C467">
        <v>1</v>
      </c>
      <c r="D467">
        <v>12</v>
      </c>
      <c r="E467">
        <v>22</v>
      </c>
      <c r="F467">
        <v>2</v>
      </c>
      <c r="G467">
        <v>4</v>
      </c>
      <c r="H467">
        <v>375666</v>
      </c>
    </row>
    <row r="468" spans="1:8" x14ac:dyDescent="0.25">
      <c r="A468">
        <v>3271</v>
      </c>
      <c r="B468">
        <v>1</v>
      </c>
      <c r="C468">
        <v>4</v>
      </c>
      <c r="D468">
        <v>20</v>
      </c>
      <c r="E468">
        <v>16</v>
      </c>
      <c r="F468">
        <v>2</v>
      </c>
      <c r="G468">
        <v>5</v>
      </c>
      <c r="H468">
        <v>718690</v>
      </c>
    </row>
    <row r="469" spans="1:8" x14ac:dyDescent="0.25">
      <c r="A469">
        <v>2552</v>
      </c>
      <c r="B469">
        <v>1</v>
      </c>
      <c r="C469">
        <v>3</v>
      </c>
      <c r="D469">
        <v>13</v>
      </c>
      <c r="E469">
        <v>2</v>
      </c>
      <c r="F469">
        <v>2</v>
      </c>
      <c r="G469">
        <v>7</v>
      </c>
      <c r="H469">
        <v>602458</v>
      </c>
    </row>
    <row r="470" spans="1:8" x14ac:dyDescent="0.25">
      <c r="A470">
        <v>784</v>
      </c>
      <c r="B470">
        <v>1</v>
      </c>
      <c r="C470">
        <v>3</v>
      </c>
      <c r="D470">
        <v>6</v>
      </c>
      <c r="E470">
        <v>20</v>
      </c>
      <c r="F470">
        <v>2</v>
      </c>
      <c r="G470">
        <v>1</v>
      </c>
      <c r="H470">
        <v>302135</v>
      </c>
    </row>
    <row r="471" spans="1:8" x14ac:dyDescent="0.25">
      <c r="A471">
        <v>4930</v>
      </c>
      <c r="B471">
        <v>1</v>
      </c>
      <c r="C471">
        <v>4</v>
      </c>
      <c r="D471">
        <v>36</v>
      </c>
      <c r="E471">
        <v>13</v>
      </c>
      <c r="F471">
        <v>2</v>
      </c>
      <c r="G471">
        <v>2</v>
      </c>
      <c r="H471">
        <v>768618</v>
      </c>
    </row>
    <row r="472" spans="1:8" x14ac:dyDescent="0.25">
      <c r="A472">
        <v>3666</v>
      </c>
      <c r="B472">
        <v>1</v>
      </c>
      <c r="C472">
        <v>3</v>
      </c>
      <c r="D472">
        <v>6</v>
      </c>
      <c r="E472">
        <v>25</v>
      </c>
      <c r="F472">
        <v>2</v>
      </c>
      <c r="G472">
        <v>4</v>
      </c>
      <c r="H472">
        <v>622680</v>
      </c>
    </row>
    <row r="473" spans="1:8" x14ac:dyDescent="0.25">
      <c r="A473">
        <v>2368</v>
      </c>
      <c r="B473">
        <v>1</v>
      </c>
      <c r="C473">
        <v>3</v>
      </c>
      <c r="D473">
        <v>31</v>
      </c>
      <c r="E473">
        <v>24</v>
      </c>
      <c r="F473">
        <v>2</v>
      </c>
      <c r="G473">
        <v>1</v>
      </c>
      <c r="H473">
        <v>307413</v>
      </c>
    </row>
    <row r="474" spans="1:8" x14ac:dyDescent="0.25">
      <c r="A474">
        <v>4969</v>
      </c>
      <c r="B474">
        <v>1</v>
      </c>
      <c r="C474">
        <v>3</v>
      </c>
      <c r="D474">
        <v>14</v>
      </c>
      <c r="E474">
        <v>32</v>
      </c>
      <c r="F474">
        <v>2</v>
      </c>
      <c r="G474">
        <v>10</v>
      </c>
      <c r="H474">
        <v>998599</v>
      </c>
    </row>
    <row r="475" spans="1:8" x14ac:dyDescent="0.25">
      <c r="A475">
        <v>3687</v>
      </c>
      <c r="B475">
        <v>1</v>
      </c>
      <c r="C475">
        <v>1</v>
      </c>
      <c r="D475">
        <v>3</v>
      </c>
      <c r="E475">
        <v>7</v>
      </c>
      <c r="F475">
        <v>2</v>
      </c>
      <c r="G475">
        <v>10</v>
      </c>
      <c r="H475">
        <v>847753</v>
      </c>
    </row>
    <row r="476" spans="1:8" x14ac:dyDescent="0.25">
      <c r="A476">
        <v>2161</v>
      </c>
      <c r="B476">
        <v>1</v>
      </c>
      <c r="C476">
        <v>1</v>
      </c>
      <c r="D476">
        <v>30</v>
      </c>
      <c r="E476">
        <v>12</v>
      </c>
      <c r="F476">
        <v>2</v>
      </c>
      <c r="G476">
        <v>5</v>
      </c>
      <c r="H476">
        <v>527311</v>
      </c>
    </row>
    <row r="477" spans="1:8" x14ac:dyDescent="0.25">
      <c r="A477">
        <v>1276</v>
      </c>
      <c r="B477">
        <v>1</v>
      </c>
      <c r="C477">
        <v>1</v>
      </c>
      <c r="D477">
        <v>10</v>
      </c>
      <c r="E477">
        <v>12</v>
      </c>
      <c r="F477">
        <v>2</v>
      </c>
      <c r="G477">
        <v>8</v>
      </c>
      <c r="H477">
        <v>480112</v>
      </c>
    </row>
    <row r="478" spans="1:8" x14ac:dyDescent="0.25">
      <c r="A478">
        <v>2724</v>
      </c>
      <c r="B478">
        <v>1</v>
      </c>
      <c r="C478">
        <v>4</v>
      </c>
      <c r="D478">
        <v>31</v>
      </c>
      <c r="E478">
        <v>30</v>
      </c>
      <c r="F478">
        <v>2</v>
      </c>
      <c r="G478">
        <v>7</v>
      </c>
      <c r="H478">
        <v>571225</v>
      </c>
    </row>
    <row r="479" spans="1:8" x14ac:dyDescent="0.25">
      <c r="A479">
        <v>2133</v>
      </c>
      <c r="B479">
        <v>1</v>
      </c>
      <c r="C479">
        <v>1</v>
      </c>
      <c r="D479">
        <v>20</v>
      </c>
      <c r="E479">
        <v>18</v>
      </c>
      <c r="F479">
        <v>2</v>
      </c>
      <c r="G479">
        <v>6</v>
      </c>
      <c r="H479">
        <v>493166</v>
      </c>
    </row>
    <row r="480" spans="1:8" x14ac:dyDescent="0.25">
      <c r="A480">
        <v>4135</v>
      </c>
      <c r="B480">
        <v>1</v>
      </c>
      <c r="C480">
        <v>1</v>
      </c>
      <c r="D480">
        <v>13</v>
      </c>
      <c r="E480">
        <v>7</v>
      </c>
      <c r="F480">
        <v>2</v>
      </c>
      <c r="G480">
        <v>6</v>
      </c>
      <c r="H480">
        <v>758584</v>
      </c>
    </row>
    <row r="481" spans="1:8" x14ac:dyDescent="0.25">
      <c r="A481">
        <v>2776</v>
      </c>
      <c r="B481">
        <v>1</v>
      </c>
      <c r="C481">
        <v>4</v>
      </c>
      <c r="D481">
        <v>31</v>
      </c>
      <c r="E481">
        <v>14</v>
      </c>
      <c r="F481">
        <v>2</v>
      </c>
      <c r="G481">
        <v>8</v>
      </c>
      <c r="H481">
        <v>725765</v>
      </c>
    </row>
    <row r="482" spans="1:8" x14ac:dyDescent="0.25">
      <c r="A482">
        <v>597</v>
      </c>
      <c r="B482">
        <v>1</v>
      </c>
      <c r="C482">
        <v>4</v>
      </c>
      <c r="D482">
        <v>26</v>
      </c>
      <c r="E482">
        <v>20</v>
      </c>
      <c r="F482">
        <v>2</v>
      </c>
      <c r="G482">
        <v>9</v>
      </c>
      <c r="H482">
        <v>543425</v>
      </c>
    </row>
    <row r="483" spans="1:8" x14ac:dyDescent="0.25">
      <c r="A483">
        <v>2604</v>
      </c>
      <c r="B483">
        <v>1</v>
      </c>
      <c r="C483">
        <v>3</v>
      </c>
      <c r="D483">
        <v>9</v>
      </c>
      <c r="E483">
        <v>20</v>
      </c>
      <c r="F483">
        <v>2</v>
      </c>
      <c r="G483">
        <v>9</v>
      </c>
      <c r="H483">
        <v>721355</v>
      </c>
    </row>
    <row r="484" spans="1:8" x14ac:dyDescent="0.25">
      <c r="A484">
        <v>2257</v>
      </c>
      <c r="B484">
        <v>1</v>
      </c>
      <c r="C484">
        <v>4</v>
      </c>
      <c r="D484">
        <v>3</v>
      </c>
      <c r="E484">
        <v>15</v>
      </c>
      <c r="F484">
        <v>2</v>
      </c>
      <c r="G484">
        <v>3</v>
      </c>
      <c r="H484">
        <v>504735</v>
      </c>
    </row>
    <row r="485" spans="1:8" x14ac:dyDescent="0.25">
      <c r="A485">
        <v>4625</v>
      </c>
      <c r="B485">
        <v>1</v>
      </c>
      <c r="C485">
        <v>2</v>
      </c>
      <c r="D485">
        <v>25</v>
      </c>
      <c r="E485">
        <v>8</v>
      </c>
      <c r="F485">
        <v>2</v>
      </c>
      <c r="G485">
        <v>8</v>
      </c>
      <c r="H485">
        <v>921516</v>
      </c>
    </row>
    <row r="486" spans="1:8" x14ac:dyDescent="0.25">
      <c r="A486">
        <v>3681</v>
      </c>
      <c r="B486">
        <v>1</v>
      </c>
      <c r="C486">
        <v>2</v>
      </c>
      <c r="D486">
        <v>2</v>
      </c>
      <c r="E486">
        <v>8</v>
      </c>
      <c r="F486">
        <v>2</v>
      </c>
      <c r="G486">
        <v>2</v>
      </c>
      <c r="H486">
        <v>697038</v>
      </c>
    </row>
    <row r="487" spans="1:8" x14ac:dyDescent="0.25">
      <c r="A487">
        <v>1227</v>
      </c>
      <c r="B487">
        <v>1</v>
      </c>
      <c r="C487">
        <v>1</v>
      </c>
      <c r="D487">
        <v>39</v>
      </c>
      <c r="E487">
        <v>2</v>
      </c>
      <c r="F487">
        <v>2</v>
      </c>
      <c r="G487">
        <v>6</v>
      </c>
      <c r="H487">
        <v>277185</v>
      </c>
    </row>
    <row r="488" spans="1:8" x14ac:dyDescent="0.25">
      <c r="A488">
        <v>1003</v>
      </c>
      <c r="B488">
        <v>1</v>
      </c>
      <c r="C488">
        <v>3</v>
      </c>
      <c r="D488">
        <v>22</v>
      </c>
      <c r="E488">
        <v>10</v>
      </c>
      <c r="F488">
        <v>2</v>
      </c>
      <c r="G488">
        <v>1</v>
      </c>
      <c r="H488">
        <v>214538</v>
      </c>
    </row>
    <row r="489" spans="1:8" x14ac:dyDescent="0.25">
      <c r="A489">
        <v>3472</v>
      </c>
      <c r="B489">
        <v>1</v>
      </c>
      <c r="C489">
        <v>1</v>
      </c>
      <c r="D489">
        <v>3</v>
      </c>
      <c r="E489">
        <v>23</v>
      </c>
      <c r="F489">
        <v>2</v>
      </c>
      <c r="G489">
        <v>3</v>
      </c>
      <c r="H489">
        <v>535903</v>
      </c>
    </row>
    <row r="490" spans="1:8" x14ac:dyDescent="0.25">
      <c r="A490">
        <v>4421</v>
      </c>
      <c r="B490">
        <v>1</v>
      </c>
      <c r="C490">
        <v>3</v>
      </c>
      <c r="D490">
        <v>11</v>
      </c>
      <c r="E490">
        <v>33</v>
      </c>
      <c r="F490">
        <v>2</v>
      </c>
      <c r="G490">
        <v>9</v>
      </c>
      <c r="H490">
        <v>995584</v>
      </c>
    </row>
    <row r="491" spans="1:8" x14ac:dyDescent="0.25">
      <c r="A491">
        <v>2773</v>
      </c>
      <c r="B491">
        <v>1</v>
      </c>
      <c r="C491">
        <v>1</v>
      </c>
      <c r="D491">
        <v>4</v>
      </c>
      <c r="E491">
        <v>27</v>
      </c>
      <c r="F491">
        <v>2</v>
      </c>
      <c r="G491">
        <v>8</v>
      </c>
      <c r="H491">
        <v>427985</v>
      </c>
    </row>
    <row r="492" spans="1:8" x14ac:dyDescent="0.25">
      <c r="A492">
        <v>2124</v>
      </c>
      <c r="B492">
        <v>1</v>
      </c>
      <c r="C492">
        <v>2</v>
      </c>
      <c r="D492">
        <v>20</v>
      </c>
      <c r="E492">
        <v>7</v>
      </c>
      <c r="F492">
        <v>2</v>
      </c>
      <c r="G492">
        <v>4</v>
      </c>
      <c r="H492">
        <v>405204</v>
      </c>
    </row>
    <row r="493" spans="1:8" x14ac:dyDescent="0.25">
      <c r="A493">
        <v>3693</v>
      </c>
      <c r="B493">
        <v>1</v>
      </c>
      <c r="C493">
        <v>3</v>
      </c>
      <c r="D493">
        <v>19</v>
      </c>
      <c r="E493">
        <v>10</v>
      </c>
      <c r="F493">
        <v>2</v>
      </c>
      <c r="G493">
        <v>2</v>
      </c>
      <c r="H493">
        <v>572299</v>
      </c>
    </row>
    <row r="494" spans="1:8" x14ac:dyDescent="0.25">
      <c r="A494">
        <v>2223</v>
      </c>
      <c r="B494">
        <v>1</v>
      </c>
      <c r="C494">
        <v>3</v>
      </c>
      <c r="D494">
        <v>35</v>
      </c>
      <c r="E494">
        <v>33</v>
      </c>
      <c r="F494">
        <v>2</v>
      </c>
      <c r="G494">
        <v>2</v>
      </c>
      <c r="H494">
        <v>356901</v>
      </c>
    </row>
    <row r="495" spans="1:8" x14ac:dyDescent="0.25">
      <c r="A495">
        <v>2938</v>
      </c>
      <c r="B495">
        <v>1</v>
      </c>
      <c r="C495">
        <v>2</v>
      </c>
      <c r="D495">
        <v>18</v>
      </c>
      <c r="E495">
        <v>4</v>
      </c>
      <c r="F495">
        <v>2</v>
      </c>
      <c r="G495">
        <v>6</v>
      </c>
      <c r="H495">
        <v>724474</v>
      </c>
    </row>
    <row r="496" spans="1:8" x14ac:dyDescent="0.25">
      <c r="A496">
        <v>1174</v>
      </c>
      <c r="B496">
        <v>1</v>
      </c>
      <c r="C496">
        <v>4</v>
      </c>
      <c r="D496">
        <v>20</v>
      </c>
      <c r="E496">
        <v>7</v>
      </c>
      <c r="F496">
        <v>2</v>
      </c>
      <c r="G496">
        <v>3</v>
      </c>
      <c r="H496">
        <v>438756</v>
      </c>
    </row>
    <row r="497" spans="1:8" x14ac:dyDescent="0.25">
      <c r="A497">
        <v>3147</v>
      </c>
      <c r="B497">
        <v>3</v>
      </c>
      <c r="C497">
        <v>2</v>
      </c>
      <c r="D497">
        <v>13</v>
      </c>
      <c r="E497">
        <v>7</v>
      </c>
      <c r="F497">
        <v>2</v>
      </c>
      <c r="G497">
        <v>7</v>
      </c>
      <c r="H497">
        <v>879539</v>
      </c>
    </row>
    <row r="498" spans="1:8" x14ac:dyDescent="0.25">
      <c r="A498">
        <v>3602</v>
      </c>
      <c r="B498">
        <v>3</v>
      </c>
      <c r="C498">
        <v>1</v>
      </c>
      <c r="D498">
        <v>39</v>
      </c>
      <c r="E498">
        <v>12</v>
      </c>
      <c r="F498">
        <v>2</v>
      </c>
      <c r="G498">
        <v>1</v>
      </c>
      <c r="H498">
        <v>613933</v>
      </c>
    </row>
    <row r="499" spans="1:8" x14ac:dyDescent="0.25">
      <c r="A499">
        <v>3224</v>
      </c>
      <c r="B499">
        <v>3</v>
      </c>
      <c r="C499">
        <v>4</v>
      </c>
      <c r="D499">
        <v>27</v>
      </c>
      <c r="E499">
        <v>21</v>
      </c>
      <c r="F499">
        <v>2</v>
      </c>
      <c r="G499">
        <v>2</v>
      </c>
      <c r="H499">
        <v>793725</v>
      </c>
    </row>
    <row r="500" spans="1:8" x14ac:dyDescent="0.25">
      <c r="A500">
        <v>2956</v>
      </c>
      <c r="B500">
        <v>3</v>
      </c>
      <c r="C500">
        <v>4</v>
      </c>
      <c r="D500">
        <v>8</v>
      </c>
      <c r="E500">
        <v>32</v>
      </c>
      <c r="F500">
        <v>2</v>
      </c>
      <c r="G500">
        <v>7</v>
      </c>
      <c r="H500">
        <v>809910</v>
      </c>
    </row>
    <row r="501" spans="1:8" x14ac:dyDescent="0.25">
      <c r="A501">
        <v>3095</v>
      </c>
      <c r="B501">
        <v>3</v>
      </c>
      <c r="C501">
        <v>3</v>
      </c>
      <c r="D501">
        <v>32</v>
      </c>
      <c r="E501">
        <v>24</v>
      </c>
      <c r="F501">
        <v>2</v>
      </c>
      <c r="G501">
        <v>6</v>
      </c>
      <c r="H501">
        <v>731309</v>
      </c>
    </row>
    <row r="502" spans="1:8" x14ac:dyDescent="0.25">
      <c r="A502">
        <v>2854</v>
      </c>
      <c r="B502">
        <v>3</v>
      </c>
      <c r="C502">
        <v>4</v>
      </c>
      <c r="D502">
        <v>22</v>
      </c>
      <c r="E502">
        <v>1</v>
      </c>
      <c r="F502">
        <v>2</v>
      </c>
      <c r="G502">
        <v>1</v>
      </c>
      <c r="H502">
        <v>639417</v>
      </c>
    </row>
    <row r="503" spans="1:8" x14ac:dyDescent="0.25">
      <c r="A503">
        <v>4045</v>
      </c>
      <c r="B503">
        <v>3</v>
      </c>
      <c r="C503">
        <v>4</v>
      </c>
      <c r="D503">
        <v>39</v>
      </c>
      <c r="E503">
        <v>27</v>
      </c>
      <c r="F503">
        <v>2</v>
      </c>
      <c r="G503">
        <v>5</v>
      </c>
      <c r="H503">
        <v>790853</v>
      </c>
    </row>
    <row r="504" spans="1:8" x14ac:dyDescent="0.25">
      <c r="A504">
        <v>1263</v>
      </c>
      <c r="B504">
        <v>3</v>
      </c>
      <c r="C504">
        <v>4</v>
      </c>
      <c r="D504">
        <v>6</v>
      </c>
      <c r="E504">
        <v>23</v>
      </c>
      <c r="F504">
        <v>2</v>
      </c>
      <c r="G504">
        <v>8</v>
      </c>
      <c r="H504">
        <v>726487</v>
      </c>
    </row>
    <row r="505" spans="1:8" x14ac:dyDescent="0.25">
      <c r="A505">
        <v>3655</v>
      </c>
      <c r="B505">
        <v>3</v>
      </c>
      <c r="C505">
        <v>3</v>
      </c>
      <c r="D505">
        <v>39</v>
      </c>
      <c r="E505">
        <v>29</v>
      </c>
      <c r="F505">
        <v>2</v>
      </c>
      <c r="G505">
        <v>9</v>
      </c>
      <c r="H505">
        <v>971261</v>
      </c>
    </row>
    <row r="506" spans="1:8" x14ac:dyDescent="0.25">
      <c r="A506">
        <v>4896</v>
      </c>
      <c r="B506">
        <v>3</v>
      </c>
      <c r="C506">
        <v>1</v>
      </c>
      <c r="D506">
        <v>11</v>
      </c>
      <c r="E506">
        <v>19</v>
      </c>
      <c r="F506">
        <v>2</v>
      </c>
      <c r="G506">
        <v>4</v>
      </c>
      <c r="H506">
        <v>782142</v>
      </c>
    </row>
    <row r="507" spans="1:8" x14ac:dyDescent="0.25">
      <c r="A507">
        <v>4461</v>
      </c>
      <c r="B507">
        <v>3</v>
      </c>
      <c r="C507">
        <v>1</v>
      </c>
      <c r="D507">
        <v>11</v>
      </c>
      <c r="E507">
        <v>20</v>
      </c>
      <c r="F507">
        <v>2</v>
      </c>
      <c r="G507">
        <v>10</v>
      </c>
      <c r="H507">
        <v>1131283</v>
      </c>
    </row>
    <row r="508" spans="1:8" x14ac:dyDescent="0.25">
      <c r="A508">
        <v>1023</v>
      </c>
      <c r="B508">
        <v>3</v>
      </c>
      <c r="C508">
        <v>4</v>
      </c>
      <c r="D508">
        <v>1</v>
      </c>
      <c r="E508">
        <v>3</v>
      </c>
      <c r="F508">
        <v>2</v>
      </c>
      <c r="G508">
        <v>4</v>
      </c>
      <c r="H508">
        <v>525811</v>
      </c>
    </row>
    <row r="509" spans="1:8" x14ac:dyDescent="0.25">
      <c r="A509">
        <v>4123</v>
      </c>
      <c r="B509">
        <v>3</v>
      </c>
      <c r="C509">
        <v>2</v>
      </c>
      <c r="D509">
        <v>10</v>
      </c>
      <c r="E509">
        <v>28</v>
      </c>
      <c r="F509">
        <v>2</v>
      </c>
      <c r="G509">
        <v>9</v>
      </c>
      <c r="H509">
        <v>1103098</v>
      </c>
    </row>
    <row r="510" spans="1:8" x14ac:dyDescent="0.25">
      <c r="A510">
        <v>653</v>
      </c>
      <c r="B510">
        <v>3</v>
      </c>
      <c r="C510">
        <v>3</v>
      </c>
      <c r="D510">
        <v>29</v>
      </c>
      <c r="E510">
        <v>1</v>
      </c>
      <c r="F510">
        <v>2</v>
      </c>
      <c r="G510">
        <v>4</v>
      </c>
      <c r="H510">
        <v>295034</v>
      </c>
    </row>
    <row r="511" spans="1:8" x14ac:dyDescent="0.25">
      <c r="A511">
        <v>3269</v>
      </c>
      <c r="B511">
        <v>3</v>
      </c>
      <c r="C511">
        <v>4</v>
      </c>
      <c r="D511">
        <v>25</v>
      </c>
      <c r="E511">
        <v>26</v>
      </c>
      <c r="F511">
        <v>2</v>
      </c>
      <c r="G511">
        <v>8</v>
      </c>
      <c r="H511">
        <v>1049106</v>
      </c>
    </row>
    <row r="512" spans="1:8" x14ac:dyDescent="0.25">
      <c r="A512">
        <v>3634</v>
      </c>
      <c r="B512">
        <v>3</v>
      </c>
      <c r="C512">
        <v>1</v>
      </c>
      <c r="D512">
        <v>36</v>
      </c>
      <c r="E512">
        <v>30</v>
      </c>
      <c r="F512">
        <v>2</v>
      </c>
      <c r="G512">
        <v>3</v>
      </c>
      <c r="H512">
        <v>529873</v>
      </c>
    </row>
    <row r="513" spans="1:8" x14ac:dyDescent="0.25">
      <c r="A513">
        <v>4896</v>
      </c>
      <c r="B513">
        <v>3</v>
      </c>
      <c r="C513">
        <v>1</v>
      </c>
      <c r="D513">
        <v>35</v>
      </c>
      <c r="E513">
        <v>22</v>
      </c>
      <c r="F513">
        <v>2</v>
      </c>
      <c r="G513">
        <v>3</v>
      </c>
      <c r="H513">
        <v>819516</v>
      </c>
    </row>
    <row r="514" spans="1:8" x14ac:dyDescent="0.25">
      <c r="A514">
        <v>3135</v>
      </c>
      <c r="B514">
        <v>3</v>
      </c>
      <c r="C514">
        <v>4</v>
      </c>
      <c r="D514">
        <v>8</v>
      </c>
      <c r="E514">
        <v>5</v>
      </c>
      <c r="F514">
        <v>2</v>
      </c>
      <c r="G514">
        <v>2</v>
      </c>
      <c r="H514">
        <v>685898</v>
      </c>
    </row>
    <row r="515" spans="1:8" x14ac:dyDescent="0.25">
      <c r="A515">
        <v>2093</v>
      </c>
      <c r="B515">
        <v>3</v>
      </c>
      <c r="C515">
        <v>1</v>
      </c>
      <c r="D515">
        <v>2</v>
      </c>
      <c r="E515">
        <v>12</v>
      </c>
      <c r="F515">
        <v>2</v>
      </c>
      <c r="G515">
        <v>5</v>
      </c>
      <c r="H515">
        <v>652855</v>
      </c>
    </row>
    <row r="516" spans="1:8" x14ac:dyDescent="0.25">
      <c r="A516">
        <v>4948</v>
      </c>
      <c r="B516">
        <v>3</v>
      </c>
      <c r="C516">
        <v>4</v>
      </c>
      <c r="D516">
        <v>35</v>
      </c>
      <c r="E516">
        <v>24</v>
      </c>
      <c r="F516">
        <v>2</v>
      </c>
      <c r="G516">
        <v>8</v>
      </c>
      <c r="H516">
        <v>1100978</v>
      </c>
    </row>
    <row r="517" spans="1:8" x14ac:dyDescent="0.25">
      <c r="A517">
        <v>2924</v>
      </c>
      <c r="B517">
        <v>3</v>
      </c>
      <c r="C517">
        <v>3</v>
      </c>
      <c r="D517">
        <v>6</v>
      </c>
      <c r="E517">
        <v>1</v>
      </c>
      <c r="F517">
        <v>2</v>
      </c>
      <c r="G517">
        <v>9</v>
      </c>
      <c r="H517">
        <v>788399</v>
      </c>
    </row>
    <row r="518" spans="1:8" x14ac:dyDescent="0.25">
      <c r="A518">
        <v>3570</v>
      </c>
      <c r="B518">
        <v>3</v>
      </c>
      <c r="C518">
        <v>2</v>
      </c>
      <c r="D518">
        <v>27</v>
      </c>
      <c r="E518">
        <v>24</v>
      </c>
      <c r="F518">
        <v>2</v>
      </c>
      <c r="G518">
        <v>3</v>
      </c>
      <c r="H518">
        <v>728952</v>
      </c>
    </row>
    <row r="519" spans="1:8" x14ac:dyDescent="0.25">
      <c r="A519">
        <v>3133</v>
      </c>
      <c r="B519">
        <v>3</v>
      </c>
      <c r="C519">
        <v>3</v>
      </c>
      <c r="D519">
        <v>29</v>
      </c>
      <c r="E519">
        <v>17</v>
      </c>
      <c r="F519">
        <v>2</v>
      </c>
      <c r="G519">
        <v>4</v>
      </c>
      <c r="H519">
        <v>751406</v>
      </c>
    </row>
    <row r="520" spans="1:8" x14ac:dyDescent="0.25">
      <c r="A520">
        <v>3301</v>
      </c>
      <c r="B520">
        <v>3</v>
      </c>
      <c r="C520">
        <v>2</v>
      </c>
      <c r="D520">
        <v>10</v>
      </c>
      <c r="E520">
        <v>5</v>
      </c>
      <c r="F520">
        <v>2</v>
      </c>
      <c r="G520">
        <v>4</v>
      </c>
      <c r="H520">
        <v>729205</v>
      </c>
    </row>
    <row r="521" spans="1:8" x14ac:dyDescent="0.25">
      <c r="A521">
        <v>2773</v>
      </c>
      <c r="B521">
        <v>3</v>
      </c>
      <c r="C521">
        <v>1</v>
      </c>
      <c r="D521">
        <v>26</v>
      </c>
      <c r="E521">
        <v>18</v>
      </c>
      <c r="F521">
        <v>2</v>
      </c>
      <c r="G521">
        <v>7</v>
      </c>
      <c r="H521">
        <v>256801</v>
      </c>
    </row>
    <row r="522" spans="1:8" x14ac:dyDescent="0.25">
      <c r="A522">
        <v>2241</v>
      </c>
      <c r="B522">
        <v>3</v>
      </c>
      <c r="C522">
        <v>1</v>
      </c>
      <c r="D522">
        <v>22</v>
      </c>
      <c r="E522">
        <v>8</v>
      </c>
      <c r="F522">
        <v>2</v>
      </c>
      <c r="G522">
        <v>8</v>
      </c>
      <c r="H522">
        <v>715512</v>
      </c>
    </row>
    <row r="523" spans="1:8" x14ac:dyDescent="0.25">
      <c r="A523">
        <v>4531</v>
      </c>
      <c r="B523">
        <v>3</v>
      </c>
      <c r="C523">
        <v>4</v>
      </c>
      <c r="D523">
        <v>8</v>
      </c>
      <c r="E523">
        <v>26</v>
      </c>
      <c r="F523">
        <v>2</v>
      </c>
      <c r="G523">
        <v>8</v>
      </c>
      <c r="H523">
        <v>1108124</v>
      </c>
    </row>
    <row r="524" spans="1:8" x14ac:dyDescent="0.25">
      <c r="A524">
        <v>1371</v>
      </c>
      <c r="B524">
        <v>3</v>
      </c>
      <c r="C524">
        <v>3</v>
      </c>
      <c r="D524">
        <v>3</v>
      </c>
      <c r="E524">
        <v>35</v>
      </c>
      <c r="F524">
        <v>2</v>
      </c>
      <c r="G524">
        <v>3</v>
      </c>
      <c r="H524">
        <v>603481</v>
      </c>
    </row>
    <row r="525" spans="1:8" x14ac:dyDescent="0.25">
      <c r="A525">
        <v>2773</v>
      </c>
      <c r="B525">
        <v>3</v>
      </c>
      <c r="C525">
        <v>3</v>
      </c>
      <c r="D525">
        <v>33</v>
      </c>
      <c r="E525">
        <v>25</v>
      </c>
      <c r="F525">
        <v>2</v>
      </c>
      <c r="G525">
        <v>7</v>
      </c>
      <c r="H525">
        <v>499257</v>
      </c>
    </row>
    <row r="526" spans="1:8" x14ac:dyDescent="0.25">
      <c r="A526">
        <v>1391</v>
      </c>
      <c r="B526">
        <v>3</v>
      </c>
      <c r="C526">
        <v>2</v>
      </c>
      <c r="D526">
        <v>12</v>
      </c>
      <c r="E526">
        <v>4</v>
      </c>
      <c r="F526">
        <v>2</v>
      </c>
      <c r="G526">
        <v>6</v>
      </c>
      <c r="H526">
        <v>577966</v>
      </c>
    </row>
    <row r="527" spans="1:8" x14ac:dyDescent="0.25">
      <c r="A527">
        <v>1769</v>
      </c>
      <c r="B527">
        <v>3</v>
      </c>
      <c r="C527">
        <v>3</v>
      </c>
      <c r="D527">
        <v>18</v>
      </c>
      <c r="E527">
        <v>1</v>
      </c>
      <c r="F527">
        <v>2</v>
      </c>
      <c r="G527">
        <v>5</v>
      </c>
      <c r="H527">
        <v>466274</v>
      </c>
    </row>
    <row r="528" spans="1:8" x14ac:dyDescent="0.25">
      <c r="A528">
        <v>3238</v>
      </c>
      <c r="B528">
        <v>3</v>
      </c>
      <c r="C528">
        <v>4</v>
      </c>
      <c r="D528">
        <v>20</v>
      </c>
      <c r="E528">
        <v>14</v>
      </c>
      <c r="F528">
        <v>2</v>
      </c>
      <c r="G528">
        <v>4</v>
      </c>
      <c r="H528">
        <v>788442</v>
      </c>
    </row>
    <row r="529" spans="1:8" x14ac:dyDescent="0.25">
      <c r="A529">
        <v>912</v>
      </c>
      <c r="B529">
        <v>3</v>
      </c>
      <c r="C529">
        <v>3</v>
      </c>
      <c r="D529">
        <v>35</v>
      </c>
      <c r="E529">
        <v>21</v>
      </c>
      <c r="F529">
        <v>2</v>
      </c>
      <c r="G529">
        <v>4</v>
      </c>
      <c r="H529">
        <v>319564</v>
      </c>
    </row>
    <row r="530" spans="1:8" x14ac:dyDescent="0.25">
      <c r="A530">
        <v>2541</v>
      </c>
      <c r="B530">
        <v>3</v>
      </c>
      <c r="C530">
        <v>4</v>
      </c>
      <c r="D530">
        <v>5</v>
      </c>
      <c r="E530">
        <v>5</v>
      </c>
      <c r="F530">
        <v>2</v>
      </c>
      <c r="G530">
        <v>10</v>
      </c>
      <c r="H530">
        <v>969770</v>
      </c>
    </row>
    <row r="531" spans="1:8" x14ac:dyDescent="0.25">
      <c r="A531">
        <v>2331</v>
      </c>
      <c r="B531">
        <v>3</v>
      </c>
      <c r="C531">
        <v>2</v>
      </c>
      <c r="D531">
        <v>37</v>
      </c>
      <c r="E531">
        <v>17</v>
      </c>
      <c r="F531">
        <v>2</v>
      </c>
      <c r="G531">
        <v>4</v>
      </c>
      <c r="H531">
        <v>557892</v>
      </c>
    </row>
    <row r="532" spans="1:8" x14ac:dyDescent="0.25">
      <c r="A532">
        <v>3898</v>
      </c>
      <c r="B532">
        <v>3</v>
      </c>
      <c r="C532">
        <v>3</v>
      </c>
      <c r="D532">
        <v>31</v>
      </c>
      <c r="E532">
        <v>30</v>
      </c>
      <c r="F532">
        <v>2</v>
      </c>
      <c r="G532">
        <v>5</v>
      </c>
      <c r="H532">
        <v>793857</v>
      </c>
    </row>
    <row r="533" spans="1:8" x14ac:dyDescent="0.25">
      <c r="A533">
        <v>1225</v>
      </c>
      <c r="B533">
        <v>3</v>
      </c>
      <c r="C533">
        <v>3</v>
      </c>
      <c r="D533">
        <v>2</v>
      </c>
      <c r="E533">
        <v>11</v>
      </c>
      <c r="F533">
        <v>2</v>
      </c>
      <c r="G533">
        <v>7</v>
      </c>
      <c r="H533">
        <v>588307</v>
      </c>
    </row>
    <row r="534" spans="1:8" x14ac:dyDescent="0.25">
      <c r="A534">
        <v>3840</v>
      </c>
      <c r="B534">
        <v>3</v>
      </c>
      <c r="C534">
        <v>1</v>
      </c>
      <c r="D534">
        <v>25</v>
      </c>
      <c r="E534">
        <v>5</v>
      </c>
      <c r="F534">
        <v>2</v>
      </c>
      <c r="G534">
        <v>8</v>
      </c>
      <c r="H534">
        <v>899215</v>
      </c>
    </row>
    <row r="535" spans="1:8" x14ac:dyDescent="0.25">
      <c r="A535">
        <v>2505</v>
      </c>
      <c r="B535">
        <v>3</v>
      </c>
      <c r="C535">
        <v>2</v>
      </c>
      <c r="D535">
        <v>37</v>
      </c>
      <c r="E535">
        <v>24</v>
      </c>
      <c r="F535">
        <v>2</v>
      </c>
      <c r="G535">
        <v>9</v>
      </c>
      <c r="H535">
        <v>939581</v>
      </c>
    </row>
    <row r="536" spans="1:8" x14ac:dyDescent="0.25">
      <c r="A536">
        <v>3211</v>
      </c>
      <c r="B536">
        <v>3</v>
      </c>
      <c r="C536">
        <v>1</v>
      </c>
      <c r="D536">
        <v>28</v>
      </c>
      <c r="E536">
        <v>17</v>
      </c>
      <c r="F536">
        <v>2</v>
      </c>
      <c r="G536">
        <v>7</v>
      </c>
      <c r="H536">
        <v>853144</v>
      </c>
    </row>
    <row r="537" spans="1:8" x14ac:dyDescent="0.25">
      <c r="A537">
        <v>1796</v>
      </c>
      <c r="B537">
        <v>3</v>
      </c>
      <c r="C537">
        <v>4</v>
      </c>
      <c r="D537">
        <v>33</v>
      </c>
      <c r="E537">
        <v>6</v>
      </c>
      <c r="F537">
        <v>2</v>
      </c>
      <c r="G537">
        <v>9</v>
      </c>
      <c r="H537">
        <v>768259</v>
      </c>
    </row>
    <row r="538" spans="1:8" x14ac:dyDescent="0.25">
      <c r="A538">
        <v>3724</v>
      </c>
      <c r="B538">
        <v>3</v>
      </c>
      <c r="C538">
        <v>3</v>
      </c>
      <c r="D538">
        <v>10</v>
      </c>
      <c r="E538">
        <v>27</v>
      </c>
      <c r="F538">
        <v>2</v>
      </c>
      <c r="G538">
        <v>3</v>
      </c>
      <c r="H538">
        <v>812339</v>
      </c>
    </row>
    <row r="539" spans="1:8" x14ac:dyDescent="0.25">
      <c r="A539">
        <v>4885</v>
      </c>
      <c r="B539">
        <v>3</v>
      </c>
      <c r="C539">
        <v>3</v>
      </c>
      <c r="D539">
        <v>16</v>
      </c>
      <c r="E539">
        <v>11</v>
      </c>
      <c r="F539">
        <v>2</v>
      </c>
      <c r="G539">
        <v>2</v>
      </c>
      <c r="H539">
        <v>839508</v>
      </c>
    </row>
    <row r="540" spans="1:8" x14ac:dyDescent="0.25">
      <c r="A540">
        <v>2033</v>
      </c>
      <c r="B540">
        <v>3</v>
      </c>
      <c r="C540">
        <v>2</v>
      </c>
      <c r="D540">
        <v>17</v>
      </c>
      <c r="E540">
        <v>7</v>
      </c>
      <c r="F540">
        <v>2</v>
      </c>
      <c r="G540">
        <v>1</v>
      </c>
      <c r="H540">
        <v>455100</v>
      </c>
    </row>
    <row r="541" spans="1:8" x14ac:dyDescent="0.25">
      <c r="A541">
        <v>2448</v>
      </c>
      <c r="B541">
        <v>3</v>
      </c>
      <c r="C541">
        <v>3</v>
      </c>
      <c r="D541">
        <v>8</v>
      </c>
      <c r="E541">
        <v>5</v>
      </c>
      <c r="F541">
        <v>2</v>
      </c>
      <c r="G541">
        <v>5</v>
      </c>
      <c r="H541">
        <v>708509</v>
      </c>
    </row>
    <row r="542" spans="1:8" x14ac:dyDescent="0.25">
      <c r="A542">
        <v>4546</v>
      </c>
      <c r="B542">
        <v>3</v>
      </c>
      <c r="C542">
        <v>1</v>
      </c>
      <c r="D542">
        <v>37</v>
      </c>
      <c r="E542">
        <v>28</v>
      </c>
      <c r="F542">
        <v>2</v>
      </c>
      <c r="G542">
        <v>5</v>
      </c>
      <c r="H542">
        <v>799229</v>
      </c>
    </row>
    <row r="543" spans="1:8" x14ac:dyDescent="0.25">
      <c r="A543">
        <v>1116</v>
      </c>
      <c r="B543">
        <v>3</v>
      </c>
      <c r="C543">
        <v>3</v>
      </c>
      <c r="D543">
        <v>10</v>
      </c>
      <c r="E543">
        <v>5</v>
      </c>
      <c r="F543">
        <v>2</v>
      </c>
      <c r="G543">
        <v>4</v>
      </c>
      <c r="H543">
        <v>460512</v>
      </c>
    </row>
    <row r="544" spans="1:8" x14ac:dyDescent="0.25">
      <c r="A544">
        <v>4381</v>
      </c>
      <c r="B544">
        <v>3</v>
      </c>
      <c r="C544">
        <v>3</v>
      </c>
      <c r="D544">
        <v>9</v>
      </c>
      <c r="E544">
        <v>20</v>
      </c>
      <c r="F544">
        <v>2</v>
      </c>
      <c r="G544">
        <v>5</v>
      </c>
      <c r="H544">
        <v>974730</v>
      </c>
    </row>
    <row r="545" spans="1:8" x14ac:dyDescent="0.25">
      <c r="A545">
        <v>2528</v>
      </c>
      <c r="B545">
        <v>3</v>
      </c>
      <c r="C545">
        <v>4</v>
      </c>
      <c r="D545">
        <v>37</v>
      </c>
      <c r="E545">
        <v>18</v>
      </c>
      <c r="F545">
        <v>2</v>
      </c>
      <c r="G545">
        <v>2</v>
      </c>
      <c r="H545">
        <v>508163</v>
      </c>
    </row>
    <row r="546" spans="1:8" x14ac:dyDescent="0.25">
      <c r="A546">
        <v>4588</v>
      </c>
      <c r="B546">
        <v>3</v>
      </c>
      <c r="C546">
        <v>2</v>
      </c>
      <c r="D546">
        <v>32</v>
      </c>
      <c r="E546">
        <v>25</v>
      </c>
      <c r="F546">
        <v>2</v>
      </c>
      <c r="G546">
        <v>6</v>
      </c>
      <c r="H546">
        <v>917057</v>
      </c>
    </row>
    <row r="547" spans="1:8" x14ac:dyDescent="0.25">
      <c r="A547">
        <v>455</v>
      </c>
      <c r="B547">
        <v>3</v>
      </c>
      <c r="C547">
        <v>4</v>
      </c>
      <c r="D547">
        <v>27</v>
      </c>
      <c r="E547">
        <v>32</v>
      </c>
      <c r="F547">
        <v>2</v>
      </c>
      <c r="G547">
        <v>1</v>
      </c>
      <c r="H547">
        <v>281006</v>
      </c>
    </row>
    <row r="548" spans="1:8" x14ac:dyDescent="0.25">
      <c r="A548">
        <v>764</v>
      </c>
      <c r="B548">
        <v>3</v>
      </c>
      <c r="C548">
        <v>2</v>
      </c>
      <c r="D548">
        <v>25</v>
      </c>
      <c r="E548">
        <v>2</v>
      </c>
      <c r="F548">
        <v>2</v>
      </c>
      <c r="G548">
        <v>6</v>
      </c>
      <c r="H548">
        <v>481028</v>
      </c>
    </row>
    <row r="549" spans="1:8" x14ac:dyDescent="0.25">
      <c r="A549">
        <v>3914</v>
      </c>
      <c r="B549">
        <v>3</v>
      </c>
      <c r="C549">
        <v>4</v>
      </c>
      <c r="D549">
        <v>25</v>
      </c>
      <c r="E549">
        <v>16</v>
      </c>
      <c r="F549">
        <v>2</v>
      </c>
      <c r="G549">
        <v>8</v>
      </c>
      <c r="H549">
        <v>893444</v>
      </c>
    </row>
    <row r="550" spans="1:8" x14ac:dyDescent="0.25">
      <c r="A550">
        <v>4570</v>
      </c>
      <c r="B550">
        <v>3</v>
      </c>
      <c r="C550">
        <v>2</v>
      </c>
      <c r="D550">
        <v>20</v>
      </c>
      <c r="E550">
        <v>32</v>
      </c>
      <c r="F550">
        <v>2</v>
      </c>
      <c r="G550">
        <v>5</v>
      </c>
      <c r="H550">
        <v>1054993</v>
      </c>
    </row>
    <row r="551" spans="1:8" x14ac:dyDescent="0.25">
      <c r="A551">
        <v>4627</v>
      </c>
      <c r="B551">
        <v>3</v>
      </c>
      <c r="C551">
        <v>4</v>
      </c>
      <c r="D551">
        <v>9</v>
      </c>
      <c r="E551">
        <v>26</v>
      </c>
      <c r="F551">
        <v>2</v>
      </c>
      <c r="G551">
        <v>6</v>
      </c>
      <c r="H551">
        <v>1029074</v>
      </c>
    </row>
    <row r="552" spans="1:8" x14ac:dyDescent="0.25">
      <c r="A552">
        <v>2536</v>
      </c>
      <c r="B552">
        <v>3</v>
      </c>
      <c r="C552">
        <v>2</v>
      </c>
      <c r="D552">
        <v>26</v>
      </c>
      <c r="E552">
        <v>15</v>
      </c>
      <c r="F552">
        <v>2</v>
      </c>
      <c r="G552">
        <v>9</v>
      </c>
      <c r="H552">
        <v>745009</v>
      </c>
    </row>
    <row r="553" spans="1:8" x14ac:dyDescent="0.25">
      <c r="A553">
        <v>2843</v>
      </c>
      <c r="B553">
        <v>3</v>
      </c>
      <c r="C553">
        <v>4</v>
      </c>
      <c r="D553">
        <v>14</v>
      </c>
      <c r="E553">
        <v>26</v>
      </c>
      <c r="F553">
        <v>2</v>
      </c>
      <c r="G553">
        <v>2</v>
      </c>
      <c r="H553">
        <v>653017</v>
      </c>
    </row>
    <row r="554" spans="1:8" x14ac:dyDescent="0.25">
      <c r="A554">
        <v>526</v>
      </c>
      <c r="B554">
        <v>3</v>
      </c>
      <c r="C554">
        <v>1</v>
      </c>
      <c r="D554">
        <v>3</v>
      </c>
      <c r="E554">
        <v>4</v>
      </c>
      <c r="F554">
        <v>2</v>
      </c>
      <c r="G554">
        <v>7</v>
      </c>
      <c r="H554">
        <v>469816</v>
      </c>
    </row>
    <row r="555" spans="1:8" x14ac:dyDescent="0.25">
      <c r="A555">
        <v>4546</v>
      </c>
      <c r="B555">
        <v>3</v>
      </c>
      <c r="C555">
        <v>1</v>
      </c>
      <c r="D555">
        <v>4</v>
      </c>
      <c r="E555">
        <v>29</v>
      </c>
      <c r="F555">
        <v>2</v>
      </c>
      <c r="G555">
        <v>2</v>
      </c>
      <c r="H555">
        <v>748577</v>
      </c>
    </row>
    <row r="556" spans="1:8" x14ac:dyDescent="0.25">
      <c r="A556">
        <v>3430</v>
      </c>
      <c r="B556">
        <v>3</v>
      </c>
      <c r="C556">
        <v>4</v>
      </c>
      <c r="D556">
        <v>2</v>
      </c>
      <c r="E556">
        <v>16</v>
      </c>
      <c r="F556">
        <v>2</v>
      </c>
      <c r="G556">
        <v>4</v>
      </c>
      <c r="H556">
        <v>754512</v>
      </c>
    </row>
    <row r="557" spans="1:8" x14ac:dyDescent="0.25">
      <c r="A557">
        <v>4643</v>
      </c>
      <c r="B557">
        <v>3</v>
      </c>
      <c r="C557">
        <v>1</v>
      </c>
      <c r="D557">
        <v>16</v>
      </c>
      <c r="E557">
        <v>16</v>
      </c>
      <c r="F557">
        <v>2</v>
      </c>
      <c r="G557">
        <v>10</v>
      </c>
      <c r="H557">
        <v>1175302</v>
      </c>
    </row>
    <row r="558" spans="1:8" x14ac:dyDescent="0.25">
      <c r="A558">
        <v>1168</v>
      </c>
      <c r="B558">
        <v>3</v>
      </c>
      <c r="C558">
        <v>2</v>
      </c>
      <c r="D558">
        <v>8</v>
      </c>
      <c r="E558">
        <v>29</v>
      </c>
      <c r="F558">
        <v>2</v>
      </c>
      <c r="G558">
        <v>9</v>
      </c>
      <c r="H558">
        <v>744408</v>
      </c>
    </row>
    <row r="559" spans="1:8" x14ac:dyDescent="0.25">
      <c r="A559">
        <v>3479</v>
      </c>
      <c r="B559">
        <v>3</v>
      </c>
      <c r="C559">
        <v>3</v>
      </c>
      <c r="D559">
        <v>31</v>
      </c>
      <c r="E559">
        <v>11</v>
      </c>
      <c r="F559">
        <v>2</v>
      </c>
      <c r="G559">
        <v>6</v>
      </c>
      <c r="H559">
        <v>796511</v>
      </c>
    </row>
    <row r="560" spans="1:8" x14ac:dyDescent="0.25">
      <c r="A560">
        <v>4677</v>
      </c>
      <c r="B560">
        <v>3</v>
      </c>
      <c r="C560">
        <v>1</v>
      </c>
      <c r="D560">
        <v>18</v>
      </c>
      <c r="E560">
        <v>11</v>
      </c>
      <c r="F560">
        <v>2</v>
      </c>
      <c r="G560">
        <v>7</v>
      </c>
      <c r="H560">
        <v>901475</v>
      </c>
    </row>
    <row r="561" spans="1:8" x14ac:dyDescent="0.25">
      <c r="A561">
        <v>1343</v>
      </c>
      <c r="B561">
        <v>3</v>
      </c>
      <c r="C561">
        <v>3</v>
      </c>
      <c r="D561">
        <v>4</v>
      </c>
      <c r="E561">
        <v>4</v>
      </c>
      <c r="F561">
        <v>2</v>
      </c>
      <c r="G561">
        <v>8</v>
      </c>
      <c r="H561">
        <v>693054</v>
      </c>
    </row>
    <row r="562" spans="1:8" x14ac:dyDescent="0.25">
      <c r="A562">
        <v>866</v>
      </c>
      <c r="B562">
        <v>5</v>
      </c>
      <c r="C562">
        <v>2</v>
      </c>
      <c r="D562">
        <v>20</v>
      </c>
      <c r="E562">
        <v>8</v>
      </c>
      <c r="F562">
        <v>2</v>
      </c>
      <c r="G562">
        <v>7</v>
      </c>
      <c r="H562">
        <v>680144</v>
      </c>
    </row>
    <row r="563" spans="1:8" x14ac:dyDescent="0.25">
      <c r="A563">
        <v>530</v>
      </c>
      <c r="B563">
        <v>5</v>
      </c>
      <c r="C563">
        <v>2</v>
      </c>
      <c r="D563">
        <v>16</v>
      </c>
      <c r="E563">
        <v>11</v>
      </c>
      <c r="F563">
        <v>2</v>
      </c>
      <c r="G563">
        <v>8</v>
      </c>
      <c r="H563">
        <v>705401</v>
      </c>
    </row>
    <row r="564" spans="1:8" x14ac:dyDescent="0.25">
      <c r="A564">
        <v>3304</v>
      </c>
      <c r="B564">
        <v>5</v>
      </c>
      <c r="C564">
        <v>2</v>
      </c>
      <c r="D564">
        <v>26</v>
      </c>
      <c r="E564">
        <v>9</v>
      </c>
      <c r="F564">
        <v>2</v>
      </c>
      <c r="G564">
        <v>2</v>
      </c>
      <c r="H564">
        <v>749123</v>
      </c>
    </row>
    <row r="565" spans="1:8" x14ac:dyDescent="0.25">
      <c r="A565">
        <v>3012</v>
      </c>
      <c r="B565">
        <v>5</v>
      </c>
      <c r="C565">
        <v>4</v>
      </c>
      <c r="D565">
        <v>19</v>
      </c>
      <c r="E565">
        <v>35</v>
      </c>
      <c r="F565">
        <v>2</v>
      </c>
      <c r="G565">
        <v>10</v>
      </c>
      <c r="H565">
        <v>1031748</v>
      </c>
    </row>
    <row r="566" spans="1:8" x14ac:dyDescent="0.25">
      <c r="A566">
        <v>4198</v>
      </c>
      <c r="B566">
        <v>5</v>
      </c>
      <c r="C566">
        <v>1</v>
      </c>
      <c r="D566">
        <v>1</v>
      </c>
      <c r="E566">
        <v>21</v>
      </c>
      <c r="F566">
        <v>2</v>
      </c>
      <c r="G566">
        <v>3</v>
      </c>
      <c r="H566">
        <v>888769</v>
      </c>
    </row>
    <row r="567" spans="1:8" x14ac:dyDescent="0.25">
      <c r="A567">
        <v>1278</v>
      </c>
      <c r="B567">
        <v>5</v>
      </c>
      <c r="C567">
        <v>1</v>
      </c>
      <c r="D567">
        <v>29</v>
      </c>
      <c r="E567">
        <v>15</v>
      </c>
      <c r="F567">
        <v>2</v>
      </c>
      <c r="G567">
        <v>9</v>
      </c>
      <c r="H567">
        <v>732573</v>
      </c>
    </row>
    <row r="568" spans="1:8" x14ac:dyDescent="0.25">
      <c r="A568">
        <v>2678</v>
      </c>
      <c r="B568">
        <v>5</v>
      </c>
      <c r="C568">
        <v>4</v>
      </c>
      <c r="D568">
        <v>33</v>
      </c>
      <c r="E568">
        <v>5</v>
      </c>
      <c r="F568">
        <v>2</v>
      </c>
      <c r="G568">
        <v>1</v>
      </c>
      <c r="H568">
        <v>715006</v>
      </c>
    </row>
    <row r="569" spans="1:8" x14ac:dyDescent="0.25">
      <c r="A569">
        <v>3131</v>
      </c>
      <c r="B569">
        <v>5</v>
      </c>
      <c r="C569">
        <v>1</v>
      </c>
      <c r="D569">
        <v>20</v>
      </c>
      <c r="E569">
        <v>13</v>
      </c>
      <c r="F569">
        <v>2</v>
      </c>
      <c r="G569">
        <v>4</v>
      </c>
      <c r="H569">
        <v>722977</v>
      </c>
    </row>
    <row r="570" spans="1:8" x14ac:dyDescent="0.25">
      <c r="A570">
        <v>2078</v>
      </c>
      <c r="B570">
        <v>5</v>
      </c>
      <c r="C570">
        <v>3</v>
      </c>
      <c r="D570">
        <v>11</v>
      </c>
      <c r="E570">
        <v>3</v>
      </c>
      <c r="F570">
        <v>2</v>
      </c>
      <c r="G570">
        <v>2</v>
      </c>
      <c r="H570">
        <v>728327</v>
      </c>
    </row>
    <row r="571" spans="1:8" x14ac:dyDescent="0.25">
      <c r="A571">
        <v>3025</v>
      </c>
      <c r="B571">
        <v>5</v>
      </c>
      <c r="C571">
        <v>1</v>
      </c>
      <c r="D571">
        <v>26</v>
      </c>
      <c r="E571">
        <v>18</v>
      </c>
      <c r="F571">
        <v>2</v>
      </c>
      <c r="G571">
        <v>8</v>
      </c>
      <c r="H571">
        <v>912687</v>
      </c>
    </row>
    <row r="572" spans="1:8" x14ac:dyDescent="0.25">
      <c r="A572">
        <v>1691</v>
      </c>
      <c r="B572">
        <v>5</v>
      </c>
      <c r="C572">
        <v>1</v>
      </c>
      <c r="D572">
        <v>25</v>
      </c>
      <c r="E572">
        <v>18</v>
      </c>
      <c r="F572">
        <v>2</v>
      </c>
      <c r="G572">
        <v>2</v>
      </c>
      <c r="H572">
        <v>369987</v>
      </c>
    </row>
    <row r="573" spans="1:8" x14ac:dyDescent="0.25">
      <c r="A573">
        <v>3910</v>
      </c>
      <c r="B573">
        <v>5</v>
      </c>
      <c r="C573">
        <v>1</v>
      </c>
      <c r="D573">
        <v>12</v>
      </c>
      <c r="E573">
        <v>31</v>
      </c>
      <c r="F573">
        <v>2</v>
      </c>
      <c r="G573">
        <v>9</v>
      </c>
      <c r="H573">
        <v>1013188</v>
      </c>
    </row>
    <row r="574" spans="1:8" x14ac:dyDescent="0.25">
      <c r="A574">
        <v>2243</v>
      </c>
      <c r="B574">
        <v>5</v>
      </c>
      <c r="C574">
        <v>1</v>
      </c>
      <c r="D574">
        <v>17</v>
      </c>
      <c r="E574">
        <v>25</v>
      </c>
      <c r="F574">
        <v>2</v>
      </c>
      <c r="G574">
        <v>1</v>
      </c>
      <c r="H574">
        <v>563807</v>
      </c>
    </row>
    <row r="575" spans="1:8" x14ac:dyDescent="0.25">
      <c r="A575">
        <v>1416</v>
      </c>
      <c r="B575">
        <v>5</v>
      </c>
      <c r="C575">
        <v>4</v>
      </c>
      <c r="D575">
        <v>28</v>
      </c>
      <c r="E575">
        <v>31</v>
      </c>
      <c r="F575">
        <v>2</v>
      </c>
      <c r="G575">
        <v>7</v>
      </c>
      <c r="H575">
        <v>739893</v>
      </c>
    </row>
    <row r="576" spans="1:8" x14ac:dyDescent="0.25">
      <c r="A576">
        <v>3361</v>
      </c>
      <c r="B576">
        <v>5</v>
      </c>
      <c r="C576">
        <v>3</v>
      </c>
      <c r="D576">
        <v>20</v>
      </c>
      <c r="E576">
        <v>14</v>
      </c>
      <c r="F576">
        <v>2</v>
      </c>
      <c r="G576">
        <v>8</v>
      </c>
      <c r="H576">
        <v>967150</v>
      </c>
    </row>
    <row r="577" spans="1:8" x14ac:dyDescent="0.25">
      <c r="A577">
        <v>4955</v>
      </c>
      <c r="B577">
        <v>5</v>
      </c>
      <c r="C577">
        <v>3</v>
      </c>
      <c r="D577">
        <v>37</v>
      </c>
      <c r="E577">
        <v>8</v>
      </c>
      <c r="F577">
        <v>2</v>
      </c>
      <c r="G577">
        <v>2</v>
      </c>
      <c r="H577">
        <v>1012210</v>
      </c>
    </row>
    <row r="578" spans="1:8" x14ac:dyDescent="0.25">
      <c r="A578">
        <v>2773</v>
      </c>
      <c r="B578">
        <v>5</v>
      </c>
      <c r="C578">
        <v>2</v>
      </c>
      <c r="D578">
        <v>14</v>
      </c>
      <c r="E578">
        <v>20</v>
      </c>
      <c r="F578">
        <v>2</v>
      </c>
      <c r="G578">
        <v>4</v>
      </c>
      <c r="H578">
        <v>535707</v>
      </c>
    </row>
    <row r="579" spans="1:8" x14ac:dyDescent="0.25">
      <c r="A579">
        <v>3844</v>
      </c>
      <c r="B579">
        <v>5</v>
      </c>
      <c r="C579">
        <v>1</v>
      </c>
      <c r="D579">
        <v>36</v>
      </c>
      <c r="E579">
        <v>18</v>
      </c>
      <c r="F579">
        <v>2</v>
      </c>
      <c r="G579">
        <v>4</v>
      </c>
      <c r="H579">
        <v>782005</v>
      </c>
    </row>
    <row r="580" spans="1:8" x14ac:dyDescent="0.25">
      <c r="A580">
        <v>4895</v>
      </c>
      <c r="B580">
        <v>5</v>
      </c>
      <c r="C580">
        <v>1</v>
      </c>
      <c r="D580">
        <v>31</v>
      </c>
      <c r="E580">
        <v>16</v>
      </c>
      <c r="F580">
        <v>2</v>
      </c>
      <c r="G580">
        <v>8</v>
      </c>
      <c r="H580">
        <v>1091806</v>
      </c>
    </row>
    <row r="581" spans="1:8" x14ac:dyDescent="0.25">
      <c r="A581">
        <v>4136</v>
      </c>
      <c r="B581">
        <v>5</v>
      </c>
      <c r="C581">
        <v>3</v>
      </c>
      <c r="D581">
        <v>22</v>
      </c>
      <c r="E581">
        <v>26</v>
      </c>
      <c r="F581">
        <v>2</v>
      </c>
      <c r="G581">
        <v>9</v>
      </c>
      <c r="H581">
        <v>1131674</v>
      </c>
    </row>
    <row r="582" spans="1:8" x14ac:dyDescent="0.25">
      <c r="A582">
        <v>4169</v>
      </c>
      <c r="B582">
        <v>5</v>
      </c>
      <c r="C582">
        <v>2</v>
      </c>
      <c r="D582">
        <v>2</v>
      </c>
      <c r="E582">
        <v>21</v>
      </c>
      <c r="F582">
        <v>2</v>
      </c>
      <c r="G582">
        <v>6</v>
      </c>
      <c r="H582">
        <v>918529</v>
      </c>
    </row>
    <row r="583" spans="1:8" x14ac:dyDescent="0.25">
      <c r="A583">
        <v>519</v>
      </c>
      <c r="B583">
        <v>5</v>
      </c>
      <c r="C583">
        <v>1</v>
      </c>
      <c r="D583">
        <v>39</v>
      </c>
      <c r="E583">
        <v>13</v>
      </c>
      <c r="F583">
        <v>2</v>
      </c>
      <c r="G583">
        <v>6</v>
      </c>
      <c r="H583">
        <v>489020</v>
      </c>
    </row>
    <row r="584" spans="1:8" x14ac:dyDescent="0.25">
      <c r="A584">
        <v>516</v>
      </c>
      <c r="B584">
        <v>5</v>
      </c>
      <c r="C584">
        <v>1</v>
      </c>
      <c r="D584">
        <v>38</v>
      </c>
      <c r="E584">
        <v>25</v>
      </c>
      <c r="F584">
        <v>2</v>
      </c>
      <c r="G584">
        <v>2</v>
      </c>
      <c r="H584">
        <v>274286</v>
      </c>
    </row>
    <row r="585" spans="1:8" x14ac:dyDescent="0.25">
      <c r="A585">
        <v>1968</v>
      </c>
      <c r="B585">
        <v>5</v>
      </c>
      <c r="C585">
        <v>1</v>
      </c>
      <c r="D585">
        <v>12</v>
      </c>
      <c r="E585">
        <v>31</v>
      </c>
      <c r="F585">
        <v>2</v>
      </c>
      <c r="G585">
        <v>8</v>
      </c>
      <c r="H585">
        <v>733989</v>
      </c>
    </row>
    <row r="586" spans="1:8" x14ac:dyDescent="0.25">
      <c r="A586">
        <v>3208</v>
      </c>
      <c r="B586">
        <v>5</v>
      </c>
      <c r="C586">
        <v>4</v>
      </c>
      <c r="D586">
        <v>14</v>
      </c>
      <c r="E586">
        <v>3</v>
      </c>
      <c r="F586">
        <v>2</v>
      </c>
      <c r="G586">
        <v>9</v>
      </c>
      <c r="H586">
        <v>1035076</v>
      </c>
    </row>
    <row r="587" spans="1:8" x14ac:dyDescent="0.25">
      <c r="A587">
        <v>795</v>
      </c>
      <c r="B587">
        <v>5</v>
      </c>
      <c r="C587">
        <v>2</v>
      </c>
      <c r="D587">
        <v>2</v>
      </c>
      <c r="E587">
        <v>13</v>
      </c>
      <c r="F587">
        <v>2</v>
      </c>
      <c r="G587">
        <v>2</v>
      </c>
      <c r="H587">
        <v>470380</v>
      </c>
    </row>
    <row r="588" spans="1:8" x14ac:dyDescent="0.25">
      <c r="A588">
        <v>4730</v>
      </c>
      <c r="B588">
        <v>5</v>
      </c>
      <c r="C588">
        <v>1</v>
      </c>
      <c r="D588">
        <v>7</v>
      </c>
      <c r="E588">
        <v>26</v>
      </c>
      <c r="F588">
        <v>2</v>
      </c>
      <c r="G588">
        <v>3</v>
      </c>
      <c r="H588">
        <v>985559</v>
      </c>
    </row>
    <row r="589" spans="1:8" x14ac:dyDescent="0.25">
      <c r="A589">
        <v>3724</v>
      </c>
      <c r="B589">
        <v>5</v>
      </c>
      <c r="C589">
        <v>2</v>
      </c>
      <c r="D589">
        <v>26</v>
      </c>
      <c r="E589">
        <v>18</v>
      </c>
      <c r="F589">
        <v>2</v>
      </c>
      <c r="G589">
        <v>6</v>
      </c>
      <c r="H589">
        <v>964246</v>
      </c>
    </row>
    <row r="590" spans="1:8" x14ac:dyDescent="0.25">
      <c r="A590">
        <v>1617</v>
      </c>
      <c r="B590">
        <v>5</v>
      </c>
      <c r="C590">
        <v>2</v>
      </c>
      <c r="D590">
        <v>29</v>
      </c>
      <c r="E590">
        <v>24</v>
      </c>
      <c r="F590">
        <v>2</v>
      </c>
      <c r="G590">
        <v>6</v>
      </c>
      <c r="H590">
        <v>629989</v>
      </c>
    </row>
    <row r="591" spans="1:8" x14ac:dyDescent="0.25">
      <c r="A591">
        <v>4002</v>
      </c>
      <c r="B591">
        <v>5</v>
      </c>
      <c r="C591">
        <v>1</v>
      </c>
      <c r="D591">
        <v>29</v>
      </c>
      <c r="E591">
        <v>9</v>
      </c>
      <c r="F591">
        <v>2</v>
      </c>
      <c r="G591">
        <v>5</v>
      </c>
      <c r="H591">
        <v>884719</v>
      </c>
    </row>
    <row r="592" spans="1:8" x14ac:dyDescent="0.25">
      <c r="A592">
        <v>870</v>
      </c>
      <c r="B592">
        <v>5</v>
      </c>
      <c r="C592">
        <v>3</v>
      </c>
      <c r="D592">
        <v>14</v>
      </c>
      <c r="E592">
        <v>8</v>
      </c>
      <c r="F592">
        <v>2</v>
      </c>
      <c r="G592">
        <v>2</v>
      </c>
      <c r="H592">
        <v>492278</v>
      </c>
    </row>
    <row r="593" spans="1:8" x14ac:dyDescent="0.25">
      <c r="A593">
        <v>3183</v>
      </c>
      <c r="B593">
        <v>5</v>
      </c>
      <c r="C593">
        <v>2</v>
      </c>
      <c r="D593">
        <v>18</v>
      </c>
      <c r="E593">
        <v>8</v>
      </c>
      <c r="F593">
        <v>2</v>
      </c>
      <c r="G593">
        <v>4</v>
      </c>
      <c r="H593">
        <v>778559</v>
      </c>
    </row>
    <row r="594" spans="1:8" x14ac:dyDescent="0.25">
      <c r="A594">
        <v>2773</v>
      </c>
      <c r="B594">
        <v>5</v>
      </c>
      <c r="C594">
        <v>3</v>
      </c>
      <c r="D594">
        <v>28</v>
      </c>
      <c r="E594">
        <v>6</v>
      </c>
      <c r="F594">
        <v>2</v>
      </c>
      <c r="G594">
        <v>8</v>
      </c>
      <c r="H594">
        <v>1048072</v>
      </c>
    </row>
    <row r="595" spans="1:8" x14ac:dyDescent="0.25">
      <c r="A595">
        <v>4175</v>
      </c>
      <c r="B595">
        <v>5</v>
      </c>
      <c r="C595">
        <v>1</v>
      </c>
      <c r="D595">
        <v>20</v>
      </c>
      <c r="E595">
        <v>4</v>
      </c>
      <c r="F595">
        <v>2</v>
      </c>
      <c r="G595">
        <v>4</v>
      </c>
      <c r="H595">
        <v>883291</v>
      </c>
    </row>
    <row r="596" spans="1:8" x14ac:dyDescent="0.25">
      <c r="A596">
        <v>655</v>
      </c>
      <c r="B596">
        <v>5</v>
      </c>
      <c r="C596">
        <v>3</v>
      </c>
      <c r="D596">
        <v>3</v>
      </c>
      <c r="E596">
        <v>11</v>
      </c>
      <c r="F596">
        <v>2</v>
      </c>
      <c r="G596">
        <v>4</v>
      </c>
      <c r="H596">
        <v>481888</v>
      </c>
    </row>
    <row r="597" spans="1:8" x14ac:dyDescent="0.25">
      <c r="A597">
        <v>2238</v>
      </c>
      <c r="B597">
        <v>5</v>
      </c>
      <c r="C597">
        <v>2</v>
      </c>
      <c r="D597">
        <v>24</v>
      </c>
      <c r="E597">
        <v>1</v>
      </c>
      <c r="F597">
        <v>2</v>
      </c>
      <c r="G597">
        <v>5</v>
      </c>
      <c r="H597">
        <v>803115</v>
      </c>
    </row>
    <row r="598" spans="1:8" x14ac:dyDescent="0.25">
      <c r="A598">
        <v>1197</v>
      </c>
      <c r="B598">
        <v>5</v>
      </c>
      <c r="C598">
        <v>3</v>
      </c>
      <c r="D598">
        <v>19</v>
      </c>
      <c r="E598">
        <v>34</v>
      </c>
      <c r="F598">
        <v>2</v>
      </c>
      <c r="G598">
        <v>2</v>
      </c>
      <c r="H598">
        <v>574335</v>
      </c>
    </row>
    <row r="599" spans="1:8" x14ac:dyDescent="0.25">
      <c r="A599">
        <v>2224</v>
      </c>
      <c r="B599">
        <v>5</v>
      </c>
      <c r="C599">
        <v>1</v>
      </c>
      <c r="D599">
        <v>18</v>
      </c>
      <c r="E599">
        <v>25</v>
      </c>
      <c r="F599">
        <v>2</v>
      </c>
      <c r="G599">
        <v>9</v>
      </c>
      <c r="H599">
        <v>797147</v>
      </c>
    </row>
    <row r="600" spans="1:8" x14ac:dyDescent="0.25">
      <c r="A600">
        <v>4942</v>
      </c>
      <c r="B600">
        <v>5</v>
      </c>
      <c r="C600">
        <v>2</v>
      </c>
      <c r="D600">
        <v>16</v>
      </c>
      <c r="E600">
        <v>12</v>
      </c>
      <c r="F600">
        <v>2</v>
      </c>
      <c r="G600">
        <v>5</v>
      </c>
      <c r="H600">
        <v>1032220</v>
      </c>
    </row>
    <row r="601" spans="1:8" x14ac:dyDescent="0.25">
      <c r="A601">
        <v>4661</v>
      </c>
      <c r="B601">
        <v>5</v>
      </c>
      <c r="C601">
        <v>4</v>
      </c>
      <c r="D601">
        <v>34</v>
      </c>
      <c r="E601">
        <v>35</v>
      </c>
      <c r="F601">
        <v>2</v>
      </c>
      <c r="G601">
        <v>7</v>
      </c>
      <c r="H601">
        <v>1087600</v>
      </c>
    </row>
    <row r="602" spans="1:8" x14ac:dyDescent="0.25">
      <c r="A602">
        <v>4564</v>
      </c>
      <c r="B602">
        <v>5</v>
      </c>
      <c r="C602">
        <v>4</v>
      </c>
      <c r="D602">
        <v>25</v>
      </c>
      <c r="E602">
        <v>13</v>
      </c>
      <c r="F602">
        <v>2</v>
      </c>
      <c r="G602">
        <v>2</v>
      </c>
      <c r="H602">
        <v>945923</v>
      </c>
    </row>
    <row r="603" spans="1:8" x14ac:dyDescent="0.25">
      <c r="A603">
        <v>4855</v>
      </c>
      <c r="B603">
        <v>5</v>
      </c>
      <c r="C603">
        <v>2</v>
      </c>
      <c r="D603">
        <v>29</v>
      </c>
      <c r="E603">
        <v>28</v>
      </c>
      <c r="F603">
        <v>2</v>
      </c>
      <c r="G603">
        <v>5</v>
      </c>
      <c r="H603">
        <v>1088566</v>
      </c>
    </row>
    <row r="604" spans="1:8" x14ac:dyDescent="0.25">
      <c r="A604">
        <v>1071</v>
      </c>
      <c r="B604">
        <v>5</v>
      </c>
      <c r="C604">
        <v>4</v>
      </c>
      <c r="D604">
        <v>20</v>
      </c>
      <c r="E604">
        <v>33</v>
      </c>
      <c r="F604">
        <v>2</v>
      </c>
      <c r="G604">
        <v>5</v>
      </c>
      <c r="H604">
        <v>606210</v>
      </c>
    </row>
    <row r="605" spans="1:8" x14ac:dyDescent="0.25">
      <c r="A605">
        <v>923</v>
      </c>
      <c r="B605">
        <v>5</v>
      </c>
      <c r="C605">
        <v>3</v>
      </c>
      <c r="D605">
        <v>12</v>
      </c>
      <c r="E605">
        <v>27</v>
      </c>
      <c r="F605">
        <v>2</v>
      </c>
      <c r="G605">
        <v>4</v>
      </c>
      <c r="H605">
        <v>550049</v>
      </c>
    </row>
    <row r="606" spans="1:8" x14ac:dyDescent="0.25">
      <c r="A606">
        <v>2993</v>
      </c>
      <c r="B606">
        <v>5</v>
      </c>
      <c r="C606">
        <v>2</v>
      </c>
      <c r="D606">
        <v>8</v>
      </c>
      <c r="E606">
        <v>8</v>
      </c>
      <c r="F606">
        <v>2</v>
      </c>
      <c r="G606">
        <v>10</v>
      </c>
      <c r="H606">
        <v>1062921</v>
      </c>
    </row>
    <row r="607" spans="1:8" x14ac:dyDescent="0.25">
      <c r="A607">
        <v>1696</v>
      </c>
      <c r="B607">
        <v>5</v>
      </c>
      <c r="C607">
        <v>3</v>
      </c>
      <c r="D607">
        <v>6</v>
      </c>
      <c r="E607">
        <v>10</v>
      </c>
      <c r="F607">
        <v>2</v>
      </c>
      <c r="G607">
        <v>9</v>
      </c>
      <c r="H607">
        <v>825023</v>
      </c>
    </row>
    <row r="608" spans="1:8" x14ac:dyDescent="0.25">
      <c r="A608">
        <v>2375</v>
      </c>
      <c r="B608">
        <v>5</v>
      </c>
      <c r="C608">
        <v>3</v>
      </c>
      <c r="D608">
        <v>4</v>
      </c>
      <c r="E608">
        <v>24</v>
      </c>
      <c r="F608">
        <v>2</v>
      </c>
      <c r="G608">
        <v>6</v>
      </c>
      <c r="H608">
        <v>810247</v>
      </c>
    </row>
    <row r="609" spans="1:8" x14ac:dyDescent="0.25">
      <c r="A609">
        <v>2762</v>
      </c>
      <c r="B609">
        <v>5</v>
      </c>
      <c r="C609">
        <v>3</v>
      </c>
      <c r="D609">
        <v>19</v>
      </c>
      <c r="E609">
        <v>19</v>
      </c>
      <c r="F609">
        <v>2</v>
      </c>
      <c r="G609">
        <v>4</v>
      </c>
      <c r="H609">
        <v>748424</v>
      </c>
    </row>
    <row r="610" spans="1:8" x14ac:dyDescent="0.25">
      <c r="A610">
        <v>3917</v>
      </c>
      <c r="B610">
        <v>5</v>
      </c>
      <c r="C610">
        <v>2</v>
      </c>
      <c r="D610">
        <v>21</v>
      </c>
      <c r="E610">
        <v>33</v>
      </c>
      <c r="F610">
        <v>2</v>
      </c>
      <c r="G610">
        <v>5</v>
      </c>
      <c r="H610">
        <v>1085816</v>
      </c>
    </row>
    <row r="611" spans="1:8" x14ac:dyDescent="0.25">
      <c r="A611">
        <v>2797</v>
      </c>
      <c r="B611">
        <v>5</v>
      </c>
      <c r="C611">
        <v>3</v>
      </c>
      <c r="D611">
        <v>17</v>
      </c>
      <c r="E611">
        <v>16</v>
      </c>
      <c r="F611">
        <v>2</v>
      </c>
      <c r="G611">
        <v>2</v>
      </c>
      <c r="H611">
        <v>691120</v>
      </c>
    </row>
    <row r="612" spans="1:8" x14ac:dyDescent="0.25">
      <c r="A612">
        <v>2773</v>
      </c>
      <c r="B612">
        <v>5</v>
      </c>
      <c r="C612">
        <v>1</v>
      </c>
      <c r="D612">
        <v>29</v>
      </c>
      <c r="E612">
        <v>10</v>
      </c>
      <c r="F612">
        <v>2</v>
      </c>
      <c r="G612">
        <v>4</v>
      </c>
      <c r="H612">
        <v>781222</v>
      </c>
    </row>
    <row r="613" spans="1:8" x14ac:dyDescent="0.25">
      <c r="A613">
        <v>405</v>
      </c>
      <c r="B613">
        <v>5</v>
      </c>
      <c r="C613">
        <v>2</v>
      </c>
      <c r="D613">
        <v>7</v>
      </c>
      <c r="E613">
        <v>1</v>
      </c>
      <c r="F613">
        <v>2</v>
      </c>
      <c r="G613">
        <v>3</v>
      </c>
      <c r="H613">
        <v>476787</v>
      </c>
    </row>
    <row r="614" spans="1:8" x14ac:dyDescent="0.25">
      <c r="A614">
        <v>2951</v>
      </c>
      <c r="B614">
        <v>5</v>
      </c>
      <c r="C614">
        <v>4</v>
      </c>
      <c r="D614">
        <v>27</v>
      </c>
      <c r="E614">
        <v>4</v>
      </c>
      <c r="F614">
        <v>2</v>
      </c>
      <c r="G614">
        <v>5</v>
      </c>
      <c r="H614">
        <v>837717</v>
      </c>
    </row>
    <row r="615" spans="1:8" x14ac:dyDescent="0.25">
      <c r="A615">
        <v>3224</v>
      </c>
      <c r="B615">
        <v>5</v>
      </c>
      <c r="C615">
        <v>3</v>
      </c>
      <c r="D615">
        <v>29</v>
      </c>
      <c r="E615">
        <v>2</v>
      </c>
      <c r="F615">
        <v>2</v>
      </c>
      <c r="G615">
        <v>9</v>
      </c>
      <c r="H615">
        <v>930833</v>
      </c>
    </row>
    <row r="616" spans="1:8" x14ac:dyDescent="0.25">
      <c r="A616">
        <v>3358</v>
      </c>
      <c r="B616">
        <v>5</v>
      </c>
      <c r="C616">
        <v>2</v>
      </c>
      <c r="D616">
        <v>38</v>
      </c>
      <c r="E616">
        <v>18</v>
      </c>
      <c r="F616">
        <v>2</v>
      </c>
      <c r="G616">
        <v>9</v>
      </c>
      <c r="H616">
        <v>1000392</v>
      </c>
    </row>
    <row r="617" spans="1:8" x14ac:dyDescent="0.25">
      <c r="A617">
        <v>4043</v>
      </c>
      <c r="B617">
        <v>5</v>
      </c>
      <c r="C617">
        <v>2</v>
      </c>
      <c r="D617">
        <v>7</v>
      </c>
      <c r="E617">
        <v>31</v>
      </c>
      <c r="F617">
        <v>2</v>
      </c>
      <c r="G617">
        <v>5</v>
      </c>
      <c r="H617">
        <v>887393</v>
      </c>
    </row>
    <row r="618" spans="1:8" x14ac:dyDescent="0.25">
      <c r="A618">
        <v>4250</v>
      </c>
      <c r="B618">
        <v>5</v>
      </c>
      <c r="C618">
        <v>1</v>
      </c>
      <c r="D618">
        <v>26</v>
      </c>
      <c r="E618">
        <v>28</v>
      </c>
      <c r="F618">
        <v>2</v>
      </c>
      <c r="G618">
        <v>10</v>
      </c>
      <c r="H618">
        <v>1021435</v>
      </c>
    </row>
    <row r="619" spans="1:8" x14ac:dyDescent="0.25">
      <c r="A619">
        <v>1714</v>
      </c>
      <c r="B619">
        <v>5</v>
      </c>
      <c r="C619">
        <v>1</v>
      </c>
      <c r="D619">
        <v>26</v>
      </c>
      <c r="E619">
        <v>30</v>
      </c>
      <c r="F619">
        <v>2</v>
      </c>
      <c r="G619">
        <v>3</v>
      </c>
      <c r="H619">
        <v>644638</v>
      </c>
    </row>
    <row r="620" spans="1:8" x14ac:dyDescent="0.25">
      <c r="A620">
        <v>4998</v>
      </c>
      <c r="B620">
        <v>5</v>
      </c>
      <c r="C620">
        <v>3</v>
      </c>
      <c r="D620">
        <v>38</v>
      </c>
      <c r="E620">
        <v>24</v>
      </c>
      <c r="F620">
        <v>2</v>
      </c>
      <c r="G620">
        <v>4</v>
      </c>
      <c r="H620">
        <v>996011</v>
      </c>
    </row>
    <row r="621" spans="1:8" x14ac:dyDescent="0.25">
      <c r="A621">
        <v>1602</v>
      </c>
      <c r="B621">
        <v>5</v>
      </c>
      <c r="C621">
        <v>4</v>
      </c>
      <c r="D621">
        <v>3</v>
      </c>
      <c r="E621">
        <v>18</v>
      </c>
      <c r="F621">
        <v>2</v>
      </c>
      <c r="G621">
        <v>5</v>
      </c>
      <c r="H621">
        <v>807314</v>
      </c>
    </row>
    <row r="622" spans="1:8" x14ac:dyDescent="0.25">
      <c r="A622">
        <v>2643</v>
      </c>
      <c r="B622">
        <v>5</v>
      </c>
      <c r="C622">
        <v>2</v>
      </c>
      <c r="D622">
        <v>33</v>
      </c>
      <c r="E622">
        <v>24</v>
      </c>
      <c r="F622">
        <v>2</v>
      </c>
      <c r="G622">
        <v>5</v>
      </c>
      <c r="H622">
        <v>751806</v>
      </c>
    </row>
    <row r="623" spans="1:8" x14ac:dyDescent="0.25">
      <c r="A623">
        <v>4506</v>
      </c>
      <c r="B623">
        <v>5</v>
      </c>
      <c r="C623">
        <v>3</v>
      </c>
      <c r="D623">
        <v>19</v>
      </c>
      <c r="E623">
        <v>8</v>
      </c>
      <c r="F623">
        <v>2</v>
      </c>
      <c r="G623">
        <v>7</v>
      </c>
      <c r="H623">
        <v>1115506</v>
      </c>
    </row>
    <row r="624" spans="1:8" x14ac:dyDescent="0.25">
      <c r="A624">
        <v>1384</v>
      </c>
      <c r="B624">
        <v>5</v>
      </c>
      <c r="C624">
        <v>3</v>
      </c>
      <c r="D624">
        <v>23</v>
      </c>
      <c r="E624">
        <v>10</v>
      </c>
      <c r="F624">
        <v>2</v>
      </c>
      <c r="G624">
        <v>2</v>
      </c>
      <c r="H624">
        <v>523071</v>
      </c>
    </row>
    <row r="625" spans="1:8" x14ac:dyDescent="0.25">
      <c r="A625">
        <v>3335</v>
      </c>
      <c r="B625">
        <v>5</v>
      </c>
      <c r="C625">
        <v>3</v>
      </c>
      <c r="D625">
        <v>23</v>
      </c>
      <c r="E625">
        <v>18</v>
      </c>
      <c r="F625">
        <v>2</v>
      </c>
      <c r="G625">
        <v>9</v>
      </c>
      <c r="H625">
        <v>1027488</v>
      </c>
    </row>
    <row r="626" spans="1:8" x14ac:dyDescent="0.25">
      <c r="A626">
        <v>817</v>
      </c>
      <c r="B626">
        <v>5</v>
      </c>
      <c r="C626">
        <v>1</v>
      </c>
      <c r="D626">
        <v>21</v>
      </c>
      <c r="E626">
        <v>25</v>
      </c>
      <c r="F626">
        <v>2</v>
      </c>
      <c r="G626">
        <v>9</v>
      </c>
      <c r="H626">
        <v>600120</v>
      </c>
    </row>
    <row r="627" spans="1:8" x14ac:dyDescent="0.25">
      <c r="A627">
        <v>3832</v>
      </c>
      <c r="B627">
        <v>5</v>
      </c>
      <c r="C627">
        <v>4</v>
      </c>
      <c r="D627">
        <v>9</v>
      </c>
      <c r="E627">
        <v>35</v>
      </c>
      <c r="F627">
        <v>2</v>
      </c>
      <c r="G627">
        <v>6</v>
      </c>
      <c r="H627">
        <v>968711</v>
      </c>
    </row>
    <row r="628" spans="1:8" x14ac:dyDescent="0.25">
      <c r="A628">
        <v>3895</v>
      </c>
      <c r="B628">
        <v>5</v>
      </c>
      <c r="C628">
        <v>3</v>
      </c>
      <c r="D628">
        <v>33</v>
      </c>
      <c r="E628">
        <v>3</v>
      </c>
      <c r="F628">
        <v>2</v>
      </c>
      <c r="G628">
        <v>5</v>
      </c>
      <c r="H628">
        <v>919464</v>
      </c>
    </row>
    <row r="629" spans="1:8" x14ac:dyDescent="0.25">
      <c r="A629">
        <v>2301</v>
      </c>
      <c r="B629">
        <v>5</v>
      </c>
      <c r="C629">
        <v>1</v>
      </c>
      <c r="D629">
        <v>16</v>
      </c>
      <c r="E629">
        <v>15</v>
      </c>
      <c r="F629">
        <v>2</v>
      </c>
      <c r="G629">
        <v>9</v>
      </c>
      <c r="H629">
        <v>814728</v>
      </c>
    </row>
    <row r="630" spans="1:8" x14ac:dyDescent="0.25">
      <c r="A630">
        <v>3454</v>
      </c>
      <c r="B630">
        <v>5</v>
      </c>
      <c r="C630">
        <v>4</v>
      </c>
      <c r="D630">
        <v>33</v>
      </c>
      <c r="E630">
        <v>26</v>
      </c>
      <c r="F630">
        <v>2</v>
      </c>
      <c r="G630">
        <v>6</v>
      </c>
      <c r="H630">
        <v>902947</v>
      </c>
    </row>
    <row r="631" spans="1:8" x14ac:dyDescent="0.25">
      <c r="A631">
        <v>564</v>
      </c>
      <c r="B631">
        <v>5</v>
      </c>
      <c r="C631">
        <v>4</v>
      </c>
      <c r="D631">
        <v>39</v>
      </c>
      <c r="E631">
        <v>8</v>
      </c>
      <c r="F631">
        <v>2</v>
      </c>
      <c r="G631">
        <v>8</v>
      </c>
      <c r="H631">
        <v>638259</v>
      </c>
    </row>
    <row r="632" spans="1:8" x14ac:dyDescent="0.25">
      <c r="A632">
        <v>2598</v>
      </c>
      <c r="B632">
        <v>5</v>
      </c>
      <c r="C632">
        <v>3</v>
      </c>
      <c r="D632">
        <v>20</v>
      </c>
      <c r="E632">
        <v>2</v>
      </c>
      <c r="F632">
        <v>2</v>
      </c>
      <c r="G632">
        <v>4</v>
      </c>
      <c r="H632">
        <v>767882</v>
      </c>
    </row>
    <row r="633" spans="1:8" x14ac:dyDescent="0.25">
      <c r="A633">
        <v>2833</v>
      </c>
      <c r="B633">
        <v>2</v>
      </c>
      <c r="C633">
        <v>1</v>
      </c>
      <c r="D633">
        <v>12</v>
      </c>
      <c r="E633">
        <v>11</v>
      </c>
      <c r="F633">
        <v>2</v>
      </c>
      <c r="G633">
        <v>7</v>
      </c>
      <c r="H633">
        <v>640859</v>
      </c>
    </row>
    <row r="634" spans="1:8" x14ac:dyDescent="0.25">
      <c r="A634">
        <v>1928</v>
      </c>
      <c r="B634">
        <v>2</v>
      </c>
      <c r="C634">
        <v>1</v>
      </c>
      <c r="D634">
        <v>24</v>
      </c>
      <c r="E634">
        <v>3</v>
      </c>
      <c r="F634">
        <v>2</v>
      </c>
      <c r="G634">
        <v>2</v>
      </c>
      <c r="H634">
        <v>358140</v>
      </c>
    </row>
    <row r="635" spans="1:8" x14ac:dyDescent="0.25">
      <c r="A635">
        <v>1046</v>
      </c>
      <c r="B635">
        <v>2</v>
      </c>
      <c r="C635">
        <v>1</v>
      </c>
      <c r="D635">
        <v>25</v>
      </c>
      <c r="E635">
        <v>8</v>
      </c>
      <c r="F635">
        <v>2</v>
      </c>
      <c r="G635">
        <v>4</v>
      </c>
      <c r="H635">
        <v>319091</v>
      </c>
    </row>
    <row r="636" spans="1:8" x14ac:dyDescent="0.25">
      <c r="A636">
        <v>2441</v>
      </c>
      <c r="B636">
        <v>2</v>
      </c>
      <c r="C636">
        <v>4</v>
      </c>
      <c r="D636">
        <v>8</v>
      </c>
      <c r="E636">
        <v>28</v>
      </c>
      <c r="F636">
        <v>2</v>
      </c>
      <c r="G636">
        <v>6</v>
      </c>
      <c r="H636">
        <v>691606</v>
      </c>
    </row>
    <row r="637" spans="1:8" x14ac:dyDescent="0.25">
      <c r="A637">
        <v>1175</v>
      </c>
      <c r="B637">
        <v>2</v>
      </c>
      <c r="C637">
        <v>1</v>
      </c>
      <c r="D637">
        <v>18</v>
      </c>
      <c r="E637">
        <v>1</v>
      </c>
      <c r="F637">
        <v>2</v>
      </c>
      <c r="G637">
        <v>5</v>
      </c>
      <c r="H637">
        <v>441208</v>
      </c>
    </row>
    <row r="638" spans="1:8" x14ac:dyDescent="0.25">
      <c r="A638">
        <v>2462</v>
      </c>
      <c r="B638">
        <v>2</v>
      </c>
      <c r="C638">
        <v>1</v>
      </c>
      <c r="D638">
        <v>20</v>
      </c>
      <c r="E638">
        <v>23</v>
      </c>
      <c r="F638">
        <v>2</v>
      </c>
      <c r="G638">
        <v>2</v>
      </c>
      <c r="H638">
        <v>513083</v>
      </c>
    </row>
    <row r="639" spans="1:8" x14ac:dyDescent="0.25">
      <c r="A639">
        <v>4284</v>
      </c>
      <c r="B639">
        <v>2</v>
      </c>
      <c r="C639">
        <v>3</v>
      </c>
      <c r="D639">
        <v>4</v>
      </c>
      <c r="E639">
        <v>25</v>
      </c>
      <c r="F639">
        <v>2</v>
      </c>
      <c r="G639">
        <v>8</v>
      </c>
      <c r="H639">
        <v>868505</v>
      </c>
    </row>
    <row r="640" spans="1:8" x14ac:dyDescent="0.25">
      <c r="A640">
        <v>1970</v>
      </c>
      <c r="B640">
        <v>2</v>
      </c>
      <c r="C640">
        <v>4</v>
      </c>
      <c r="D640">
        <v>18</v>
      </c>
      <c r="E640">
        <v>22</v>
      </c>
      <c r="F640">
        <v>2</v>
      </c>
      <c r="G640">
        <v>7</v>
      </c>
      <c r="H640">
        <v>625572</v>
      </c>
    </row>
    <row r="641" spans="1:8" x14ac:dyDescent="0.25">
      <c r="A641">
        <v>4591</v>
      </c>
      <c r="B641">
        <v>2</v>
      </c>
      <c r="C641">
        <v>3</v>
      </c>
      <c r="D641">
        <v>3</v>
      </c>
      <c r="E641">
        <v>12</v>
      </c>
      <c r="F641">
        <v>2</v>
      </c>
      <c r="G641">
        <v>10</v>
      </c>
      <c r="H641">
        <v>1103337</v>
      </c>
    </row>
    <row r="642" spans="1:8" x14ac:dyDescent="0.25">
      <c r="A642">
        <v>1997</v>
      </c>
      <c r="B642">
        <v>2</v>
      </c>
      <c r="C642">
        <v>3</v>
      </c>
      <c r="D642">
        <v>7</v>
      </c>
      <c r="E642">
        <v>19</v>
      </c>
      <c r="F642">
        <v>2</v>
      </c>
      <c r="G642">
        <v>8</v>
      </c>
      <c r="H642">
        <v>784153</v>
      </c>
    </row>
    <row r="643" spans="1:8" x14ac:dyDescent="0.25">
      <c r="A643">
        <v>2107</v>
      </c>
      <c r="B643">
        <v>2</v>
      </c>
      <c r="C643">
        <v>4</v>
      </c>
      <c r="D643">
        <v>10</v>
      </c>
      <c r="E643">
        <v>2</v>
      </c>
      <c r="F643">
        <v>2</v>
      </c>
      <c r="G643">
        <v>6</v>
      </c>
      <c r="H643">
        <v>713109</v>
      </c>
    </row>
    <row r="644" spans="1:8" x14ac:dyDescent="0.25">
      <c r="A644">
        <v>597</v>
      </c>
      <c r="B644">
        <v>2</v>
      </c>
      <c r="C644">
        <v>2</v>
      </c>
      <c r="D644">
        <v>25</v>
      </c>
      <c r="E644">
        <v>28</v>
      </c>
      <c r="F644">
        <v>2</v>
      </c>
      <c r="G644">
        <v>2</v>
      </c>
      <c r="H644">
        <v>92105</v>
      </c>
    </row>
    <row r="645" spans="1:8" x14ac:dyDescent="0.25">
      <c r="A645">
        <v>3769</v>
      </c>
      <c r="B645">
        <v>2</v>
      </c>
      <c r="C645">
        <v>1</v>
      </c>
      <c r="D645">
        <v>14</v>
      </c>
      <c r="E645">
        <v>9</v>
      </c>
      <c r="F645">
        <v>2</v>
      </c>
      <c r="G645">
        <v>4</v>
      </c>
      <c r="H645">
        <v>703561</v>
      </c>
    </row>
    <row r="646" spans="1:8" x14ac:dyDescent="0.25">
      <c r="A646">
        <v>2096</v>
      </c>
      <c r="B646">
        <v>2</v>
      </c>
      <c r="C646">
        <v>4</v>
      </c>
      <c r="D646">
        <v>26</v>
      </c>
      <c r="E646">
        <v>18</v>
      </c>
      <c r="F646">
        <v>2</v>
      </c>
      <c r="G646">
        <v>6</v>
      </c>
      <c r="H646">
        <v>689577</v>
      </c>
    </row>
    <row r="647" spans="1:8" x14ac:dyDescent="0.25">
      <c r="A647">
        <v>2600</v>
      </c>
      <c r="B647">
        <v>2</v>
      </c>
      <c r="C647">
        <v>1</v>
      </c>
      <c r="D647">
        <v>11</v>
      </c>
      <c r="E647">
        <v>25</v>
      </c>
      <c r="F647">
        <v>2</v>
      </c>
      <c r="G647">
        <v>4</v>
      </c>
      <c r="H647">
        <v>480211</v>
      </c>
    </row>
    <row r="648" spans="1:8" x14ac:dyDescent="0.25">
      <c r="A648">
        <v>1700</v>
      </c>
      <c r="B648">
        <v>2</v>
      </c>
      <c r="C648">
        <v>1</v>
      </c>
      <c r="D648">
        <v>37</v>
      </c>
      <c r="E648">
        <v>15</v>
      </c>
      <c r="F648">
        <v>2</v>
      </c>
      <c r="G648">
        <v>7</v>
      </c>
      <c r="H648">
        <v>502775</v>
      </c>
    </row>
    <row r="649" spans="1:8" x14ac:dyDescent="0.25">
      <c r="A649">
        <v>2605</v>
      </c>
      <c r="B649">
        <v>2</v>
      </c>
      <c r="C649">
        <v>3</v>
      </c>
      <c r="D649">
        <v>36</v>
      </c>
      <c r="E649">
        <v>20</v>
      </c>
      <c r="F649">
        <v>2</v>
      </c>
      <c r="G649">
        <v>2</v>
      </c>
      <c r="H649">
        <v>495869</v>
      </c>
    </row>
    <row r="650" spans="1:8" x14ac:dyDescent="0.25">
      <c r="A650">
        <v>590</v>
      </c>
      <c r="B650">
        <v>2</v>
      </c>
      <c r="C650">
        <v>4</v>
      </c>
      <c r="D650">
        <v>26</v>
      </c>
      <c r="E650">
        <v>27</v>
      </c>
      <c r="F650">
        <v>2</v>
      </c>
      <c r="G650">
        <v>8</v>
      </c>
      <c r="H650">
        <v>437421</v>
      </c>
    </row>
    <row r="651" spans="1:8" x14ac:dyDescent="0.25">
      <c r="A651">
        <v>4546</v>
      </c>
      <c r="B651">
        <v>2</v>
      </c>
      <c r="C651">
        <v>2</v>
      </c>
      <c r="D651">
        <v>20</v>
      </c>
      <c r="E651">
        <v>3</v>
      </c>
      <c r="F651">
        <v>2</v>
      </c>
      <c r="G651">
        <v>5</v>
      </c>
      <c r="H651">
        <v>884138</v>
      </c>
    </row>
    <row r="652" spans="1:8" x14ac:dyDescent="0.25">
      <c r="A652">
        <v>3661</v>
      </c>
      <c r="B652">
        <v>2</v>
      </c>
      <c r="C652">
        <v>1</v>
      </c>
      <c r="D652">
        <v>31</v>
      </c>
      <c r="E652">
        <v>13</v>
      </c>
      <c r="F652">
        <v>2</v>
      </c>
      <c r="G652">
        <v>3</v>
      </c>
      <c r="H652">
        <v>755734</v>
      </c>
    </row>
    <row r="653" spans="1:8" x14ac:dyDescent="0.25">
      <c r="A653">
        <v>2115</v>
      </c>
      <c r="B653">
        <v>2</v>
      </c>
      <c r="C653">
        <v>2</v>
      </c>
      <c r="D653">
        <v>20</v>
      </c>
      <c r="E653">
        <v>2</v>
      </c>
      <c r="F653">
        <v>2</v>
      </c>
      <c r="G653">
        <v>2</v>
      </c>
      <c r="H653">
        <v>491695</v>
      </c>
    </row>
    <row r="654" spans="1:8" x14ac:dyDescent="0.25">
      <c r="A654">
        <v>1230</v>
      </c>
      <c r="B654">
        <v>2</v>
      </c>
      <c r="C654">
        <v>4</v>
      </c>
      <c r="D654">
        <v>21</v>
      </c>
      <c r="E654">
        <v>24</v>
      </c>
      <c r="F654">
        <v>2</v>
      </c>
      <c r="G654">
        <v>4</v>
      </c>
      <c r="H654">
        <v>383009</v>
      </c>
    </row>
    <row r="655" spans="1:8" x14ac:dyDescent="0.25">
      <c r="A655">
        <v>3359</v>
      </c>
      <c r="B655">
        <v>2</v>
      </c>
      <c r="C655">
        <v>3</v>
      </c>
      <c r="D655">
        <v>10</v>
      </c>
      <c r="E655">
        <v>34</v>
      </c>
      <c r="F655">
        <v>2</v>
      </c>
      <c r="G655">
        <v>6</v>
      </c>
      <c r="H655">
        <v>727308</v>
      </c>
    </row>
    <row r="656" spans="1:8" x14ac:dyDescent="0.25">
      <c r="A656">
        <v>4992</v>
      </c>
      <c r="B656">
        <v>2</v>
      </c>
      <c r="C656">
        <v>3</v>
      </c>
      <c r="D656">
        <v>16</v>
      </c>
      <c r="E656">
        <v>28</v>
      </c>
      <c r="F656">
        <v>2</v>
      </c>
      <c r="G656">
        <v>7</v>
      </c>
      <c r="H656">
        <v>1003029</v>
      </c>
    </row>
    <row r="657" spans="1:8" x14ac:dyDescent="0.25">
      <c r="A657">
        <v>3773</v>
      </c>
      <c r="B657">
        <v>2</v>
      </c>
      <c r="C657">
        <v>2</v>
      </c>
      <c r="D657">
        <v>20</v>
      </c>
      <c r="E657">
        <v>16</v>
      </c>
      <c r="F657">
        <v>2</v>
      </c>
      <c r="G657">
        <v>9</v>
      </c>
      <c r="H657">
        <v>1079101</v>
      </c>
    </row>
    <row r="658" spans="1:8" x14ac:dyDescent="0.25">
      <c r="A658">
        <v>514</v>
      </c>
      <c r="B658">
        <v>2</v>
      </c>
      <c r="C658">
        <v>4</v>
      </c>
      <c r="D658">
        <v>39</v>
      </c>
      <c r="E658">
        <v>1</v>
      </c>
      <c r="F658">
        <v>2</v>
      </c>
      <c r="G658">
        <v>5</v>
      </c>
      <c r="H658">
        <v>374621</v>
      </c>
    </row>
    <row r="659" spans="1:8" x14ac:dyDescent="0.25">
      <c r="A659">
        <v>2543</v>
      </c>
      <c r="B659">
        <v>2</v>
      </c>
      <c r="C659">
        <v>3</v>
      </c>
      <c r="D659">
        <v>34</v>
      </c>
      <c r="E659">
        <v>1</v>
      </c>
      <c r="F659">
        <v>2</v>
      </c>
      <c r="G659">
        <v>1</v>
      </c>
      <c r="H659">
        <v>434233</v>
      </c>
    </row>
    <row r="660" spans="1:8" x14ac:dyDescent="0.25">
      <c r="A660">
        <v>4532</v>
      </c>
      <c r="B660">
        <v>2</v>
      </c>
      <c r="C660">
        <v>3</v>
      </c>
      <c r="D660">
        <v>39</v>
      </c>
      <c r="E660">
        <v>15</v>
      </c>
      <c r="F660">
        <v>2</v>
      </c>
      <c r="G660">
        <v>2</v>
      </c>
      <c r="H660">
        <v>697430</v>
      </c>
    </row>
    <row r="661" spans="1:8" x14ac:dyDescent="0.25">
      <c r="A661">
        <v>2227</v>
      </c>
      <c r="B661">
        <v>2</v>
      </c>
      <c r="C661">
        <v>1</v>
      </c>
      <c r="D661">
        <v>7</v>
      </c>
      <c r="E661">
        <v>26</v>
      </c>
      <c r="F661">
        <v>2</v>
      </c>
      <c r="G661">
        <v>4</v>
      </c>
      <c r="H661">
        <v>479717</v>
      </c>
    </row>
    <row r="662" spans="1:8" x14ac:dyDescent="0.25">
      <c r="A662">
        <v>3541</v>
      </c>
      <c r="B662">
        <v>2</v>
      </c>
      <c r="C662">
        <v>3</v>
      </c>
      <c r="D662">
        <v>19</v>
      </c>
      <c r="E662">
        <v>4</v>
      </c>
      <c r="F662">
        <v>2</v>
      </c>
      <c r="G662">
        <v>3</v>
      </c>
      <c r="H662">
        <v>632414</v>
      </c>
    </row>
    <row r="663" spans="1:8" x14ac:dyDescent="0.25">
      <c r="A663">
        <v>4109</v>
      </c>
      <c r="B663">
        <v>2</v>
      </c>
      <c r="C663">
        <v>4</v>
      </c>
      <c r="D663">
        <v>17</v>
      </c>
      <c r="E663">
        <v>24</v>
      </c>
      <c r="F663">
        <v>2</v>
      </c>
      <c r="G663">
        <v>5</v>
      </c>
      <c r="H663">
        <v>747347</v>
      </c>
    </row>
    <row r="664" spans="1:8" x14ac:dyDescent="0.25">
      <c r="A664">
        <v>2358</v>
      </c>
      <c r="B664">
        <v>2</v>
      </c>
      <c r="C664">
        <v>2</v>
      </c>
      <c r="D664">
        <v>17</v>
      </c>
      <c r="E664">
        <v>7</v>
      </c>
      <c r="F664">
        <v>2</v>
      </c>
      <c r="G664">
        <v>3</v>
      </c>
      <c r="H664">
        <v>530584</v>
      </c>
    </row>
    <row r="665" spans="1:8" x14ac:dyDescent="0.25">
      <c r="A665">
        <v>533</v>
      </c>
      <c r="B665">
        <v>2</v>
      </c>
      <c r="C665">
        <v>3</v>
      </c>
      <c r="D665">
        <v>21</v>
      </c>
      <c r="E665">
        <v>18</v>
      </c>
      <c r="F665">
        <v>2</v>
      </c>
      <c r="G665">
        <v>6</v>
      </c>
      <c r="H665">
        <v>434160</v>
      </c>
    </row>
    <row r="666" spans="1:8" x14ac:dyDescent="0.25">
      <c r="A666">
        <v>4037</v>
      </c>
      <c r="B666">
        <v>2</v>
      </c>
      <c r="C666">
        <v>2</v>
      </c>
      <c r="D666">
        <v>3</v>
      </c>
      <c r="E666">
        <v>4</v>
      </c>
      <c r="F666">
        <v>2</v>
      </c>
      <c r="G666">
        <v>3</v>
      </c>
      <c r="H666">
        <v>782138</v>
      </c>
    </row>
    <row r="667" spans="1:8" x14ac:dyDescent="0.25">
      <c r="A667">
        <v>3179</v>
      </c>
      <c r="B667">
        <v>2</v>
      </c>
      <c r="C667">
        <v>2</v>
      </c>
      <c r="D667">
        <v>9</v>
      </c>
      <c r="E667">
        <v>35</v>
      </c>
      <c r="F667">
        <v>2</v>
      </c>
      <c r="G667">
        <v>10</v>
      </c>
      <c r="H667">
        <v>849938</v>
      </c>
    </row>
    <row r="668" spans="1:8" x14ac:dyDescent="0.25">
      <c r="A668">
        <v>4971</v>
      </c>
      <c r="B668">
        <v>2</v>
      </c>
      <c r="C668">
        <v>2</v>
      </c>
      <c r="D668">
        <v>17</v>
      </c>
      <c r="E668">
        <v>33</v>
      </c>
      <c r="F668">
        <v>2</v>
      </c>
      <c r="G668">
        <v>10</v>
      </c>
      <c r="H668">
        <v>1102008</v>
      </c>
    </row>
    <row r="669" spans="1:8" x14ac:dyDescent="0.25">
      <c r="A669">
        <v>3156</v>
      </c>
      <c r="B669">
        <v>2</v>
      </c>
      <c r="C669">
        <v>2</v>
      </c>
      <c r="D669">
        <v>12</v>
      </c>
      <c r="E669">
        <v>19</v>
      </c>
      <c r="F669">
        <v>2</v>
      </c>
      <c r="G669">
        <v>6</v>
      </c>
      <c r="H669">
        <v>724701</v>
      </c>
    </row>
    <row r="670" spans="1:8" x14ac:dyDescent="0.25">
      <c r="A670">
        <v>4933</v>
      </c>
      <c r="B670">
        <v>2</v>
      </c>
      <c r="C670">
        <v>1</v>
      </c>
      <c r="D670">
        <v>6</v>
      </c>
      <c r="E670">
        <v>18</v>
      </c>
      <c r="F670">
        <v>2</v>
      </c>
      <c r="G670">
        <v>9</v>
      </c>
      <c r="H670">
        <v>1053117</v>
      </c>
    </row>
    <row r="671" spans="1:8" x14ac:dyDescent="0.25">
      <c r="A671">
        <v>3678</v>
      </c>
      <c r="B671">
        <v>2</v>
      </c>
      <c r="C671">
        <v>3</v>
      </c>
      <c r="D671">
        <v>12</v>
      </c>
      <c r="E671">
        <v>32</v>
      </c>
      <c r="F671">
        <v>2</v>
      </c>
      <c r="G671">
        <v>4</v>
      </c>
      <c r="H671">
        <v>711323</v>
      </c>
    </row>
    <row r="672" spans="1:8" x14ac:dyDescent="0.25">
      <c r="A672">
        <v>3577</v>
      </c>
      <c r="B672">
        <v>2</v>
      </c>
      <c r="C672">
        <v>3</v>
      </c>
      <c r="D672">
        <v>2</v>
      </c>
      <c r="E672">
        <v>9</v>
      </c>
      <c r="F672">
        <v>2</v>
      </c>
      <c r="G672">
        <v>1</v>
      </c>
      <c r="H672">
        <v>603391</v>
      </c>
    </row>
    <row r="673" spans="1:8" x14ac:dyDescent="0.25">
      <c r="A673">
        <v>2773</v>
      </c>
      <c r="B673">
        <v>2</v>
      </c>
      <c r="C673">
        <v>4</v>
      </c>
      <c r="D673">
        <v>16</v>
      </c>
      <c r="E673">
        <v>19</v>
      </c>
      <c r="F673">
        <v>2</v>
      </c>
      <c r="G673">
        <v>7</v>
      </c>
      <c r="H673">
        <v>772607</v>
      </c>
    </row>
    <row r="674" spans="1:8" x14ac:dyDescent="0.25">
      <c r="A674">
        <v>3522</v>
      </c>
      <c r="B674">
        <v>2</v>
      </c>
      <c r="C674">
        <v>4</v>
      </c>
      <c r="D674">
        <v>15</v>
      </c>
      <c r="E674">
        <v>17</v>
      </c>
      <c r="F674">
        <v>2</v>
      </c>
      <c r="G674">
        <v>2</v>
      </c>
      <c r="H674">
        <v>686166</v>
      </c>
    </row>
    <row r="675" spans="1:8" x14ac:dyDescent="0.25">
      <c r="A675">
        <v>3517</v>
      </c>
      <c r="B675">
        <v>2</v>
      </c>
      <c r="C675">
        <v>3</v>
      </c>
      <c r="D675">
        <v>35</v>
      </c>
      <c r="E675">
        <v>23</v>
      </c>
      <c r="F675">
        <v>2</v>
      </c>
      <c r="G675">
        <v>5</v>
      </c>
      <c r="H675">
        <v>683249</v>
      </c>
    </row>
    <row r="676" spans="1:8" x14ac:dyDescent="0.25">
      <c r="A676">
        <v>2455</v>
      </c>
      <c r="B676">
        <v>2</v>
      </c>
      <c r="C676">
        <v>3</v>
      </c>
      <c r="D676">
        <v>2</v>
      </c>
      <c r="E676">
        <v>27</v>
      </c>
      <c r="F676">
        <v>2</v>
      </c>
      <c r="G676">
        <v>10</v>
      </c>
      <c r="H676">
        <v>874203</v>
      </c>
    </row>
    <row r="677" spans="1:8" x14ac:dyDescent="0.25">
      <c r="A677">
        <v>2773</v>
      </c>
      <c r="B677">
        <v>2</v>
      </c>
      <c r="C677">
        <v>4</v>
      </c>
      <c r="D677">
        <v>33</v>
      </c>
      <c r="E677">
        <v>17</v>
      </c>
      <c r="F677">
        <v>2</v>
      </c>
      <c r="G677">
        <v>6</v>
      </c>
      <c r="H677">
        <v>448329</v>
      </c>
    </row>
    <row r="678" spans="1:8" x14ac:dyDescent="0.25">
      <c r="A678">
        <v>2773</v>
      </c>
      <c r="B678">
        <v>2</v>
      </c>
      <c r="C678">
        <v>4</v>
      </c>
      <c r="D678">
        <v>22</v>
      </c>
      <c r="E678">
        <v>24</v>
      </c>
      <c r="F678">
        <v>2</v>
      </c>
      <c r="G678">
        <v>2</v>
      </c>
      <c r="H678">
        <v>780794</v>
      </c>
    </row>
    <row r="679" spans="1:8" x14ac:dyDescent="0.25">
      <c r="A679">
        <v>2306</v>
      </c>
      <c r="B679">
        <v>2</v>
      </c>
      <c r="C679">
        <v>1</v>
      </c>
      <c r="D679">
        <v>10</v>
      </c>
      <c r="E679">
        <v>29</v>
      </c>
      <c r="F679">
        <v>2</v>
      </c>
      <c r="G679">
        <v>10</v>
      </c>
      <c r="H679">
        <v>637375</v>
      </c>
    </row>
    <row r="680" spans="1:8" x14ac:dyDescent="0.25">
      <c r="A680">
        <v>2475</v>
      </c>
      <c r="B680">
        <v>2</v>
      </c>
      <c r="C680">
        <v>1</v>
      </c>
      <c r="D680">
        <v>27</v>
      </c>
      <c r="E680">
        <v>11</v>
      </c>
      <c r="F680">
        <v>2</v>
      </c>
      <c r="G680">
        <v>6</v>
      </c>
      <c r="H680">
        <v>627517</v>
      </c>
    </row>
    <row r="681" spans="1:8" x14ac:dyDescent="0.25">
      <c r="A681">
        <v>3683</v>
      </c>
      <c r="B681">
        <v>2</v>
      </c>
      <c r="C681">
        <v>4</v>
      </c>
      <c r="D681">
        <v>9</v>
      </c>
      <c r="E681">
        <v>12</v>
      </c>
      <c r="F681">
        <v>2</v>
      </c>
      <c r="G681">
        <v>3</v>
      </c>
      <c r="H681">
        <v>684153</v>
      </c>
    </row>
    <row r="682" spans="1:8" x14ac:dyDescent="0.25">
      <c r="A682">
        <v>632</v>
      </c>
      <c r="B682">
        <v>2</v>
      </c>
      <c r="C682">
        <v>3</v>
      </c>
      <c r="D682">
        <v>12</v>
      </c>
      <c r="E682">
        <v>22</v>
      </c>
      <c r="F682">
        <v>2</v>
      </c>
      <c r="G682">
        <v>6</v>
      </c>
      <c r="H682">
        <v>461065</v>
      </c>
    </row>
    <row r="683" spans="1:8" x14ac:dyDescent="0.25">
      <c r="A683">
        <v>2556</v>
      </c>
      <c r="B683">
        <v>2</v>
      </c>
      <c r="C683">
        <v>1</v>
      </c>
      <c r="D683">
        <v>7</v>
      </c>
      <c r="E683">
        <v>21</v>
      </c>
      <c r="F683">
        <v>2</v>
      </c>
      <c r="G683">
        <v>10</v>
      </c>
      <c r="H683">
        <v>877634</v>
      </c>
    </row>
    <row r="684" spans="1:8" x14ac:dyDescent="0.25">
      <c r="A684">
        <v>4212</v>
      </c>
      <c r="B684">
        <v>2</v>
      </c>
      <c r="C684">
        <v>3</v>
      </c>
      <c r="D684">
        <v>32</v>
      </c>
      <c r="E684">
        <v>16</v>
      </c>
      <c r="F684">
        <v>2</v>
      </c>
      <c r="G684">
        <v>5</v>
      </c>
      <c r="H684">
        <v>820488</v>
      </c>
    </row>
    <row r="685" spans="1:8" x14ac:dyDescent="0.25">
      <c r="A685">
        <v>1860</v>
      </c>
      <c r="B685">
        <v>2</v>
      </c>
      <c r="C685">
        <v>1</v>
      </c>
      <c r="D685">
        <v>33</v>
      </c>
      <c r="E685">
        <v>5</v>
      </c>
      <c r="F685">
        <v>2</v>
      </c>
      <c r="G685">
        <v>3</v>
      </c>
      <c r="H685">
        <v>440795</v>
      </c>
    </row>
    <row r="686" spans="1:8" x14ac:dyDescent="0.25">
      <c r="A686">
        <v>642</v>
      </c>
      <c r="B686">
        <v>2</v>
      </c>
      <c r="C686">
        <v>3</v>
      </c>
      <c r="D686">
        <v>30</v>
      </c>
      <c r="E686">
        <v>25</v>
      </c>
      <c r="F686">
        <v>2</v>
      </c>
      <c r="G686">
        <v>7</v>
      </c>
      <c r="H686">
        <v>527111</v>
      </c>
    </row>
    <row r="687" spans="1:8" x14ac:dyDescent="0.25">
      <c r="A687">
        <v>2995</v>
      </c>
      <c r="B687">
        <v>2</v>
      </c>
      <c r="C687">
        <v>2</v>
      </c>
      <c r="D687">
        <v>5</v>
      </c>
      <c r="E687">
        <v>32</v>
      </c>
      <c r="F687">
        <v>2</v>
      </c>
      <c r="G687">
        <v>5</v>
      </c>
      <c r="H687">
        <v>592109</v>
      </c>
    </row>
    <row r="688" spans="1:8" x14ac:dyDescent="0.25">
      <c r="A688">
        <v>2439</v>
      </c>
      <c r="B688">
        <v>2</v>
      </c>
      <c r="C688">
        <v>2</v>
      </c>
      <c r="D688">
        <v>28</v>
      </c>
      <c r="E688">
        <v>29</v>
      </c>
      <c r="F688">
        <v>2</v>
      </c>
      <c r="G688">
        <v>6</v>
      </c>
      <c r="H688">
        <v>704333</v>
      </c>
    </row>
    <row r="689" spans="1:8" x14ac:dyDescent="0.25">
      <c r="A689">
        <v>1742</v>
      </c>
      <c r="B689">
        <v>2</v>
      </c>
      <c r="C689">
        <v>1</v>
      </c>
      <c r="D689">
        <v>29</v>
      </c>
      <c r="E689">
        <v>21</v>
      </c>
      <c r="F689">
        <v>2</v>
      </c>
      <c r="G689">
        <v>6</v>
      </c>
      <c r="H689">
        <v>553303</v>
      </c>
    </row>
    <row r="690" spans="1:8" x14ac:dyDescent="0.25">
      <c r="A690">
        <v>3454</v>
      </c>
      <c r="B690">
        <v>2</v>
      </c>
      <c r="C690">
        <v>1</v>
      </c>
      <c r="D690">
        <v>34</v>
      </c>
      <c r="E690">
        <v>5</v>
      </c>
      <c r="F690">
        <v>2</v>
      </c>
      <c r="G690">
        <v>8</v>
      </c>
      <c r="H690">
        <v>879467</v>
      </c>
    </row>
    <row r="691" spans="1:8" x14ac:dyDescent="0.25">
      <c r="A691">
        <v>2997</v>
      </c>
      <c r="B691">
        <v>2</v>
      </c>
      <c r="C691">
        <v>3</v>
      </c>
      <c r="D691">
        <v>10</v>
      </c>
      <c r="E691">
        <v>27</v>
      </c>
      <c r="F691">
        <v>2</v>
      </c>
      <c r="G691">
        <v>6</v>
      </c>
      <c r="H691">
        <v>696464</v>
      </c>
    </row>
    <row r="692" spans="1:8" x14ac:dyDescent="0.25">
      <c r="A692">
        <v>1350</v>
      </c>
      <c r="B692">
        <v>2</v>
      </c>
      <c r="C692">
        <v>4</v>
      </c>
      <c r="D692">
        <v>16</v>
      </c>
      <c r="E692">
        <v>8</v>
      </c>
      <c r="F692">
        <v>2</v>
      </c>
      <c r="G692">
        <v>1</v>
      </c>
      <c r="H692">
        <v>458786</v>
      </c>
    </row>
    <row r="693" spans="1:8" x14ac:dyDescent="0.25">
      <c r="A693">
        <v>494</v>
      </c>
      <c r="B693">
        <v>2</v>
      </c>
      <c r="C693">
        <v>3</v>
      </c>
      <c r="D693">
        <v>39</v>
      </c>
      <c r="E693">
        <v>9</v>
      </c>
      <c r="F693">
        <v>2</v>
      </c>
      <c r="G693">
        <v>5</v>
      </c>
      <c r="H693">
        <v>463131</v>
      </c>
    </row>
    <row r="694" spans="1:8" x14ac:dyDescent="0.25">
      <c r="A694">
        <v>3405</v>
      </c>
      <c r="B694">
        <v>2</v>
      </c>
      <c r="C694">
        <v>2</v>
      </c>
      <c r="D694">
        <v>0</v>
      </c>
      <c r="E694">
        <v>10</v>
      </c>
      <c r="F694">
        <v>2</v>
      </c>
      <c r="G694">
        <v>2</v>
      </c>
      <c r="H694">
        <v>635791</v>
      </c>
    </row>
    <row r="695" spans="1:8" x14ac:dyDescent="0.25">
      <c r="A695">
        <v>3577</v>
      </c>
      <c r="B695">
        <v>2</v>
      </c>
      <c r="C695">
        <v>3</v>
      </c>
      <c r="D695">
        <v>2</v>
      </c>
      <c r="E695">
        <v>11</v>
      </c>
      <c r="F695">
        <v>2</v>
      </c>
      <c r="G695">
        <v>2</v>
      </c>
      <c r="H695">
        <v>709895</v>
      </c>
    </row>
    <row r="696" spans="1:8" x14ac:dyDescent="0.25">
      <c r="A696">
        <v>3907</v>
      </c>
      <c r="B696">
        <v>2</v>
      </c>
      <c r="C696">
        <v>2</v>
      </c>
      <c r="D696">
        <v>22</v>
      </c>
      <c r="E696">
        <v>15</v>
      </c>
      <c r="F696">
        <v>2</v>
      </c>
      <c r="G696">
        <v>10</v>
      </c>
      <c r="H696">
        <v>924584</v>
      </c>
    </row>
    <row r="697" spans="1:8" x14ac:dyDescent="0.25">
      <c r="A697">
        <v>785</v>
      </c>
      <c r="B697">
        <v>2</v>
      </c>
      <c r="C697">
        <v>1</v>
      </c>
      <c r="D697">
        <v>35</v>
      </c>
      <c r="E697">
        <v>31</v>
      </c>
      <c r="F697">
        <v>2</v>
      </c>
      <c r="G697">
        <v>2</v>
      </c>
      <c r="H697">
        <v>195050</v>
      </c>
    </row>
    <row r="698" spans="1:8" x14ac:dyDescent="0.25">
      <c r="A698">
        <v>4000</v>
      </c>
      <c r="B698">
        <v>2</v>
      </c>
      <c r="C698">
        <v>4</v>
      </c>
      <c r="D698">
        <v>20</v>
      </c>
      <c r="E698">
        <v>25</v>
      </c>
      <c r="F698">
        <v>2</v>
      </c>
      <c r="G698">
        <v>5</v>
      </c>
      <c r="H698">
        <v>712385</v>
      </c>
    </row>
    <row r="699" spans="1:8" x14ac:dyDescent="0.25">
      <c r="A699">
        <v>4558</v>
      </c>
      <c r="B699">
        <v>2</v>
      </c>
      <c r="C699">
        <v>1</v>
      </c>
      <c r="D699">
        <v>33</v>
      </c>
      <c r="E699">
        <v>5</v>
      </c>
      <c r="F699">
        <v>2</v>
      </c>
      <c r="G699">
        <v>5</v>
      </c>
      <c r="H699">
        <v>809022</v>
      </c>
    </row>
    <row r="700" spans="1:8" x14ac:dyDescent="0.25">
      <c r="A700">
        <v>3520</v>
      </c>
      <c r="B700">
        <v>2</v>
      </c>
      <c r="C700">
        <v>3</v>
      </c>
      <c r="D700">
        <v>10</v>
      </c>
      <c r="E700">
        <v>16</v>
      </c>
      <c r="F700">
        <v>2</v>
      </c>
      <c r="G700">
        <v>7</v>
      </c>
      <c r="H700">
        <v>854500</v>
      </c>
    </row>
    <row r="701" spans="1:8" x14ac:dyDescent="0.25">
      <c r="A701">
        <v>3457</v>
      </c>
      <c r="B701">
        <v>2</v>
      </c>
      <c r="C701">
        <v>2</v>
      </c>
      <c r="D701">
        <v>12</v>
      </c>
      <c r="E701">
        <v>33</v>
      </c>
      <c r="F701">
        <v>2</v>
      </c>
      <c r="G701">
        <v>3</v>
      </c>
      <c r="H701">
        <v>627558</v>
      </c>
    </row>
    <row r="702" spans="1:8" x14ac:dyDescent="0.25">
      <c r="A702">
        <v>1346</v>
      </c>
      <c r="B702">
        <v>2</v>
      </c>
      <c r="C702">
        <v>4</v>
      </c>
      <c r="D702">
        <v>2</v>
      </c>
      <c r="E702">
        <v>10</v>
      </c>
      <c r="F702">
        <v>2</v>
      </c>
      <c r="G702">
        <v>9</v>
      </c>
      <c r="H702">
        <v>699541</v>
      </c>
    </row>
    <row r="703" spans="1:8" x14ac:dyDescent="0.25">
      <c r="A703">
        <v>3206</v>
      </c>
      <c r="B703">
        <v>2</v>
      </c>
      <c r="C703">
        <v>1</v>
      </c>
      <c r="D703">
        <v>20</v>
      </c>
      <c r="E703">
        <v>13</v>
      </c>
      <c r="F703">
        <v>2</v>
      </c>
      <c r="G703">
        <v>3</v>
      </c>
      <c r="H703">
        <v>603240</v>
      </c>
    </row>
    <row r="704" spans="1:8" x14ac:dyDescent="0.25">
      <c r="A704">
        <v>1711</v>
      </c>
      <c r="B704">
        <v>2</v>
      </c>
      <c r="C704">
        <v>3</v>
      </c>
      <c r="D704">
        <v>23</v>
      </c>
      <c r="E704">
        <v>18</v>
      </c>
      <c r="F704">
        <v>2</v>
      </c>
      <c r="G704">
        <v>4</v>
      </c>
      <c r="H704">
        <v>564868</v>
      </c>
    </row>
    <row r="705" spans="1:8" x14ac:dyDescent="0.25">
      <c r="A705">
        <v>4642</v>
      </c>
      <c r="B705">
        <v>2</v>
      </c>
      <c r="C705">
        <v>4</v>
      </c>
      <c r="D705">
        <v>12</v>
      </c>
      <c r="E705">
        <v>10</v>
      </c>
      <c r="F705">
        <v>2</v>
      </c>
      <c r="G705">
        <v>2</v>
      </c>
      <c r="H705">
        <v>823107</v>
      </c>
    </row>
    <row r="706" spans="1:8" x14ac:dyDescent="0.25">
      <c r="A706">
        <v>4109</v>
      </c>
      <c r="B706">
        <v>2</v>
      </c>
      <c r="C706">
        <v>4</v>
      </c>
      <c r="D706">
        <v>17</v>
      </c>
      <c r="E706">
        <v>24</v>
      </c>
      <c r="F706">
        <v>2</v>
      </c>
      <c r="G706">
        <v>5</v>
      </c>
      <c r="H706">
        <v>747347</v>
      </c>
    </row>
    <row r="707" spans="1:8" x14ac:dyDescent="0.25">
      <c r="A707">
        <v>3661</v>
      </c>
      <c r="B707">
        <v>2</v>
      </c>
      <c r="C707">
        <v>1</v>
      </c>
      <c r="D707">
        <v>31</v>
      </c>
      <c r="E707">
        <v>13</v>
      </c>
      <c r="F707">
        <v>2</v>
      </c>
      <c r="G707">
        <v>3</v>
      </c>
      <c r="H707">
        <v>755734</v>
      </c>
    </row>
    <row r="708" spans="1:8" x14ac:dyDescent="0.25">
      <c r="A708">
        <v>1584</v>
      </c>
      <c r="B708">
        <v>3</v>
      </c>
      <c r="C708">
        <v>2</v>
      </c>
      <c r="D708">
        <v>14</v>
      </c>
      <c r="E708">
        <v>33</v>
      </c>
      <c r="F708">
        <v>0</v>
      </c>
      <c r="G708">
        <v>7</v>
      </c>
      <c r="H708">
        <v>666552</v>
      </c>
    </row>
    <row r="709" spans="1:8" x14ac:dyDescent="0.25">
      <c r="A709">
        <v>1667</v>
      </c>
      <c r="B709">
        <v>3</v>
      </c>
      <c r="C709">
        <v>1</v>
      </c>
      <c r="D709">
        <v>19</v>
      </c>
      <c r="E709">
        <v>13</v>
      </c>
      <c r="F709">
        <v>0</v>
      </c>
      <c r="G709">
        <v>5</v>
      </c>
      <c r="H709">
        <v>488267</v>
      </c>
    </row>
    <row r="710" spans="1:8" x14ac:dyDescent="0.25">
      <c r="A710">
        <v>4697</v>
      </c>
      <c r="B710">
        <v>3</v>
      </c>
      <c r="C710">
        <v>4</v>
      </c>
      <c r="D710">
        <v>29</v>
      </c>
      <c r="E710">
        <v>26</v>
      </c>
      <c r="F710">
        <v>0</v>
      </c>
      <c r="G710">
        <v>5</v>
      </c>
      <c r="H710">
        <v>1173244</v>
      </c>
    </row>
    <row r="711" spans="1:8" x14ac:dyDescent="0.25">
      <c r="A711">
        <v>1395</v>
      </c>
      <c r="B711">
        <v>3</v>
      </c>
      <c r="C711">
        <v>3</v>
      </c>
      <c r="D711">
        <v>3</v>
      </c>
      <c r="E711">
        <v>19</v>
      </c>
      <c r="F711">
        <v>0</v>
      </c>
      <c r="G711">
        <v>9</v>
      </c>
      <c r="H711">
        <v>716108</v>
      </c>
    </row>
    <row r="712" spans="1:8" x14ac:dyDescent="0.25">
      <c r="A712">
        <v>2968</v>
      </c>
      <c r="B712">
        <v>3</v>
      </c>
      <c r="C712">
        <v>3</v>
      </c>
      <c r="D712">
        <v>36</v>
      </c>
      <c r="E712">
        <v>20</v>
      </c>
      <c r="F712">
        <v>0</v>
      </c>
      <c r="G712">
        <v>5</v>
      </c>
      <c r="H712">
        <v>707744</v>
      </c>
    </row>
    <row r="713" spans="1:8" x14ac:dyDescent="0.25">
      <c r="A713">
        <v>1428</v>
      </c>
      <c r="B713">
        <v>3</v>
      </c>
      <c r="C713">
        <v>1</v>
      </c>
      <c r="D713">
        <v>21</v>
      </c>
      <c r="E713">
        <v>19</v>
      </c>
      <c r="F713">
        <v>0</v>
      </c>
      <c r="G713">
        <v>9</v>
      </c>
      <c r="H713">
        <v>603803</v>
      </c>
    </row>
    <row r="714" spans="1:8" x14ac:dyDescent="0.25">
      <c r="A714">
        <v>902</v>
      </c>
      <c r="B714">
        <v>3</v>
      </c>
      <c r="C714">
        <v>1</v>
      </c>
      <c r="D714">
        <v>39</v>
      </c>
      <c r="E714">
        <v>33</v>
      </c>
      <c r="F714">
        <v>0</v>
      </c>
      <c r="G714">
        <v>1</v>
      </c>
      <c r="H714">
        <v>247054</v>
      </c>
    </row>
    <row r="715" spans="1:8" x14ac:dyDescent="0.25">
      <c r="A715">
        <v>1270</v>
      </c>
      <c r="B715">
        <v>3</v>
      </c>
      <c r="C715">
        <v>4</v>
      </c>
      <c r="D715">
        <v>37</v>
      </c>
      <c r="E715">
        <v>26</v>
      </c>
      <c r="F715">
        <v>0</v>
      </c>
      <c r="G715">
        <v>5</v>
      </c>
      <c r="H715">
        <v>588564</v>
      </c>
    </row>
    <row r="716" spans="1:8" x14ac:dyDescent="0.25">
      <c r="A716">
        <v>606</v>
      </c>
      <c r="B716">
        <v>3</v>
      </c>
      <c r="C716">
        <v>1</v>
      </c>
      <c r="D716">
        <v>28</v>
      </c>
      <c r="E716">
        <v>26</v>
      </c>
      <c r="F716">
        <v>0</v>
      </c>
      <c r="G716">
        <v>5</v>
      </c>
      <c r="H716">
        <v>341849</v>
      </c>
    </row>
    <row r="717" spans="1:8" x14ac:dyDescent="0.25">
      <c r="A717">
        <v>1682</v>
      </c>
      <c r="B717">
        <v>3</v>
      </c>
      <c r="C717">
        <v>3</v>
      </c>
      <c r="D717">
        <v>0</v>
      </c>
      <c r="E717">
        <v>15</v>
      </c>
      <c r="F717">
        <v>0</v>
      </c>
      <c r="G717">
        <v>4</v>
      </c>
      <c r="H717">
        <v>643474</v>
      </c>
    </row>
    <row r="718" spans="1:8" x14ac:dyDescent="0.25">
      <c r="A718">
        <v>1109</v>
      </c>
      <c r="B718">
        <v>3</v>
      </c>
      <c r="C718">
        <v>1</v>
      </c>
      <c r="D718">
        <v>28</v>
      </c>
      <c r="E718">
        <v>8</v>
      </c>
      <c r="F718">
        <v>0</v>
      </c>
      <c r="G718">
        <v>2</v>
      </c>
      <c r="H718">
        <v>312836</v>
      </c>
    </row>
    <row r="719" spans="1:8" x14ac:dyDescent="0.25">
      <c r="A719">
        <v>3704</v>
      </c>
      <c r="B719">
        <v>3</v>
      </c>
      <c r="C719">
        <v>4</v>
      </c>
      <c r="D719">
        <v>7</v>
      </c>
      <c r="E719">
        <v>18</v>
      </c>
      <c r="F719">
        <v>0</v>
      </c>
      <c r="G719">
        <v>2</v>
      </c>
      <c r="H719">
        <v>803486</v>
      </c>
    </row>
    <row r="720" spans="1:8" x14ac:dyDescent="0.25">
      <c r="A720">
        <v>3552</v>
      </c>
      <c r="B720">
        <v>3</v>
      </c>
      <c r="C720">
        <v>1</v>
      </c>
      <c r="D720">
        <v>16</v>
      </c>
      <c r="E720">
        <v>8</v>
      </c>
      <c r="F720">
        <v>0</v>
      </c>
      <c r="G720">
        <v>10</v>
      </c>
      <c r="H720">
        <v>754904</v>
      </c>
    </row>
    <row r="721" spans="1:8" x14ac:dyDescent="0.25">
      <c r="A721">
        <v>1166</v>
      </c>
      <c r="B721">
        <v>3</v>
      </c>
      <c r="C721">
        <v>4</v>
      </c>
      <c r="D721">
        <v>7</v>
      </c>
      <c r="E721">
        <v>5</v>
      </c>
      <c r="F721">
        <v>0</v>
      </c>
      <c r="G721">
        <v>4</v>
      </c>
      <c r="H721">
        <v>604761</v>
      </c>
    </row>
    <row r="722" spans="1:8" x14ac:dyDescent="0.25">
      <c r="A722">
        <v>3331</v>
      </c>
      <c r="B722">
        <v>3</v>
      </c>
      <c r="C722">
        <v>1</v>
      </c>
      <c r="D722">
        <v>32</v>
      </c>
      <c r="E722">
        <v>18</v>
      </c>
      <c r="F722">
        <v>0</v>
      </c>
      <c r="G722">
        <v>6</v>
      </c>
      <c r="H722">
        <v>691169</v>
      </c>
    </row>
    <row r="723" spans="1:8" x14ac:dyDescent="0.25">
      <c r="A723">
        <v>2330</v>
      </c>
      <c r="B723">
        <v>3</v>
      </c>
      <c r="C723">
        <v>2</v>
      </c>
      <c r="D723">
        <v>38</v>
      </c>
      <c r="E723">
        <v>21</v>
      </c>
      <c r="F723">
        <v>0</v>
      </c>
      <c r="G723">
        <v>7</v>
      </c>
      <c r="H723">
        <v>696870</v>
      </c>
    </row>
    <row r="724" spans="1:8" x14ac:dyDescent="0.25">
      <c r="A724">
        <v>3672</v>
      </c>
      <c r="B724">
        <v>3</v>
      </c>
      <c r="C724">
        <v>4</v>
      </c>
      <c r="D724">
        <v>7</v>
      </c>
      <c r="E724">
        <v>15</v>
      </c>
      <c r="F724">
        <v>0</v>
      </c>
      <c r="G724">
        <v>6</v>
      </c>
      <c r="H724">
        <v>754383</v>
      </c>
    </row>
    <row r="725" spans="1:8" x14ac:dyDescent="0.25">
      <c r="A725">
        <v>4043</v>
      </c>
      <c r="B725">
        <v>3</v>
      </c>
      <c r="C725">
        <v>1</v>
      </c>
      <c r="D725">
        <v>9</v>
      </c>
      <c r="E725">
        <v>29</v>
      </c>
      <c r="F725">
        <v>0</v>
      </c>
      <c r="G725">
        <v>3</v>
      </c>
      <c r="H725">
        <v>804793</v>
      </c>
    </row>
    <row r="726" spans="1:8" x14ac:dyDescent="0.25">
      <c r="A726">
        <v>4893</v>
      </c>
      <c r="B726">
        <v>3</v>
      </c>
      <c r="C726">
        <v>4</v>
      </c>
      <c r="D726">
        <v>23</v>
      </c>
      <c r="E726">
        <v>12</v>
      </c>
      <c r="F726">
        <v>0</v>
      </c>
      <c r="G726">
        <v>1</v>
      </c>
      <c r="H726">
        <v>847986</v>
      </c>
    </row>
    <row r="727" spans="1:8" x14ac:dyDescent="0.25">
      <c r="A727">
        <v>1354</v>
      </c>
      <c r="B727">
        <v>3</v>
      </c>
      <c r="C727">
        <v>4</v>
      </c>
      <c r="D727">
        <v>29</v>
      </c>
      <c r="E727">
        <v>11</v>
      </c>
      <c r="F727">
        <v>0</v>
      </c>
      <c r="G727">
        <v>4</v>
      </c>
      <c r="H727">
        <v>430702</v>
      </c>
    </row>
    <row r="728" spans="1:8" x14ac:dyDescent="0.25">
      <c r="A728">
        <v>1539</v>
      </c>
      <c r="B728">
        <v>3</v>
      </c>
      <c r="C728">
        <v>4</v>
      </c>
      <c r="D728">
        <v>30</v>
      </c>
      <c r="E728">
        <v>33</v>
      </c>
      <c r="F728">
        <v>0</v>
      </c>
      <c r="G728">
        <v>3</v>
      </c>
      <c r="H728">
        <v>468106</v>
      </c>
    </row>
    <row r="729" spans="1:8" x14ac:dyDescent="0.25">
      <c r="A729">
        <v>1584</v>
      </c>
      <c r="B729">
        <v>3</v>
      </c>
      <c r="C729">
        <v>4</v>
      </c>
      <c r="D729">
        <v>7</v>
      </c>
      <c r="E729">
        <v>15</v>
      </c>
      <c r="F729">
        <v>0</v>
      </c>
      <c r="G729">
        <v>5</v>
      </c>
      <c r="H729">
        <v>810449</v>
      </c>
    </row>
    <row r="730" spans="1:8" x14ac:dyDescent="0.25">
      <c r="A730">
        <v>4414</v>
      </c>
      <c r="B730">
        <v>3</v>
      </c>
      <c r="C730">
        <v>4</v>
      </c>
      <c r="D730">
        <v>2</v>
      </c>
      <c r="E730">
        <v>8</v>
      </c>
      <c r="F730">
        <v>0</v>
      </c>
      <c r="G730">
        <v>9</v>
      </c>
      <c r="H730">
        <v>1118056</v>
      </c>
    </row>
    <row r="731" spans="1:8" x14ac:dyDescent="0.25">
      <c r="A731">
        <v>4741</v>
      </c>
      <c r="B731">
        <v>3</v>
      </c>
      <c r="C731">
        <v>3</v>
      </c>
      <c r="D731">
        <v>20</v>
      </c>
      <c r="E731">
        <v>23</v>
      </c>
      <c r="F731">
        <v>0</v>
      </c>
      <c r="G731">
        <v>5</v>
      </c>
      <c r="H731">
        <v>820920</v>
      </c>
    </row>
    <row r="732" spans="1:8" x14ac:dyDescent="0.25">
      <c r="A732">
        <v>2855</v>
      </c>
      <c r="B732">
        <v>3</v>
      </c>
      <c r="C732">
        <v>4</v>
      </c>
      <c r="D732">
        <v>5</v>
      </c>
      <c r="E732">
        <v>2</v>
      </c>
      <c r="F732">
        <v>0</v>
      </c>
      <c r="G732">
        <v>4</v>
      </c>
      <c r="H732">
        <v>709038</v>
      </c>
    </row>
    <row r="733" spans="1:8" x14ac:dyDescent="0.25">
      <c r="A733">
        <v>3174</v>
      </c>
      <c r="B733">
        <v>3</v>
      </c>
      <c r="C733">
        <v>4</v>
      </c>
      <c r="D733">
        <v>36</v>
      </c>
      <c r="E733">
        <v>33</v>
      </c>
      <c r="F733">
        <v>0</v>
      </c>
      <c r="G733">
        <v>7</v>
      </c>
      <c r="H733">
        <v>986921</v>
      </c>
    </row>
    <row r="734" spans="1:8" x14ac:dyDescent="0.25">
      <c r="A734">
        <v>1035</v>
      </c>
      <c r="B734">
        <v>3</v>
      </c>
      <c r="C734">
        <v>4</v>
      </c>
      <c r="D734">
        <v>16</v>
      </c>
      <c r="E734">
        <v>15</v>
      </c>
      <c r="F734">
        <v>0</v>
      </c>
      <c r="G734">
        <v>8</v>
      </c>
      <c r="H734">
        <v>540133</v>
      </c>
    </row>
    <row r="735" spans="1:8" x14ac:dyDescent="0.25">
      <c r="A735">
        <v>2694</v>
      </c>
      <c r="B735">
        <v>3</v>
      </c>
      <c r="C735">
        <v>2</v>
      </c>
      <c r="D735">
        <v>27</v>
      </c>
      <c r="E735">
        <v>14</v>
      </c>
      <c r="F735">
        <v>0</v>
      </c>
      <c r="G735">
        <v>6</v>
      </c>
      <c r="H735">
        <v>598985</v>
      </c>
    </row>
    <row r="736" spans="1:8" x14ac:dyDescent="0.25">
      <c r="A736">
        <v>2079</v>
      </c>
      <c r="B736">
        <v>3</v>
      </c>
      <c r="C736">
        <v>4</v>
      </c>
      <c r="D736">
        <v>19</v>
      </c>
      <c r="E736">
        <v>21</v>
      </c>
      <c r="F736">
        <v>0</v>
      </c>
      <c r="G736">
        <v>3</v>
      </c>
      <c r="H736">
        <v>477982</v>
      </c>
    </row>
    <row r="737" spans="1:8" x14ac:dyDescent="0.25">
      <c r="A737">
        <v>2889</v>
      </c>
      <c r="B737">
        <v>3</v>
      </c>
      <c r="C737">
        <v>1</v>
      </c>
      <c r="D737">
        <v>17</v>
      </c>
      <c r="E737">
        <v>10</v>
      </c>
      <c r="F737">
        <v>0</v>
      </c>
      <c r="G737">
        <v>4</v>
      </c>
      <c r="H737">
        <v>680774</v>
      </c>
    </row>
    <row r="738" spans="1:8" x14ac:dyDescent="0.25">
      <c r="A738">
        <v>2773</v>
      </c>
      <c r="B738">
        <v>3</v>
      </c>
      <c r="C738">
        <v>3</v>
      </c>
      <c r="D738">
        <v>16</v>
      </c>
      <c r="E738">
        <v>34</v>
      </c>
      <c r="F738">
        <v>0</v>
      </c>
      <c r="G738">
        <v>3</v>
      </c>
      <c r="H738">
        <v>380244</v>
      </c>
    </row>
    <row r="739" spans="1:8" x14ac:dyDescent="0.25">
      <c r="A739">
        <v>1466</v>
      </c>
      <c r="B739">
        <v>3</v>
      </c>
      <c r="C739">
        <v>2</v>
      </c>
      <c r="D739">
        <v>28</v>
      </c>
      <c r="E739">
        <v>15</v>
      </c>
      <c r="F739">
        <v>0</v>
      </c>
      <c r="G739">
        <v>5</v>
      </c>
      <c r="H739">
        <v>514094</v>
      </c>
    </row>
    <row r="740" spans="1:8" x14ac:dyDescent="0.25">
      <c r="A740">
        <v>3174</v>
      </c>
      <c r="B740">
        <v>3</v>
      </c>
      <c r="C740">
        <v>4</v>
      </c>
      <c r="D740">
        <v>34</v>
      </c>
      <c r="E740">
        <v>25</v>
      </c>
      <c r="F740">
        <v>0</v>
      </c>
      <c r="G740">
        <v>1</v>
      </c>
      <c r="H740">
        <v>548044</v>
      </c>
    </row>
    <row r="741" spans="1:8" x14ac:dyDescent="0.25">
      <c r="A741">
        <v>2904</v>
      </c>
      <c r="B741">
        <v>3</v>
      </c>
      <c r="C741">
        <v>3</v>
      </c>
      <c r="D741">
        <v>39</v>
      </c>
      <c r="E741">
        <v>1</v>
      </c>
      <c r="F741">
        <v>0</v>
      </c>
      <c r="G741">
        <v>6</v>
      </c>
      <c r="H741">
        <v>730118</v>
      </c>
    </row>
    <row r="742" spans="1:8" x14ac:dyDescent="0.25">
      <c r="A742">
        <v>4479</v>
      </c>
      <c r="B742">
        <v>3</v>
      </c>
      <c r="C742">
        <v>4</v>
      </c>
      <c r="D742">
        <v>0</v>
      </c>
      <c r="E742">
        <v>5</v>
      </c>
      <c r="F742">
        <v>0</v>
      </c>
      <c r="G742">
        <v>2</v>
      </c>
      <c r="H742">
        <v>912971</v>
      </c>
    </row>
    <row r="743" spans="1:8" x14ac:dyDescent="0.25">
      <c r="A743">
        <v>1128</v>
      </c>
      <c r="B743">
        <v>3</v>
      </c>
      <c r="C743">
        <v>2</v>
      </c>
      <c r="D743">
        <v>37</v>
      </c>
      <c r="E743">
        <v>20</v>
      </c>
      <c r="F743">
        <v>0</v>
      </c>
      <c r="G743">
        <v>6</v>
      </c>
      <c r="H743">
        <v>554860</v>
      </c>
    </row>
    <row r="744" spans="1:8" x14ac:dyDescent="0.25">
      <c r="A744">
        <v>4760</v>
      </c>
      <c r="B744">
        <v>3</v>
      </c>
      <c r="C744">
        <v>1</v>
      </c>
      <c r="D744">
        <v>12</v>
      </c>
      <c r="E744">
        <v>22</v>
      </c>
      <c r="F744">
        <v>0</v>
      </c>
      <c r="G744">
        <v>2</v>
      </c>
      <c r="H744">
        <v>750725</v>
      </c>
    </row>
    <row r="745" spans="1:8" x14ac:dyDescent="0.25">
      <c r="A745">
        <v>1788</v>
      </c>
      <c r="B745">
        <v>3</v>
      </c>
      <c r="C745">
        <v>1</v>
      </c>
      <c r="D745">
        <v>24</v>
      </c>
      <c r="E745">
        <v>24</v>
      </c>
      <c r="F745">
        <v>0</v>
      </c>
      <c r="G745">
        <v>2</v>
      </c>
      <c r="H745">
        <v>458383</v>
      </c>
    </row>
    <row r="746" spans="1:8" x14ac:dyDescent="0.25">
      <c r="A746">
        <v>1931</v>
      </c>
      <c r="B746">
        <v>3</v>
      </c>
      <c r="C746">
        <v>3</v>
      </c>
      <c r="D746">
        <v>28</v>
      </c>
      <c r="E746">
        <v>27</v>
      </c>
      <c r="F746">
        <v>0</v>
      </c>
      <c r="G746">
        <v>5</v>
      </c>
      <c r="H746">
        <v>603556</v>
      </c>
    </row>
    <row r="747" spans="1:8" x14ac:dyDescent="0.25">
      <c r="A747">
        <v>3333</v>
      </c>
      <c r="B747">
        <v>3</v>
      </c>
      <c r="C747">
        <v>2</v>
      </c>
      <c r="D747">
        <v>7</v>
      </c>
      <c r="E747">
        <v>28</v>
      </c>
      <c r="F747">
        <v>0</v>
      </c>
      <c r="G747">
        <v>9</v>
      </c>
      <c r="H747">
        <v>959439</v>
      </c>
    </row>
    <row r="748" spans="1:8" x14ac:dyDescent="0.25">
      <c r="A748">
        <v>3231</v>
      </c>
      <c r="B748">
        <v>3</v>
      </c>
      <c r="C748">
        <v>3</v>
      </c>
      <c r="D748">
        <v>5</v>
      </c>
      <c r="E748">
        <v>1</v>
      </c>
      <c r="F748">
        <v>0</v>
      </c>
      <c r="G748">
        <v>4</v>
      </c>
      <c r="H748">
        <v>845441</v>
      </c>
    </row>
    <row r="749" spans="1:8" x14ac:dyDescent="0.25">
      <c r="A749">
        <v>1545</v>
      </c>
      <c r="B749">
        <v>3</v>
      </c>
      <c r="C749">
        <v>3</v>
      </c>
      <c r="D749">
        <v>25</v>
      </c>
      <c r="E749">
        <v>34</v>
      </c>
      <c r="F749">
        <v>0</v>
      </c>
      <c r="G749">
        <v>4</v>
      </c>
      <c r="H749">
        <v>574379</v>
      </c>
    </row>
    <row r="750" spans="1:8" x14ac:dyDescent="0.25">
      <c r="A750">
        <v>4119</v>
      </c>
      <c r="B750">
        <v>3</v>
      </c>
      <c r="C750">
        <v>3</v>
      </c>
      <c r="D750">
        <v>32</v>
      </c>
      <c r="E750">
        <v>31</v>
      </c>
      <c r="F750">
        <v>0</v>
      </c>
      <c r="G750">
        <v>5</v>
      </c>
      <c r="H750">
        <v>921586</v>
      </c>
    </row>
    <row r="751" spans="1:8" x14ac:dyDescent="0.25">
      <c r="A751">
        <v>910</v>
      </c>
      <c r="B751">
        <v>3</v>
      </c>
      <c r="C751">
        <v>3</v>
      </c>
      <c r="D751">
        <v>34</v>
      </c>
      <c r="E751">
        <v>5</v>
      </c>
      <c r="F751">
        <v>0</v>
      </c>
      <c r="G751">
        <v>7</v>
      </c>
      <c r="H751">
        <v>490893</v>
      </c>
    </row>
    <row r="752" spans="1:8" x14ac:dyDescent="0.25">
      <c r="A752">
        <v>804</v>
      </c>
      <c r="B752">
        <v>3</v>
      </c>
      <c r="C752">
        <v>1</v>
      </c>
      <c r="D752">
        <v>12</v>
      </c>
      <c r="E752">
        <v>27</v>
      </c>
      <c r="F752">
        <v>0</v>
      </c>
      <c r="G752">
        <v>4</v>
      </c>
      <c r="H752">
        <v>425369</v>
      </c>
    </row>
    <row r="753" spans="1:8" x14ac:dyDescent="0.25">
      <c r="A753">
        <v>4036</v>
      </c>
      <c r="B753">
        <v>3</v>
      </c>
      <c r="C753">
        <v>3</v>
      </c>
      <c r="D753">
        <v>1</v>
      </c>
      <c r="E753">
        <v>20</v>
      </c>
      <c r="F753">
        <v>0</v>
      </c>
      <c r="G753">
        <v>6</v>
      </c>
      <c r="H753">
        <v>776081</v>
      </c>
    </row>
    <row r="754" spans="1:8" x14ac:dyDescent="0.25">
      <c r="A754">
        <v>2223</v>
      </c>
      <c r="B754">
        <v>3</v>
      </c>
      <c r="C754">
        <v>2</v>
      </c>
      <c r="D754">
        <v>35</v>
      </c>
      <c r="E754">
        <v>18</v>
      </c>
      <c r="F754">
        <v>0</v>
      </c>
      <c r="G754">
        <v>2</v>
      </c>
      <c r="H754">
        <v>382325</v>
      </c>
    </row>
    <row r="755" spans="1:8" x14ac:dyDescent="0.25">
      <c r="A755">
        <v>1170</v>
      </c>
      <c r="B755">
        <v>3</v>
      </c>
      <c r="C755">
        <v>1</v>
      </c>
      <c r="D755">
        <v>17</v>
      </c>
      <c r="E755">
        <v>14</v>
      </c>
      <c r="F755">
        <v>0</v>
      </c>
      <c r="G755">
        <v>8</v>
      </c>
      <c r="H755">
        <v>541350</v>
      </c>
    </row>
    <row r="756" spans="1:8" x14ac:dyDescent="0.25">
      <c r="A756">
        <v>1758</v>
      </c>
      <c r="B756">
        <v>3</v>
      </c>
      <c r="C756">
        <v>1</v>
      </c>
      <c r="D756">
        <v>24</v>
      </c>
      <c r="E756">
        <v>1</v>
      </c>
      <c r="F756">
        <v>0</v>
      </c>
      <c r="G756">
        <v>10</v>
      </c>
      <c r="H756">
        <v>779498</v>
      </c>
    </row>
    <row r="757" spans="1:8" x14ac:dyDescent="0.25">
      <c r="A757">
        <v>3872</v>
      </c>
      <c r="B757">
        <v>3</v>
      </c>
      <c r="C757">
        <v>3</v>
      </c>
      <c r="D757">
        <v>23</v>
      </c>
      <c r="E757">
        <v>26</v>
      </c>
      <c r="F757">
        <v>0</v>
      </c>
      <c r="G757">
        <v>3</v>
      </c>
      <c r="H757">
        <v>730424</v>
      </c>
    </row>
    <row r="758" spans="1:8" x14ac:dyDescent="0.25">
      <c r="A758">
        <v>4300</v>
      </c>
      <c r="B758">
        <v>3</v>
      </c>
      <c r="C758">
        <v>3</v>
      </c>
      <c r="D758">
        <v>35</v>
      </c>
      <c r="E758">
        <v>24</v>
      </c>
      <c r="F758">
        <v>0</v>
      </c>
      <c r="G758">
        <v>6</v>
      </c>
      <c r="H758">
        <v>833980</v>
      </c>
    </row>
    <row r="759" spans="1:8" x14ac:dyDescent="0.25">
      <c r="A759">
        <v>2153</v>
      </c>
      <c r="B759">
        <v>3</v>
      </c>
      <c r="C759">
        <v>1</v>
      </c>
      <c r="D759">
        <v>10</v>
      </c>
      <c r="E759">
        <v>17</v>
      </c>
      <c r="F759">
        <v>0</v>
      </c>
      <c r="G759">
        <v>6</v>
      </c>
      <c r="H759">
        <v>644160</v>
      </c>
    </row>
    <row r="760" spans="1:8" x14ac:dyDescent="0.25">
      <c r="A760">
        <v>4044</v>
      </c>
      <c r="B760">
        <v>3</v>
      </c>
      <c r="C760">
        <v>2</v>
      </c>
      <c r="D760">
        <v>3</v>
      </c>
      <c r="E760">
        <v>35</v>
      </c>
      <c r="F760">
        <v>0</v>
      </c>
      <c r="G760">
        <v>2</v>
      </c>
      <c r="H760">
        <v>759969</v>
      </c>
    </row>
    <row r="761" spans="1:8" x14ac:dyDescent="0.25">
      <c r="A761">
        <v>3197</v>
      </c>
      <c r="B761">
        <v>3</v>
      </c>
      <c r="C761">
        <v>4</v>
      </c>
      <c r="D761">
        <v>4</v>
      </c>
      <c r="E761">
        <v>8</v>
      </c>
      <c r="F761">
        <v>0</v>
      </c>
      <c r="G761">
        <v>5</v>
      </c>
      <c r="H761">
        <v>876754</v>
      </c>
    </row>
    <row r="762" spans="1:8" x14ac:dyDescent="0.25">
      <c r="A762">
        <v>2003</v>
      </c>
      <c r="B762">
        <v>3</v>
      </c>
      <c r="C762">
        <v>1</v>
      </c>
      <c r="D762">
        <v>18</v>
      </c>
      <c r="E762">
        <v>11</v>
      </c>
      <c r="F762">
        <v>0</v>
      </c>
      <c r="G762">
        <v>6</v>
      </c>
      <c r="H762">
        <v>583439</v>
      </c>
    </row>
    <row r="763" spans="1:8" x14ac:dyDescent="0.25">
      <c r="A763">
        <v>4407</v>
      </c>
      <c r="B763">
        <v>3</v>
      </c>
      <c r="C763">
        <v>1</v>
      </c>
      <c r="D763">
        <v>10</v>
      </c>
      <c r="E763">
        <v>21</v>
      </c>
      <c r="F763">
        <v>0</v>
      </c>
      <c r="G763">
        <v>4</v>
      </c>
      <c r="H763">
        <v>846418</v>
      </c>
    </row>
    <row r="764" spans="1:8" x14ac:dyDescent="0.25">
      <c r="A764">
        <v>3270</v>
      </c>
      <c r="B764">
        <v>3</v>
      </c>
      <c r="C764">
        <v>3</v>
      </c>
      <c r="D764">
        <v>9</v>
      </c>
      <c r="E764">
        <v>6</v>
      </c>
      <c r="F764">
        <v>0</v>
      </c>
      <c r="G764">
        <v>5</v>
      </c>
      <c r="H764">
        <v>965063</v>
      </c>
    </row>
    <row r="765" spans="1:8" x14ac:dyDescent="0.25">
      <c r="A765">
        <v>1045</v>
      </c>
      <c r="B765">
        <v>3</v>
      </c>
      <c r="C765">
        <v>1</v>
      </c>
      <c r="D765">
        <v>12</v>
      </c>
      <c r="E765">
        <v>10</v>
      </c>
      <c r="F765">
        <v>0</v>
      </c>
      <c r="G765">
        <v>4</v>
      </c>
      <c r="H765">
        <v>449839</v>
      </c>
    </row>
    <row r="766" spans="1:8" x14ac:dyDescent="0.25">
      <c r="A766">
        <v>2210</v>
      </c>
      <c r="B766">
        <v>3</v>
      </c>
      <c r="C766">
        <v>4</v>
      </c>
      <c r="D766">
        <v>25</v>
      </c>
      <c r="E766">
        <v>9</v>
      </c>
      <c r="F766">
        <v>0</v>
      </c>
      <c r="G766">
        <v>8</v>
      </c>
      <c r="H766">
        <v>765428</v>
      </c>
    </row>
    <row r="767" spans="1:8" x14ac:dyDescent="0.25">
      <c r="A767">
        <v>4144</v>
      </c>
      <c r="B767">
        <v>3</v>
      </c>
      <c r="C767">
        <v>4</v>
      </c>
      <c r="D767">
        <v>5</v>
      </c>
      <c r="E767">
        <v>21</v>
      </c>
      <c r="F767">
        <v>0</v>
      </c>
      <c r="G767">
        <v>5</v>
      </c>
      <c r="H767">
        <v>900437</v>
      </c>
    </row>
    <row r="768" spans="1:8" x14ac:dyDescent="0.25">
      <c r="A768">
        <v>660</v>
      </c>
      <c r="B768">
        <v>3</v>
      </c>
      <c r="C768">
        <v>4</v>
      </c>
      <c r="D768">
        <v>16</v>
      </c>
      <c r="E768">
        <v>17</v>
      </c>
      <c r="F768">
        <v>0</v>
      </c>
      <c r="G768">
        <v>3</v>
      </c>
      <c r="H768">
        <v>478414</v>
      </c>
    </row>
    <row r="769" spans="1:8" x14ac:dyDescent="0.25">
      <c r="A769">
        <v>2460</v>
      </c>
      <c r="B769">
        <v>3</v>
      </c>
      <c r="C769">
        <v>1</v>
      </c>
      <c r="D769">
        <v>33</v>
      </c>
      <c r="E769">
        <v>33</v>
      </c>
      <c r="F769">
        <v>0</v>
      </c>
      <c r="G769">
        <v>6</v>
      </c>
      <c r="H769">
        <v>562830</v>
      </c>
    </row>
    <row r="770" spans="1:8" x14ac:dyDescent="0.25">
      <c r="A770">
        <v>4077</v>
      </c>
      <c r="B770">
        <v>3</v>
      </c>
      <c r="C770">
        <v>3</v>
      </c>
      <c r="D770">
        <v>23</v>
      </c>
      <c r="E770">
        <v>31</v>
      </c>
      <c r="F770">
        <v>0</v>
      </c>
      <c r="G770">
        <v>2</v>
      </c>
      <c r="H770">
        <v>702133</v>
      </c>
    </row>
    <row r="771" spans="1:8" x14ac:dyDescent="0.25">
      <c r="A771">
        <v>1518</v>
      </c>
      <c r="B771">
        <v>3</v>
      </c>
      <c r="C771">
        <v>4</v>
      </c>
      <c r="D771">
        <v>21</v>
      </c>
      <c r="E771">
        <v>19</v>
      </c>
      <c r="F771">
        <v>0</v>
      </c>
      <c r="G771">
        <v>10</v>
      </c>
      <c r="H771">
        <v>641379</v>
      </c>
    </row>
    <row r="772" spans="1:8" x14ac:dyDescent="0.25">
      <c r="A772">
        <v>635</v>
      </c>
      <c r="B772">
        <v>3</v>
      </c>
      <c r="C772">
        <v>3</v>
      </c>
      <c r="D772">
        <v>8</v>
      </c>
      <c r="E772">
        <v>20</v>
      </c>
      <c r="F772">
        <v>0</v>
      </c>
      <c r="G772">
        <v>4</v>
      </c>
      <c r="H772">
        <v>415032</v>
      </c>
    </row>
    <row r="773" spans="1:8" x14ac:dyDescent="0.25">
      <c r="A773">
        <v>2308</v>
      </c>
      <c r="B773">
        <v>3</v>
      </c>
      <c r="C773">
        <v>4</v>
      </c>
      <c r="D773">
        <v>35</v>
      </c>
      <c r="E773">
        <v>9</v>
      </c>
      <c r="F773">
        <v>0</v>
      </c>
      <c r="G773">
        <v>2</v>
      </c>
      <c r="H773">
        <v>649430</v>
      </c>
    </row>
    <row r="774" spans="1:8" x14ac:dyDescent="0.25">
      <c r="A774">
        <v>3791</v>
      </c>
      <c r="B774">
        <v>3</v>
      </c>
      <c r="C774">
        <v>3</v>
      </c>
      <c r="D774">
        <v>39</v>
      </c>
      <c r="E774">
        <v>21</v>
      </c>
      <c r="F774">
        <v>0</v>
      </c>
      <c r="G774">
        <v>3</v>
      </c>
      <c r="H774">
        <v>633245</v>
      </c>
    </row>
    <row r="775" spans="1:8" x14ac:dyDescent="0.25">
      <c r="A775">
        <v>1272</v>
      </c>
      <c r="B775">
        <v>3</v>
      </c>
      <c r="C775">
        <v>3</v>
      </c>
      <c r="D775">
        <v>21</v>
      </c>
      <c r="E775">
        <v>25</v>
      </c>
      <c r="F775">
        <v>0</v>
      </c>
      <c r="G775">
        <v>10</v>
      </c>
      <c r="H775">
        <v>733567</v>
      </c>
    </row>
    <row r="776" spans="1:8" x14ac:dyDescent="0.25">
      <c r="A776">
        <v>2592</v>
      </c>
      <c r="B776">
        <v>3</v>
      </c>
      <c r="C776">
        <v>3</v>
      </c>
      <c r="D776">
        <v>29</v>
      </c>
      <c r="E776">
        <v>35</v>
      </c>
      <c r="F776">
        <v>0</v>
      </c>
      <c r="G776">
        <v>5</v>
      </c>
      <c r="H776">
        <v>726677</v>
      </c>
    </row>
    <row r="777" spans="1:8" x14ac:dyDescent="0.25">
      <c r="A777">
        <v>877</v>
      </c>
      <c r="B777">
        <v>3</v>
      </c>
      <c r="C777">
        <v>1</v>
      </c>
      <c r="D777">
        <v>0</v>
      </c>
      <c r="E777">
        <v>32</v>
      </c>
      <c r="F777">
        <v>0</v>
      </c>
      <c r="G777">
        <v>3</v>
      </c>
      <c r="H777">
        <v>403806</v>
      </c>
    </row>
    <row r="778" spans="1:8" x14ac:dyDescent="0.25">
      <c r="A778">
        <v>2736</v>
      </c>
      <c r="B778">
        <v>3</v>
      </c>
      <c r="C778">
        <v>2</v>
      </c>
      <c r="D778">
        <v>21</v>
      </c>
      <c r="E778">
        <v>1</v>
      </c>
      <c r="F778">
        <v>0</v>
      </c>
      <c r="G778">
        <v>5</v>
      </c>
      <c r="H778">
        <v>478277</v>
      </c>
    </row>
    <row r="779" spans="1:8" x14ac:dyDescent="0.25">
      <c r="A779">
        <v>3312</v>
      </c>
      <c r="B779">
        <v>3</v>
      </c>
      <c r="C779">
        <v>4</v>
      </c>
      <c r="D779">
        <v>10</v>
      </c>
      <c r="E779">
        <v>33</v>
      </c>
      <c r="F779">
        <v>0</v>
      </c>
      <c r="G779">
        <v>4</v>
      </c>
      <c r="H779">
        <v>743379</v>
      </c>
    </row>
    <row r="780" spans="1:8" x14ac:dyDescent="0.25">
      <c r="A780">
        <v>3319</v>
      </c>
      <c r="B780">
        <v>3</v>
      </c>
      <c r="C780">
        <v>4</v>
      </c>
      <c r="D780">
        <v>28</v>
      </c>
      <c r="E780">
        <v>33</v>
      </c>
      <c r="F780">
        <v>0</v>
      </c>
      <c r="G780">
        <v>6</v>
      </c>
      <c r="H780">
        <v>754623</v>
      </c>
    </row>
    <row r="781" spans="1:8" x14ac:dyDescent="0.25">
      <c r="A781">
        <v>762</v>
      </c>
      <c r="B781">
        <v>3</v>
      </c>
      <c r="C781">
        <v>1</v>
      </c>
      <c r="D781">
        <v>3</v>
      </c>
      <c r="E781">
        <v>16</v>
      </c>
      <c r="F781">
        <v>0</v>
      </c>
      <c r="G781">
        <v>6</v>
      </c>
      <c r="H781">
        <v>525369</v>
      </c>
    </row>
    <row r="782" spans="1:8" x14ac:dyDescent="0.25">
      <c r="A782">
        <v>3767</v>
      </c>
      <c r="B782">
        <v>3</v>
      </c>
      <c r="C782">
        <v>1</v>
      </c>
      <c r="D782">
        <v>5</v>
      </c>
      <c r="E782">
        <v>17</v>
      </c>
      <c r="F782">
        <v>0</v>
      </c>
      <c r="G782">
        <v>4</v>
      </c>
      <c r="H782">
        <v>781572</v>
      </c>
    </row>
    <row r="783" spans="1:8" x14ac:dyDescent="0.25">
      <c r="A783">
        <v>3681</v>
      </c>
      <c r="B783">
        <v>3</v>
      </c>
      <c r="C783">
        <v>4</v>
      </c>
      <c r="D783">
        <v>38</v>
      </c>
      <c r="E783">
        <v>20</v>
      </c>
      <c r="F783">
        <v>0</v>
      </c>
      <c r="G783">
        <v>5</v>
      </c>
      <c r="H783">
        <v>947639</v>
      </c>
    </row>
    <row r="784" spans="1:8" x14ac:dyDescent="0.25">
      <c r="A784">
        <v>741</v>
      </c>
      <c r="B784">
        <v>3</v>
      </c>
      <c r="C784">
        <v>2</v>
      </c>
      <c r="D784">
        <v>24</v>
      </c>
      <c r="E784">
        <v>11</v>
      </c>
      <c r="F784">
        <v>0</v>
      </c>
      <c r="G784">
        <v>5</v>
      </c>
      <c r="H784">
        <v>396758</v>
      </c>
    </row>
    <row r="785" spans="1:8" x14ac:dyDescent="0.25">
      <c r="A785">
        <v>4464</v>
      </c>
      <c r="B785">
        <v>3</v>
      </c>
      <c r="C785">
        <v>3</v>
      </c>
      <c r="D785">
        <v>25</v>
      </c>
      <c r="E785">
        <v>30</v>
      </c>
      <c r="F785">
        <v>0</v>
      </c>
      <c r="G785">
        <v>4</v>
      </c>
      <c r="H785">
        <v>902992</v>
      </c>
    </row>
    <row r="786" spans="1:8" x14ac:dyDescent="0.25">
      <c r="A786">
        <v>3710</v>
      </c>
      <c r="B786">
        <v>3</v>
      </c>
      <c r="C786">
        <v>2</v>
      </c>
      <c r="D786">
        <v>13</v>
      </c>
      <c r="E786">
        <v>3</v>
      </c>
      <c r="F786">
        <v>0</v>
      </c>
      <c r="G786">
        <v>9</v>
      </c>
      <c r="H786">
        <v>1056181</v>
      </c>
    </row>
    <row r="787" spans="1:8" x14ac:dyDescent="0.25">
      <c r="A787">
        <v>3700</v>
      </c>
      <c r="B787">
        <v>3</v>
      </c>
      <c r="C787">
        <v>3</v>
      </c>
      <c r="D787">
        <v>32</v>
      </c>
      <c r="E787">
        <v>19</v>
      </c>
      <c r="F787">
        <v>0</v>
      </c>
      <c r="G787">
        <v>1</v>
      </c>
      <c r="H787">
        <v>653842</v>
      </c>
    </row>
    <row r="788" spans="1:8" x14ac:dyDescent="0.25">
      <c r="A788">
        <v>3556</v>
      </c>
      <c r="B788">
        <v>3</v>
      </c>
      <c r="C788">
        <v>3</v>
      </c>
      <c r="D788">
        <v>39</v>
      </c>
      <c r="E788">
        <v>22</v>
      </c>
      <c r="F788">
        <v>0</v>
      </c>
      <c r="G788">
        <v>2</v>
      </c>
      <c r="H788">
        <v>542584</v>
      </c>
    </row>
    <row r="789" spans="1:8" x14ac:dyDescent="0.25">
      <c r="A789">
        <v>3704</v>
      </c>
      <c r="B789">
        <v>3</v>
      </c>
      <c r="C789">
        <v>4</v>
      </c>
      <c r="D789">
        <v>7</v>
      </c>
      <c r="E789">
        <v>18</v>
      </c>
      <c r="F789">
        <v>0</v>
      </c>
      <c r="G789">
        <v>2</v>
      </c>
      <c r="H789">
        <v>803486</v>
      </c>
    </row>
    <row r="790" spans="1:8" x14ac:dyDescent="0.25">
      <c r="A790">
        <v>4464</v>
      </c>
      <c r="B790">
        <v>3</v>
      </c>
      <c r="C790">
        <v>3</v>
      </c>
      <c r="D790">
        <v>25</v>
      </c>
      <c r="E790">
        <v>30</v>
      </c>
      <c r="F790">
        <v>0</v>
      </c>
      <c r="G790">
        <v>4</v>
      </c>
      <c r="H790">
        <v>902992</v>
      </c>
    </row>
    <row r="791" spans="1:8" x14ac:dyDescent="0.25">
      <c r="A791">
        <v>1682</v>
      </c>
      <c r="B791">
        <v>3</v>
      </c>
      <c r="C791">
        <v>3</v>
      </c>
      <c r="D791">
        <v>0</v>
      </c>
      <c r="E791">
        <v>15</v>
      </c>
      <c r="F791">
        <v>0</v>
      </c>
      <c r="G791">
        <v>4</v>
      </c>
      <c r="H791">
        <v>643474</v>
      </c>
    </row>
    <row r="792" spans="1:8" x14ac:dyDescent="0.25">
      <c r="A792">
        <v>606</v>
      </c>
      <c r="B792">
        <v>3</v>
      </c>
      <c r="C792">
        <v>1</v>
      </c>
      <c r="D792">
        <v>28</v>
      </c>
      <c r="E792">
        <v>26</v>
      </c>
      <c r="F792">
        <v>0</v>
      </c>
      <c r="G792">
        <v>5</v>
      </c>
      <c r="H792">
        <v>341849</v>
      </c>
    </row>
    <row r="793" spans="1:8" x14ac:dyDescent="0.25">
      <c r="A793">
        <v>3571</v>
      </c>
      <c r="B793">
        <v>2</v>
      </c>
      <c r="C793">
        <v>2</v>
      </c>
      <c r="D793">
        <v>35</v>
      </c>
      <c r="E793">
        <v>24</v>
      </c>
      <c r="F793">
        <v>0</v>
      </c>
      <c r="G793">
        <v>5</v>
      </c>
      <c r="H793">
        <v>753400</v>
      </c>
    </row>
    <row r="794" spans="1:8" x14ac:dyDescent="0.25">
      <c r="A794">
        <v>1482</v>
      </c>
      <c r="B794">
        <v>2</v>
      </c>
      <c r="C794">
        <v>2</v>
      </c>
      <c r="D794">
        <v>26</v>
      </c>
      <c r="E794">
        <v>7</v>
      </c>
      <c r="F794">
        <v>0</v>
      </c>
      <c r="G794">
        <v>9</v>
      </c>
      <c r="H794">
        <v>554776</v>
      </c>
    </row>
    <row r="795" spans="1:8" x14ac:dyDescent="0.25">
      <c r="A795">
        <v>641</v>
      </c>
      <c r="B795">
        <v>2</v>
      </c>
      <c r="C795">
        <v>1</v>
      </c>
      <c r="D795">
        <v>18</v>
      </c>
      <c r="E795">
        <v>27</v>
      </c>
      <c r="F795">
        <v>0</v>
      </c>
      <c r="G795">
        <v>5</v>
      </c>
      <c r="H795">
        <v>386265</v>
      </c>
    </row>
    <row r="796" spans="1:8" x14ac:dyDescent="0.25">
      <c r="A796">
        <v>434</v>
      </c>
      <c r="B796">
        <v>2</v>
      </c>
      <c r="C796">
        <v>2</v>
      </c>
      <c r="D796">
        <v>37</v>
      </c>
      <c r="E796">
        <v>34</v>
      </c>
      <c r="F796">
        <v>0</v>
      </c>
      <c r="G796">
        <v>5</v>
      </c>
      <c r="H796">
        <v>233114</v>
      </c>
    </row>
    <row r="797" spans="1:8" x14ac:dyDescent="0.25">
      <c r="A797">
        <v>1985</v>
      </c>
      <c r="B797">
        <v>2</v>
      </c>
      <c r="C797">
        <v>1</v>
      </c>
      <c r="D797">
        <v>16</v>
      </c>
      <c r="E797">
        <v>34</v>
      </c>
      <c r="F797">
        <v>0</v>
      </c>
      <c r="G797">
        <v>8</v>
      </c>
      <c r="H797">
        <v>637497</v>
      </c>
    </row>
    <row r="798" spans="1:8" x14ac:dyDescent="0.25">
      <c r="A798">
        <v>3861</v>
      </c>
      <c r="B798">
        <v>2</v>
      </c>
      <c r="C798">
        <v>4</v>
      </c>
      <c r="D798">
        <v>24</v>
      </c>
      <c r="E798">
        <v>8</v>
      </c>
      <c r="F798">
        <v>0</v>
      </c>
      <c r="G798">
        <v>3</v>
      </c>
      <c r="H798">
        <v>781203</v>
      </c>
    </row>
    <row r="799" spans="1:8" x14ac:dyDescent="0.25">
      <c r="A799">
        <v>1900</v>
      </c>
      <c r="B799">
        <v>2</v>
      </c>
      <c r="C799">
        <v>2</v>
      </c>
      <c r="D799">
        <v>34</v>
      </c>
      <c r="E799">
        <v>21</v>
      </c>
      <c r="F799">
        <v>0</v>
      </c>
      <c r="G799">
        <v>4</v>
      </c>
      <c r="H799">
        <v>500639</v>
      </c>
    </row>
    <row r="800" spans="1:8" x14ac:dyDescent="0.25">
      <c r="A800">
        <v>4393</v>
      </c>
      <c r="B800">
        <v>2</v>
      </c>
      <c r="C800">
        <v>2</v>
      </c>
      <c r="D800">
        <v>34</v>
      </c>
      <c r="E800">
        <v>18</v>
      </c>
      <c r="F800">
        <v>0</v>
      </c>
      <c r="G800">
        <v>8</v>
      </c>
      <c r="H800">
        <v>890989</v>
      </c>
    </row>
    <row r="801" spans="1:8" x14ac:dyDescent="0.25">
      <c r="A801">
        <v>4874</v>
      </c>
      <c r="B801">
        <v>2</v>
      </c>
      <c r="C801">
        <v>1</v>
      </c>
      <c r="D801">
        <v>34</v>
      </c>
      <c r="E801">
        <v>1</v>
      </c>
      <c r="F801">
        <v>0</v>
      </c>
      <c r="G801">
        <v>7</v>
      </c>
      <c r="H801">
        <v>1014423</v>
      </c>
    </row>
    <row r="802" spans="1:8" x14ac:dyDescent="0.25">
      <c r="A802">
        <v>1204</v>
      </c>
      <c r="B802">
        <v>2</v>
      </c>
      <c r="C802">
        <v>4</v>
      </c>
      <c r="D802">
        <v>11</v>
      </c>
      <c r="E802">
        <v>22</v>
      </c>
      <c r="F802">
        <v>0</v>
      </c>
      <c r="G802">
        <v>8</v>
      </c>
      <c r="H802">
        <v>671010</v>
      </c>
    </row>
    <row r="803" spans="1:8" x14ac:dyDescent="0.25">
      <c r="A803">
        <v>3702</v>
      </c>
      <c r="B803">
        <v>2</v>
      </c>
      <c r="C803">
        <v>1</v>
      </c>
      <c r="D803">
        <v>5</v>
      </c>
      <c r="E803">
        <v>13</v>
      </c>
      <c r="F803">
        <v>0</v>
      </c>
      <c r="G803">
        <v>5</v>
      </c>
      <c r="H803">
        <v>734925</v>
      </c>
    </row>
    <row r="804" spans="1:8" x14ac:dyDescent="0.25">
      <c r="A804">
        <v>2398</v>
      </c>
      <c r="B804">
        <v>2</v>
      </c>
      <c r="C804">
        <v>1</v>
      </c>
      <c r="D804">
        <v>34</v>
      </c>
      <c r="E804">
        <v>12</v>
      </c>
      <c r="F804">
        <v>0</v>
      </c>
      <c r="G804">
        <v>5</v>
      </c>
      <c r="H804">
        <v>424472</v>
      </c>
    </row>
    <row r="805" spans="1:8" x14ac:dyDescent="0.25">
      <c r="A805">
        <v>1254</v>
      </c>
      <c r="B805">
        <v>2</v>
      </c>
      <c r="C805">
        <v>1</v>
      </c>
      <c r="D805">
        <v>38</v>
      </c>
      <c r="E805">
        <v>32</v>
      </c>
      <c r="F805">
        <v>0</v>
      </c>
      <c r="G805">
        <v>9</v>
      </c>
      <c r="H805">
        <v>590096</v>
      </c>
    </row>
    <row r="806" spans="1:8" x14ac:dyDescent="0.25">
      <c r="A806">
        <v>2133</v>
      </c>
      <c r="B806">
        <v>2</v>
      </c>
      <c r="C806">
        <v>3</v>
      </c>
      <c r="D806">
        <v>10</v>
      </c>
      <c r="E806">
        <v>15</v>
      </c>
      <c r="F806">
        <v>0</v>
      </c>
      <c r="G806">
        <v>9</v>
      </c>
      <c r="H806">
        <v>843526</v>
      </c>
    </row>
    <row r="807" spans="1:8" x14ac:dyDescent="0.25">
      <c r="A807">
        <v>3982</v>
      </c>
      <c r="B807">
        <v>2</v>
      </c>
      <c r="C807">
        <v>4</v>
      </c>
      <c r="D807">
        <v>27</v>
      </c>
      <c r="E807">
        <v>7</v>
      </c>
      <c r="F807">
        <v>0</v>
      </c>
      <c r="G807">
        <v>3</v>
      </c>
      <c r="H807">
        <v>671991</v>
      </c>
    </row>
    <row r="808" spans="1:8" x14ac:dyDescent="0.25">
      <c r="A808">
        <v>2911</v>
      </c>
      <c r="B808">
        <v>2</v>
      </c>
      <c r="C808">
        <v>4</v>
      </c>
      <c r="D808">
        <v>29</v>
      </c>
      <c r="E808">
        <v>10</v>
      </c>
      <c r="F808">
        <v>0</v>
      </c>
      <c r="G808">
        <v>2</v>
      </c>
      <c r="H808">
        <v>661556</v>
      </c>
    </row>
    <row r="809" spans="1:8" x14ac:dyDescent="0.25">
      <c r="A809">
        <v>888</v>
      </c>
      <c r="B809">
        <v>2</v>
      </c>
      <c r="C809">
        <v>1</v>
      </c>
      <c r="D809">
        <v>36</v>
      </c>
      <c r="E809">
        <v>29</v>
      </c>
      <c r="F809">
        <v>0</v>
      </c>
      <c r="G809">
        <v>3</v>
      </c>
      <c r="H809">
        <v>260685</v>
      </c>
    </row>
    <row r="810" spans="1:8" x14ac:dyDescent="0.25">
      <c r="A810">
        <v>2785</v>
      </c>
      <c r="B810">
        <v>2</v>
      </c>
      <c r="C810">
        <v>1</v>
      </c>
      <c r="D810">
        <v>39</v>
      </c>
      <c r="E810">
        <v>1</v>
      </c>
      <c r="F810">
        <v>0</v>
      </c>
      <c r="G810">
        <v>2</v>
      </c>
      <c r="H810">
        <v>428818</v>
      </c>
    </row>
    <row r="811" spans="1:8" x14ac:dyDescent="0.25">
      <c r="A811">
        <v>2773</v>
      </c>
      <c r="B811">
        <v>2</v>
      </c>
      <c r="C811">
        <v>2</v>
      </c>
      <c r="D811">
        <v>38</v>
      </c>
      <c r="E811">
        <v>26</v>
      </c>
      <c r="F811">
        <v>0</v>
      </c>
      <c r="G811">
        <v>8</v>
      </c>
      <c r="H811">
        <v>415070</v>
      </c>
    </row>
    <row r="812" spans="1:8" x14ac:dyDescent="0.25">
      <c r="A812">
        <v>2449</v>
      </c>
      <c r="B812">
        <v>2</v>
      </c>
      <c r="C812">
        <v>1</v>
      </c>
      <c r="D812">
        <v>1</v>
      </c>
      <c r="E812">
        <v>8</v>
      </c>
      <c r="F812">
        <v>0</v>
      </c>
      <c r="G812">
        <v>2</v>
      </c>
      <c r="H812">
        <v>470433</v>
      </c>
    </row>
    <row r="813" spans="1:8" x14ac:dyDescent="0.25">
      <c r="A813">
        <v>2957</v>
      </c>
      <c r="B813">
        <v>2</v>
      </c>
      <c r="C813">
        <v>3</v>
      </c>
      <c r="D813">
        <v>1</v>
      </c>
      <c r="E813">
        <v>16</v>
      </c>
      <c r="F813">
        <v>0</v>
      </c>
      <c r="G813">
        <v>6</v>
      </c>
      <c r="H813">
        <v>734860</v>
      </c>
    </row>
    <row r="814" spans="1:8" x14ac:dyDescent="0.25">
      <c r="A814">
        <v>1359</v>
      </c>
      <c r="B814">
        <v>2</v>
      </c>
      <c r="C814">
        <v>3</v>
      </c>
      <c r="D814">
        <v>31</v>
      </c>
      <c r="E814">
        <v>31</v>
      </c>
      <c r="F814">
        <v>0</v>
      </c>
      <c r="G814">
        <v>3</v>
      </c>
      <c r="H814">
        <v>418530</v>
      </c>
    </row>
    <row r="815" spans="1:8" x14ac:dyDescent="0.25">
      <c r="A815">
        <v>3467</v>
      </c>
      <c r="B815">
        <v>2</v>
      </c>
      <c r="C815">
        <v>3</v>
      </c>
      <c r="D815">
        <v>32</v>
      </c>
      <c r="E815">
        <v>15</v>
      </c>
      <c r="F815">
        <v>0</v>
      </c>
      <c r="G815">
        <v>6</v>
      </c>
      <c r="H815">
        <v>762370</v>
      </c>
    </row>
    <row r="816" spans="1:8" x14ac:dyDescent="0.25">
      <c r="A816">
        <v>3520</v>
      </c>
      <c r="B816">
        <v>2</v>
      </c>
      <c r="C816">
        <v>3</v>
      </c>
      <c r="D816">
        <v>38</v>
      </c>
      <c r="E816">
        <v>8</v>
      </c>
      <c r="F816">
        <v>0</v>
      </c>
      <c r="G816">
        <v>6</v>
      </c>
      <c r="H816">
        <v>790448</v>
      </c>
    </row>
    <row r="817" spans="1:8" x14ac:dyDescent="0.25">
      <c r="A817">
        <v>2700</v>
      </c>
      <c r="B817">
        <v>2</v>
      </c>
      <c r="C817">
        <v>3</v>
      </c>
      <c r="D817">
        <v>10</v>
      </c>
      <c r="E817">
        <v>22</v>
      </c>
      <c r="F817">
        <v>0</v>
      </c>
      <c r="G817">
        <v>5</v>
      </c>
      <c r="H817">
        <v>897603</v>
      </c>
    </row>
    <row r="818" spans="1:8" x14ac:dyDescent="0.25">
      <c r="A818">
        <v>2295</v>
      </c>
      <c r="B818">
        <v>2</v>
      </c>
      <c r="C818">
        <v>2</v>
      </c>
      <c r="D818">
        <v>4</v>
      </c>
      <c r="E818">
        <v>26</v>
      </c>
      <c r="F818">
        <v>0</v>
      </c>
      <c r="G818">
        <v>8</v>
      </c>
      <c r="H818">
        <v>724842</v>
      </c>
    </row>
    <row r="819" spans="1:8" x14ac:dyDescent="0.25">
      <c r="A819">
        <v>4457</v>
      </c>
      <c r="B819">
        <v>2</v>
      </c>
      <c r="C819">
        <v>3</v>
      </c>
      <c r="D819">
        <v>14</v>
      </c>
      <c r="E819">
        <v>17</v>
      </c>
      <c r="F819">
        <v>0</v>
      </c>
      <c r="G819">
        <v>9</v>
      </c>
      <c r="H819">
        <v>1021335</v>
      </c>
    </row>
    <row r="820" spans="1:8" x14ac:dyDescent="0.25">
      <c r="A820">
        <v>924</v>
      </c>
      <c r="B820">
        <v>2</v>
      </c>
      <c r="C820">
        <v>4</v>
      </c>
      <c r="D820">
        <v>3</v>
      </c>
      <c r="E820">
        <v>17</v>
      </c>
      <c r="F820">
        <v>0</v>
      </c>
      <c r="G820">
        <v>7</v>
      </c>
      <c r="H820">
        <v>555198</v>
      </c>
    </row>
    <row r="821" spans="1:8" x14ac:dyDescent="0.25">
      <c r="A821">
        <v>2331</v>
      </c>
      <c r="B821">
        <v>2</v>
      </c>
      <c r="C821">
        <v>3</v>
      </c>
      <c r="D821">
        <v>27</v>
      </c>
      <c r="E821">
        <v>12</v>
      </c>
      <c r="F821">
        <v>0</v>
      </c>
      <c r="G821">
        <v>6</v>
      </c>
      <c r="H821">
        <v>631075</v>
      </c>
    </row>
    <row r="822" spans="1:8" x14ac:dyDescent="0.25">
      <c r="A822">
        <v>4072</v>
      </c>
      <c r="B822">
        <v>2</v>
      </c>
      <c r="C822">
        <v>4</v>
      </c>
      <c r="D822">
        <v>33</v>
      </c>
      <c r="E822">
        <v>30</v>
      </c>
      <c r="F822">
        <v>0</v>
      </c>
      <c r="G822">
        <v>8</v>
      </c>
      <c r="H822">
        <v>983437</v>
      </c>
    </row>
    <row r="823" spans="1:8" x14ac:dyDescent="0.25">
      <c r="A823">
        <v>3743</v>
      </c>
      <c r="B823">
        <v>2</v>
      </c>
      <c r="C823">
        <v>3</v>
      </c>
      <c r="D823">
        <v>11</v>
      </c>
      <c r="E823">
        <v>27</v>
      </c>
      <c r="F823">
        <v>0</v>
      </c>
      <c r="G823">
        <v>3</v>
      </c>
      <c r="H823">
        <v>714004</v>
      </c>
    </row>
    <row r="824" spans="1:8" x14ac:dyDescent="0.25">
      <c r="A824">
        <v>3756</v>
      </c>
      <c r="B824">
        <v>2</v>
      </c>
      <c r="C824">
        <v>2</v>
      </c>
      <c r="D824">
        <v>20</v>
      </c>
      <c r="E824">
        <v>25</v>
      </c>
      <c r="F824">
        <v>0</v>
      </c>
      <c r="G824">
        <v>6</v>
      </c>
      <c r="H824">
        <v>828169</v>
      </c>
    </row>
    <row r="825" spans="1:8" x14ac:dyDescent="0.25">
      <c r="A825">
        <v>3651</v>
      </c>
      <c r="B825">
        <v>2</v>
      </c>
      <c r="C825">
        <v>2</v>
      </c>
      <c r="D825">
        <v>13</v>
      </c>
      <c r="E825">
        <v>29</v>
      </c>
      <c r="F825">
        <v>0</v>
      </c>
      <c r="G825">
        <v>6</v>
      </c>
      <c r="H825">
        <v>777756</v>
      </c>
    </row>
    <row r="826" spans="1:8" x14ac:dyDescent="0.25">
      <c r="A826">
        <v>4369</v>
      </c>
      <c r="B826">
        <v>2</v>
      </c>
      <c r="C826">
        <v>3</v>
      </c>
      <c r="D826">
        <v>15</v>
      </c>
      <c r="E826">
        <v>24</v>
      </c>
      <c r="F826">
        <v>0</v>
      </c>
      <c r="G826">
        <v>5</v>
      </c>
      <c r="H826">
        <v>1089183</v>
      </c>
    </row>
    <row r="827" spans="1:8" x14ac:dyDescent="0.25">
      <c r="A827">
        <v>4352</v>
      </c>
      <c r="B827">
        <v>2</v>
      </c>
      <c r="C827">
        <v>4</v>
      </c>
      <c r="D827">
        <v>29</v>
      </c>
      <c r="E827">
        <v>24</v>
      </c>
      <c r="F827">
        <v>0</v>
      </c>
      <c r="G827">
        <v>1</v>
      </c>
      <c r="H827">
        <v>661696</v>
      </c>
    </row>
    <row r="828" spans="1:8" x14ac:dyDescent="0.25">
      <c r="A828">
        <v>2902</v>
      </c>
      <c r="B828">
        <v>2</v>
      </c>
      <c r="C828">
        <v>2</v>
      </c>
      <c r="D828">
        <v>31</v>
      </c>
      <c r="E828">
        <v>17</v>
      </c>
      <c r="F828">
        <v>0</v>
      </c>
      <c r="G828">
        <v>8</v>
      </c>
      <c r="H828">
        <v>804735</v>
      </c>
    </row>
    <row r="829" spans="1:8" x14ac:dyDescent="0.25">
      <c r="A829">
        <v>3323</v>
      </c>
      <c r="B829">
        <v>2</v>
      </c>
      <c r="C829">
        <v>1</v>
      </c>
      <c r="D829">
        <v>27</v>
      </c>
      <c r="E829">
        <v>18</v>
      </c>
      <c r="F829">
        <v>0</v>
      </c>
      <c r="G829">
        <v>7</v>
      </c>
      <c r="H829">
        <v>721286</v>
      </c>
    </row>
    <row r="830" spans="1:8" x14ac:dyDescent="0.25">
      <c r="A830">
        <v>1481</v>
      </c>
      <c r="B830">
        <v>2</v>
      </c>
      <c r="C830">
        <v>4</v>
      </c>
      <c r="D830">
        <v>11</v>
      </c>
      <c r="E830">
        <v>13</v>
      </c>
      <c r="F830">
        <v>0</v>
      </c>
      <c r="G830">
        <v>2</v>
      </c>
      <c r="H830">
        <v>375204</v>
      </c>
    </row>
    <row r="831" spans="1:8" x14ac:dyDescent="0.25">
      <c r="A831">
        <v>3984</v>
      </c>
      <c r="B831">
        <v>2</v>
      </c>
      <c r="C831">
        <v>1</v>
      </c>
      <c r="D831">
        <v>26</v>
      </c>
      <c r="E831">
        <v>34</v>
      </c>
      <c r="F831">
        <v>0</v>
      </c>
      <c r="G831">
        <v>5</v>
      </c>
      <c r="H831">
        <v>730072</v>
      </c>
    </row>
    <row r="832" spans="1:8" x14ac:dyDescent="0.25">
      <c r="A832">
        <v>757</v>
      </c>
      <c r="B832">
        <v>2</v>
      </c>
      <c r="C832">
        <v>4</v>
      </c>
      <c r="D832">
        <v>11</v>
      </c>
      <c r="E832">
        <v>29</v>
      </c>
      <c r="F832">
        <v>0</v>
      </c>
      <c r="G832">
        <v>10</v>
      </c>
      <c r="H832">
        <v>675851</v>
      </c>
    </row>
    <row r="833" spans="1:8" x14ac:dyDescent="0.25">
      <c r="A833">
        <v>939</v>
      </c>
      <c r="B833">
        <v>2</v>
      </c>
      <c r="C833">
        <v>4</v>
      </c>
      <c r="D833">
        <v>24</v>
      </c>
      <c r="E833">
        <v>3</v>
      </c>
      <c r="F833">
        <v>0</v>
      </c>
      <c r="G833">
        <v>3</v>
      </c>
      <c r="H833">
        <v>404916</v>
      </c>
    </row>
    <row r="834" spans="1:8" x14ac:dyDescent="0.25">
      <c r="A834">
        <v>1981</v>
      </c>
      <c r="B834">
        <v>2</v>
      </c>
      <c r="C834">
        <v>4</v>
      </c>
      <c r="D834">
        <v>23</v>
      </c>
      <c r="E834">
        <v>17</v>
      </c>
      <c r="F834">
        <v>0</v>
      </c>
      <c r="G834">
        <v>8</v>
      </c>
      <c r="H834">
        <v>671448</v>
      </c>
    </row>
    <row r="835" spans="1:8" x14ac:dyDescent="0.25">
      <c r="A835">
        <v>2773</v>
      </c>
      <c r="B835">
        <v>2</v>
      </c>
      <c r="C835">
        <v>1</v>
      </c>
      <c r="D835">
        <v>8</v>
      </c>
      <c r="E835">
        <v>23</v>
      </c>
      <c r="F835">
        <v>0</v>
      </c>
      <c r="G835">
        <v>9</v>
      </c>
      <c r="H835">
        <v>980699</v>
      </c>
    </row>
    <row r="836" spans="1:8" x14ac:dyDescent="0.25">
      <c r="A836">
        <v>3819</v>
      </c>
      <c r="B836">
        <v>2</v>
      </c>
      <c r="C836">
        <v>3</v>
      </c>
      <c r="D836">
        <v>33</v>
      </c>
      <c r="E836">
        <v>31</v>
      </c>
      <c r="F836">
        <v>0</v>
      </c>
      <c r="G836">
        <v>5</v>
      </c>
      <c r="H836">
        <v>738236</v>
      </c>
    </row>
    <row r="837" spans="1:8" x14ac:dyDescent="0.25">
      <c r="A837">
        <v>2046</v>
      </c>
      <c r="B837">
        <v>2</v>
      </c>
      <c r="C837">
        <v>2</v>
      </c>
      <c r="D837">
        <v>39</v>
      </c>
      <c r="E837">
        <v>20</v>
      </c>
      <c r="F837">
        <v>0</v>
      </c>
      <c r="G837">
        <v>1</v>
      </c>
      <c r="H837">
        <v>349330</v>
      </c>
    </row>
    <row r="838" spans="1:8" x14ac:dyDescent="0.25">
      <c r="A838">
        <v>1712</v>
      </c>
      <c r="B838">
        <v>2</v>
      </c>
      <c r="C838">
        <v>3</v>
      </c>
      <c r="D838">
        <v>26</v>
      </c>
      <c r="E838">
        <v>10</v>
      </c>
      <c r="F838">
        <v>0</v>
      </c>
      <c r="G838">
        <v>6</v>
      </c>
      <c r="H838">
        <v>547853</v>
      </c>
    </row>
    <row r="839" spans="1:8" x14ac:dyDescent="0.25">
      <c r="A839">
        <v>3162</v>
      </c>
      <c r="B839">
        <v>2</v>
      </c>
      <c r="C839">
        <v>2</v>
      </c>
      <c r="D839">
        <v>3</v>
      </c>
      <c r="E839">
        <v>16</v>
      </c>
      <c r="F839">
        <v>0</v>
      </c>
      <c r="G839">
        <v>7</v>
      </c>
      <c r="H839">
        <v>885597</v>
      </c>
    </row>
    <row r="840" spans="1:8" x14ac:dyDescent="0.25">
      <c r="A840">
        <v>2394</v>
      </c>
      <c r="B840">
        <v>2</v>
      </c>
      <c r="C840">
        <v>4</v>
      </c>
      <c r="D840">
        <v>0</v>
      </c>
      <c r="E840">
        <v>8</v>
      </c>
      <c r="F840">
        <v>0</v>
      </c>
      <c r="G840">
        <v>1</v>
      </c>
      <c r="H840">
        <v>587149</v>
      </c>
    </row>
    <row r="841" spans="1:8" x14ac:dyDescent="0.25">
      <c r="A841">
        <v>2263</v>
      </c>
      <c r="B841">
        <v>2</v>
      </c>
      <c r="C841">
        <v>2</v>
      </c>
      <c r="D841">
        <v>31</v>
      </c>
      <c r="E841">
        <v>27</v>
      </c>
      <c r="F841">
        <v>0</v>
      </c>
      <c r="G841">
        <v>4</v>
      </c>
      <c r="H841">
        <v>513912</v>
      </c>
    </row>
    <row r="842" spans="1:8" x14ac:dyDescent="0.25">
      <c r="A842">
        <v>1718</v>
      </c>
      <c r="B842">
        <v>2</v>
      </c>
      <c r="C842">
        <v>3</v>
      </c>
      <c r="D842">
        <v>24</v>
      </c>
      <c r="E842">
        <v>9</v>
      </c>
      <c r="F842">
        <v>0</v>
      </c>
      <c r="G842">
        <v>2</v>
      </c>
      <c r="H842">
        <v>448257</v>
      </c>
    </row>
    <row r="843" spans="1:8" x14ac:dyDescent="0.25">
      <c r="A843">
        <v>2551</v>
      </c>
      <c r="B843">
        <v>2</v>
      </c>
      <c r="C843">
        <v>2</v>
      </c>
      <c r="D843">
        <v>16</v>
      </c>
      <c r="E843">
        <v>31</v>
      </c>
      <c r="F843">
        <v>0</v>
      </c>
      <c r="G843">
        <v>10</v>
      </c>
      <c r="H843">
        <v>774005</v>
      </c>
    </row>
    <row r="844" spans="1:8" x14ac:dyDescent="0.25">
      <c r="A844">
        <v>2435</v>
      </c>
      <c r="B844">
        <v>2</v>
      </c>
      <c r="C844">
        <v>1</v>
      </c>
      <c r="D844">
        <v>0</v>
      </c>
      <c r="E844">
        <v>13</v>
      </c>
      <c r="F844">
        <v>0</v>
      </c>
      <c r="G844">
        <v>6</v>
      </c>
      <c r="H844">
        <v>690378</v>
      </c>
    </row>
    <row r="845" spans="1:8" x14ac:dyDescent="0.25">
      <c r="A845">
        <v>3468</v>
      </c>
      <c r="B845">
        <v>2</v>
      </c>
      <c r="C845">
        <v>2</v>
      </c>
      <c r="D845">
        <v>0</v>
      </c>
      <c r="E845">
        <v>10</v>
      </c>
      <c r="F845">
        <v>0</v>
      </c>
      <c r="G845">
        <v>6</v>
      </c>
      <c r="H845">
        <v>774268</v>
      </c>
    </row>
    <row r="846" spans="1:8" x14ac:dyDescent="0.25">
      <c r="A846">
        <v>4119</v>
      </c>
      <c r="B846">
        <v>2</v>
      </c>
      <c r="C846">
        <v>4</v>
      </c>
      <c r="D846">
        <v>11</v>
      </c>
      <c r="E846">
        <v>23</v>
      </c>
      <c r="F846">
        <v>0</v>
      </c>
      <c r="G846">
        <v>2</v>
      </c>
      <c r="H846">
        <v>756824</v>
      </c>
    </row>
    <row r="847" spans="1:8" x14ac:dyDescent="0.25">
      <c r="A847">
        <v>4156</v>
      </c>
      <c r="B847">
        <v>2</v>
      </c>
      <c r="C847">
        <v>3</v>
      </c>
      <c r="D847">
        <v>6</v>
      </c>
      <c r="E847">
        <v>30</v>
      </c>
      <c r="F847">
        <v>0</v>
      </c>
      <c r="G847">
        <v>2</v>
      </c>
      <c r="H847">
        <v>720405</v>
      </c>
    </row>
    <row r="848" spans="1:8" x14ac:dyDescent="0.25">
      <c r="A848">
        <v>3605</v>
      </c>
      <c r="B848">
        <v>2</v>
      </c>
      <c r="C848">
        <v>4</v>
      </c>
      <c r="D848">
        <v>18</v>
      </c>
      <c r="E848">
        <v>12</v>
      </c>
      <c r="F848">
        <v>0</v>
      </c>
      <c r="G848">
        <v>7</v>
      </c>
      <c r="H848">
        <v>843708</v>
      </c>
    </row>
    <row r="849" spans="1:8" x14ac:dyDescent="0.25">
      <c r="A849">
        <v>4276</v>
      </c>
      <c r="B849">
        <v>2</v>
      </c>
      <c r="C849">
        <v>4</v>
      </c>
      <c r="D849">
        <v>23</v>
      </c>
      <c r="E849">
        <v>25</v>
      </c>
      <c r="F849">
        <v>0</v>
      </c>
      <c r="G849">
        <v>8</v>
      </c>
      <c r="H849">
        <v>1045881</v>
      </c>
    </row>
    <row r="850" spans="1:8" x14ac:dyDescent="0.25">
      <c r="A850">
        <v>4197</v>
      </c>
      <c r="B850">
        <v>2</v>
      </c>
      <c r="C850">
        <v>4</v>
      </c>
      <c r="D850">
        <v>9</v>
      </c>
      <c r="E850">
        <v>11</v>
      </c>
      <c r="F850">
        <v>0</v>
      </c>
      <c r="G850">
        <v>6</v>
      </c>
      <c r="H850">
        <v>901864</v>
      </c>
    </row>
    <row r="851" spans="1:8" x14ac:dyDescent="0.25">
      <c r="A851">
        <v>2192</v>
      </c>
      <c r="B851">
        <v>2</v>
      </c>
      <c r="C851">
        <v>4</v>
      </c>
      <c r="D851">
        <v>39</v>
      </c>
      <c r="E851">
        <v>10</v>
      </c>
      <c r="F851">
        <v>0</v>
      </c>
      <c r="G851">
        <v>9</v>
      </c>
      <c r="H851">
        <v>720584</v>
      </c>
    </row>
    <row r="852" spans="1:8" x14ac:dyDescent="0.25">
      <c r="A852">
        <v>1605</v>
      </c>
      <c r="B852">
        <v>2</v>
      </c>
      <c r="C852">
        <v>2</v>
      </c>
      <c r="D852">
        <v>7</v>
      </c>
      <c r="E852">
        <v>9</v>
      </c>
      <c r="F852">
        <v>0</v>
      </c>
      <c r="G852">
        <v>4</v>
      </c>
      <c r="H852">
        <v>504256</v>
      </c>
    </row>
    <row r="853" spans="1:8" x14ac:dyDescent="0.25">
      <c r="A853">
        <v>1900</v>
      </c>
      <c r="B853">
        <v>2</v>
      </c>
      <c r="C853">
        <v>3</v>
      </c>
      <c r="D853">
        <v>38</v>
      </c>
      <c r="E853">
        <v>6</v>
      </c>
      <c r="F853">
        <v>0</v>
      </c>
      <c r="G853">
        <v>8</v>
      </c>
      <c r="H853">
        <v>684942</v>
      </c>
    </row>
    <row r="854" spans="1:8" x14ac:dyDescent="0.25">
      <c r="A854">
        <v>4550</v>
      </c>
      <c r="B854">
        <v>2</v>
      </c>
      <c r="C854">
        <v>2</v>
      </c>
      <c r="D854">
        <v>11</v>
      </c>
      <c r="E854">
        <v>32</v>
      </c>
      <c r="F854">
        <v>0</v>
      </c>
      <c r="G854">
        <v>8</v>
      </c>
      <c r="H854">
        <v>931637</v>
      </c>
    </row>
    <row r="855" spans="1:8" x14ac:dyDescent="0.25">
      <c r="A855">
        <v>727</v>
      </c>
      <c r="B855">
        <v>2</v>
      </c>
      <c r="C855">
        <v>2</v>
      </c>
      <c r="D855">
        <v>39</v>
      </c>
      <c r="E855">
        <v>1</v>
      </c>
      <c r="F855">
        <v>0</v>
      </c>
      <c r="G855">
        <v>6</v>
      </c>
      <c r="H855">
        <v>352285</v>
      </c>
    </row>
    <row r="856" spans="1:8" x14ac:dyDescent="0.25">
      <c r="A856">
        <v>4947</v>
      </c>
      <c r="B856">
        <v>2</v>
      </c>
      <c r="C856">
        <v>4</v>
      </c>
      <c r="D856">
        <v>32</v>
      </c>
      <c r="E856">
        <v>6</v>
      </c>
      <c r="F856">
        <v>0</v>
      </c>
      <c r="G856">
        <v>1</v>
      </c>
      <c r="H856">
        <v>758584</v>
      </c>
    </row>
    <row r="857" spans="1:8" x14ac:dyDescent="0.25">
      <c r="A857">
        <v>1222</v>
      </c>
      <c r="B857">
        <v>2</v>
      </c>
      <c r="C857">
        <v>4</v>
      </c>
      <c r="D857">
        <v>20</v>
      </c>
      <c r="E857">
        <v>9</v>
      </c>
      <c r="F857">
        <v>0</v>
      </c>
      <c r="G857">
        <v>6</v>
      </c>
      <c r="H857">
        <v>591366</v>
      </c>
    </row>
    <row r="858" spans="1:8" x14ac:dyDescent="0.25">
      <c r="A858">
        <v>2902</v>
      </c>
      <c r="B858">
        <v>2</v>
      </c>
      <c r="C858">
        <v>2</v>
      </c>
      <c r="D858">
        <v>31</v>
      </c>
      <c r="E858">
        <v>17</v>
      </c>
      <c r="F858">
        <v>0</v>
      </c>
      <c r="G858">
        <v>8</v>
      </c>
      <c r="H858">
        <v>804735</v>
      </c>
    </row>
    <row r="859" spans="1:8" x14ac:dyDescent="0.25">
      <c r="A859">
        <v>434</v>
      </c>
      <c r="B859">
        <v>2</v>
      </c>
      <c r="C859">
        <v>2</v>
      </c>
      <c r="D859">
        <v>37</v>
      </c>
      <c r="E859">
        <v>34</v>
      </c>
      <c r="F859">
        <v>0</v>
      </c>
      <c r="G859">
        <v>5</v>
      </c>
      <c r="H859">
        <v>233114</v>
      </c>
    </row>
    <row r="860" spans="1:8" x14ac:dyDescent="0.25">
      <c r="A860">
        <v>3571</v>
      </c>
      <c r="B860">
        <v>2</v>
      </c>
      <c r="C860">
        <v>2</v>
      </c>
      <c r="D860">
        <v>35</v>
      </c>
      <c r="E860">
        <v>24</v>
      </c>
      <c r="F860">
        <v>0</v>
      </c>
      <c r="G860">
        <v>5</v>
      </c>
      <c r="H860">
        <v>753400</v>
      </c>
    </row>
    <row r="861" spans="1:8" x14ac:dyDescent="0.25">
      <c r="A861">
        <v>4826</v>
      </c>
      <c r="B861">
        <v>4</v>
      </c>
      <c r="C861">
        <v>2</v>
      </c>
      <c r="D861">
        <v>34</v>
      </c>
      <c r="E861">
        <v>31</v>
      </c>
      <c r="F861">
        <v>0</v>
      </c>
      <c r="G861">
        <v>5</v>
      </c>
      <c r="H861">
        <v>965024</v>
      </c>
    </row>
    <row r="862" spans="1:8" x14ac:dyDescent="0.25">
      <c r="A862">
        <v>3319</v>
      </c>
      <c r="B862">
        <v>1</v>
      </c>
      <c r="C862">
        <v>4</v>
      </c>
      <c r="D862">
        <v>11</v>
      </c>
      <c r="E862">
        <v>22</v>
      </c>
      <c r="F862">
        <v>0</v>
      </c>
      <c r="G862">
        <v>8</v>
      </c>
      <c r="H862">
        <v>878731</v>
      </c>
    </row>
    <row r="863" spans="1:8" x14ac:dyDescent="0.25">
      <c r="A863">
        <v>3785</v>
      </c>
      <c r="B863">
        <v>4</v>
      </c>
      <c r="C863">
        <v>4</v>
      </c>
      <c r="D863">
        <v>32</v>
      </c>
      <c r="E863">
        <v>34</v>
      </c>
      <c r="F863">
        <v>0</v>
      </c>
      <c r="G863">
        <v>9</v>
      </c>
      <c r="H863">
        <v>1029467</v>
      </c>
    </row>
    <row r="864" spans="1:8" x14ac:dyDescent="0.25">
      <c r="A864">
        <v>4517</v>
      </c>
      <c r="B864">
        <v>5</v>
      </c>
      <c r="C864">
        <v>3</v>
      </c>
      <c r="D864">
        <v>5</v>
      </c>
      <c r="E864">
        <v>18</v>
      </c>
      <c r="F864">
        <v>0</v>
      </c>
      <c r="G864">
        <v>8</v>
      </c>
      <c r="H864">
        <v>1097667</v>
      </c>
    </row>
    <row r="865" spans="1:8" x14ac:dyDescent="0.25">
      <c r="A865">
        <v>2958</v>
      </c>
      <c r="B865">
        <v>5</v>
      </c>
      <c r="C865">
        <v>4</v>
      </c>
      <c r="D865">
        <v>33</v>
      </c>
      <c r="E865">
        <v>1</v>
      </c>
      <c r="F865">
        <v>0</v>
      </c>
      <c r="G865">
        <v>1</v>
      </c>
      <c r="H865">
        <v>735211</v>
      </c>
    </row>
    <row r="866" spans="1:8" x14ac:dyDescent="0.25">
      <c r="A866">
        <v>3134</v>
      </c>
      <c r="B866">
        <v>1</v>
      </c>
      <c r="C866">
        <v>3</v>
      </c>
      <c r="D866">
        <v>18</v>
      </c>
      <c r="E866">
        <v>31</v>
      </c>
      <c r="F866">
        <v>0</v>
      </c>
      <c r="G866">
        <v>9</v>
      </c>
      <c r="H866">
        <v>783569</v>
      </c>
    </row>
    <row r="867" spans="1:8" x14ac:dyDescent="0.25">
      <c r="A867">
        <v>2773</v>
      </c>
      <c r="B867">
        <v>1</v>
      </c>
      <c r="C867">
        <v>4</v>
      </c>
      <c r="D867">
        <v>13</v>
      </c>
      <c r="E867">
        <v>3</v>
      </c>
      <c r="F867">
        <v>0</v>
      </c>
      <c r="G867">
        <v>10</v>
      </c>
      <c r="H867">
        <v>985889</v>
      </c>
    </row>
    <row r="868" spans="1:8" x14ac:dyDescent="0.25">
      <c r="A868">
        <v>1000</v>
      </c>
      <c r="B868">
        <v>1</v>
      </c>
      <c r="C868">
        <v>1</v>
      </c>
      <c r="D868">
        <v>21</v>
      </c>
      <c r="E868">
        <v>28</v>
      </c>
      <c r="F868">
        <v>0</v>
      </c>
      <c r="G868">
        <v>6</v>
      </c>
      <c r="H868">
        <v>364679</v>
      </c>
    </row>
    <row r="869" spans="1:8" x14ac:dyDescent="0.25">
      <c r="A869">
        <v>4414</v>
      </c>
      <c r="B869">
        <v>5</v>
      </c>
      <c r="C869">
        <v>3</v>
      </c>
      <c r="D869">
        <v>13</v>
      </c>
      <c r="E869">
        <v>16</v>
      </c>
      <c r="F869">
        <v>0</v>
      </c>
      <c r="G869">
        <v>5</v>
      </c>
      <c r="H869">
        <v>1000193</v>
      </c>
    </row>
    <row r="870" spans="1:8" x14ac:dyDescent="0.25">
      <c r="A870">
        <v>779</v>
      </c>
      <c r="B870">
        <v>5</v>
      </c>
      <c r="C870">
        <v>3</v>
      </c>
      <c r="D870">
        <v>10</v>
      </c>
      <c r="E870">
        <v>4</v>
      </c>
      <c r="F870">
        <v>0</v>
      </c>
      <c r="G870">
        <v>3</v>
      </c>
      <c r="H870">
        <v>546689</v>
      </c>
    </row>
    <row r="871" spans="1:8" x14ac:dyDescent="0.25">
      <c r="A871">
        <v>892</v>
      </c>
      <c r="B871">
        <v>4</v>
      </c>
      <c r="C871">
        <v>2</v>
      </c>
      <c r="D871">
        <v>20</v>
      </c>
      <c r="E871">
        <v>20</v>
      </c>
      <c r="F871">
        <v>0</v>
      </c>
      <c r="G871">
        <v>2</v>
      </c>
      <c r="H871">
        <v>328974</v>
      </c>
    </row>
    <row r="872" spans="1:8" x14ac:dyDescent="0.25">
      <c r="A872">
        <v>4998</v>
      </c>
      <c r="B872">
        <v>1</v>
      </c>
      <c r="C872">
        <v>3</v>
      </c>
      <c r="D872">
        <v>7</v>
      </c>
      <c r="E872">
        <v>18</v>
      </c>
      <c r="F872">
        <v>0</v>
      </c>
      <c r="G872">
        <v>3</v>
      </c>
      <c r="H872">
        <v>734489</v>
      </c>
    </row>
    <row r="873" spans="1:8" x14ac:dyDescent="0.25">
      <c r="A873">
        <v>3714</v>
      </c>
      <c r="B873">
        <v>1</v>
      </c>
      <c r="C873">
        <v>2</v>
      </c>
      <c r="D873">
        <v>23</v>
      </c>
      <c r="E873">
        <v>18</v>
      </c>
      <c r="F873">
        <v>0</v>
      </c>
      <c r="G873">
        <v>5</v>
      </c>
      <c r="H873">
        <v>618423</v>
      </c>
    </row>
    <row r="874" spans="1:8" x14ac:dyDescent="0.25">
      <c r="A874">
        <v>3460</v>
      </c>
      <c r="B874">
        <v>1</v>
      </c>
      <c r="C874">
        <v>3</v>
      </c>
      <c r="D874">
        <v>20</v>
      </c>
      <c r="E874">
        <v>24</v>
      </c>
      <c r="F874">
        <v>0</v>
      </c>
      <c r="G874">
        <v>1</v>
      </c>
      <c r="H874">
        <v>567034</v>
      </c>
    </row>
    <row r="875" spans="1:8" x14ac:dyDescent="0.25">
      <c r="A875">
        <v>2637</v>
      </c>
      <c r="B875">
        <v>4</v>
      </c>
      <c r="C875">
        <v>2</v>
      </c>
      <c r="D875">
        <v>20</v>
      </c>
      <c r="E875">
        <v>1</v>
      </c>
      <c r="F875">
        <v>0</v>
      </c>
      <c r="G875">
        <v>4</v>
      </c>
      <c r="H875">
        <v>708448</v>
      </c>
    </row>
    <row r="876" spans="1:8" x14ac:dyDescent="0.25">
      <c r="A876">
        <v>3075</v>
      </c>
      <c r="B876">
        <v>4</v>
      </c>
      <c r="C876">
        <v>2</v>
      </c>
      <c r="D876">
        <v>18</v>
      </c>
      <c r="E876">
        <v>13</v>
      </c>
      <c r="F876">
        <v>0</v>
      </c>
      <c r="G876">
        <v>5</v>
      </c>
      <c r="H876">
        <v>812439</v>
      </c>
    </row>
    <row r="877" spans="1:8" x14ac:dyDescent="0.25">
      <c r="A877">
        <v>3981</v>
      </c>
      <c r="B877">
        <v>1</v>
      </c>
      <c r="C877">
        <v>1</v>
      </c>
      <c r="D877">
        <v>20</v>
      </c>
      <c r="E877">
        <v>9</v>
      </c>
      <c r="F877">
        <v>0</v>
      </c>
      <c r="G877">
        <v>9</v>
      </c>
      <c r="H877">
        <v>907351</v>
      </c>
    </row>
    <row r="878" spans="1:8" x14ac:dyDescent="0.25">
      <c r="A878">
        <v>4096</v>
      </c>
      <c r="B878">
        <v>4</v>
      </c>
      <c r="C878">
        <v>2</v>
      </c>
      <c r="D878">
        <v>23</v>
      </c>
      <c r="E878">
        <v>18</v>
      </c>
      <c r="F878">
        <v>0</v>
      </c>
      <c r="G878">
        <v>6</v>
      </c>
      <c r="H878">
        <v>885469</v>
      </c>
    </row>
    <row r="879" spans="1:8" x14ac:dyDescent="0.25">
      <c r="A879">
        <v>2560</v>
      </c>
      <c r="B879">
        <v>5</v>
      </c>
      <c r="C879">
        <v>2</v>
      </c>
      <c r="D879">
        <v>20</v>
      </c>
      <c r="E879">
        <v>18</v>
      </c>
      <c r="F879">
        <v>0</v>
      </c>
      <c r="G879">
        <v>9</v>
      </c>
      <c r="H879">
        <v>903367</v>
      </c>
    </row>
    <row r="880" spans="1:8" x14ac:dyDescent="0.25">
      <c r="A880">
        <v>3619</v>
      </c>
      <c r="B880">
        <v>4</v>
      </c>
      <c r="C880">
        <v>2</v>
      </c>
      <c r="D880">
        <v>29</v>
      </c>
      <c r="E880">
        <v>28</v>
      </c>
      <c r="F880">
        <v>0</v>
      </c>
      <c r="G880">
        <v>10</v>
      </c>
      <c r="H880">
        <v>966430</v>
      </c>
    </row>
    <row r="881" spans="1:8" x14ac:dyDescent="0.25">
      <c r="A881">
        <v>2773</v>
      </c>
      <c r="B881">
        <v>1</v>
      </c>
      <c r="C881">
        <v>3</v>
      </c>
      <c r="D881">
        <v>18</v>
      </c>
      <c r="E881">
        <v>16</v>
      </c>
      <c r="F881">
        <v>0</v>
      </c>
      <c r="G881">
        <v>5</v>
      </c>
      <c r="H881">
        <v>714224</v>
      </c>
    </row>
    <row r="882" spans="1:8" x14ac:dyDescent="0.25">
      <c r="A882">
        <v>2359</v>
      </c>
      <c r="B882">
        <v>5</v>
      </c>
      <c r="C882">
        <v>4</v>
      </c>
      <c r="D882">
        <v>27</v>
      </c>
      <c r="E882">
        <v>28</v>
      </c>
      <c r="F882">
        <v>0</v>
      </c>
      <c r="G882">
        <v>10</v>
      </c>
      <c r="H882">
        <v>922063</v>
      </c>
    </row>
    <row r="883" spans="1:8" x14ac:dyDescent="0.25">
      <c r="A883">
        <v>2082</v>
      </c>
      <c r="B883">
        <v>5</v>
      </c>
      <c r="C883">
        <v>1</v>
      </c>
      <c r="D883">
        <v>38</v>
      </c>
      <c r="E883">
        <v>11</v>
      </c>
      <c r="F883">
        <v>0</v>
      </c>
      <c r="G883">
        <v>4</v>
      </c>
      <c r="H883">
        <v>544371</v>
      </c>
    </row>
    <row r="884" spans="1:8" x14ac:dyDescent="0.25">
      <c r="A884">
        <v>3591</v>
      </c>
      <c r="B884">
        <v>1</v>
      </c>
      <c r="C884">
        <v>2</v>
      </c>
      <c r="D884">
        <v>5</v>
      </c>
      <c r="E884">
        <v>13</v>
      </c>
      <c r="F884">
        <v>0</v>
      </c>
      <c r="G884">
        <v>2</v>
      </c>
      <c r="H884">
        <v>660869</v>
      </c>
    </row>
    <row r="885" spans="1:8" x14ac:dyDescent="0.25">
      <c r="A885">
        <v>1845</v>
      </c>
      <c r="B885">
        <v>5</v>
      </c>
      <c r="C885">
        <v>4</v>
      </c>
      <c r="D885">
        <v>37</v>
      </c>
      <c r="E885">
        <v>12</v>
      </c>
      <c r="F885">
        <v>0</v>
      </c>
      <c r="G885">
        <v>2</v>
      </c>
      <c r="H885">
        <v>557603</v>
      </c>
    </row>
    <row r="886" spans="1:8" x14ac:dyDescent="0.25">
      <c r="A886">
        <v>4599</v>
      </c>
      <c r="B886">
        <v>1</v>
      </c>
      <c r="C886">
        <v>1</v>
      </c>
      <c r="D886">
        <v>2</v>
      </c>
      <c r="E886">
        <v>16</v>
      </c>
      <c r="F886">
        <v>0</v>
      </c>
      <c r="G886">
        <v>3</v>
      </c>
      <c r="H886">
        <v>787589</v>
      </c>
    </row>
    <row r="887" spans="1:8" x14ac:dyDescent="0.25">
      <c r="A887">
        <v>4191</v>
      </c>
      <c r="B887">
        <v>1</v>
      </c>
      <c r="C887">
        <v>3</v>
      </c>
      <c r="D887">
        <v>20</v>
      </c>
      <c r="E887">
        <v>19</v>
      </c>
      <c r="F887">
        <v>0</v>
      </c>
      <c r="G887">
        <v>2</v>
      </c>
      <c r="H887">
        <v>644652</v>
      </c>
    </row>
    <row r="888" spans="1:8" x14ac:dyDescent="0.25">
      <c r="A888">
        <v>1356</v>
      </c>
      <c r="B888">
        <v>1</v>
      </c>
      <c r="C888">
        <v>1</v>
      </c>
      <c r="D888">
        <v>30</v>
      </c>
      <c r="E888">
        <v>28</v>
      </c>
      <c r="F888">
        <v>0</v>
      </c>
      <c r="G888">
        <v>9</v>
      </c>
      <c r="H888">
        <v>489333</v>
      </c>
    </row>
    <row r="889" spans="1:8" x14ac:dyDescent="0.25">
      <c r="A889">
        <v>3504</v>
      </c>
      <c r="B889">
        <v>4</v>
      </c>
      <c r="C889">
        <v>3</v>
      </c>
      <c r="D889">
        <v>34</v>
      </c>
      <c r="E889">
        <v>21</v>
      </c>
      <c r="F889">
        <v>0</v>
      </c>
      <c r="G889">
        <v>4</v>
      </c>
      <c r="H889">
        <v>819723</v>
      </c>
    </row>
    <row r="890" spans="1:8" x14ac:dyDescent="0.25">
      <c r="A890">
        <v>4965</v>
      </c>
      <c r="B890">
        <v>1</v>
      </c>
      <c r="C890">
        <v>1</v>
      </c>
      <c r="D890">
        <v>33</v>
      </c>
      <c r="E890">
        <v>6</v>
      </c>
      <c r="F890">
        <v>0</v>
      </c>
      <c r="G890">
        <v>2</v>
      </c>
      <c r="H890">
        <v>720488</v>
      </c>
    </row>
    <row r="891" spans="1:8" x14ac:dyDescent="0.25">
      <c r="A891">
        <v>3846</v>
      </c>
      <c r="B891">
        <v>4</v>
      </c>
      <c r="C891">
        <v>1</v>
      </c>
      <c r="D891">
        <v>31</v>
      </c>
      <c r="E891">
        <v>9</v>
      </c>
      <c r="F891">
        <v>0</v>
      </c>
      <c r="G891">
        <v>9</v>
      </c>
      <c r="H891">
        <v>982117</v>
      </c>
    </row>
    <row r="892" spans="1:8" x14ac:dyDescent="0.25">
      <c r="A892">
        <v>3836</v>
      </c>
      <c r="B892">
        <v>4</v>
      </c>
      <c r="C892">
        <v>4</v>
      </c>
      <c r="D892">
        <v>27</v>
      </c>
      <c r="E892">
        <v>26</v>
      </c>
      <c r="F892">
        <v>0</v>
      </c>
      <c r="G892">
        <v>2</v>
      </c>
      <c r="H892">
        <v>791640</v>
      </c>
    </row>
    <row r="893" spans="1:8" x14ac:dyDescent="0.25">
      <c r="A893">
        <v>625</v>
      </c>
      <c r="B893">
        <v>5</v>
      </c>
      <c r="C893">
        <v>4</v>
      </c>
      <c r="D893">
        <v>10</v>
      </c>
      <c r="E893">
        <v>18</v>
      </c>
      <c r="F893">
        <v>0</v>
      </c>
      <c r="G893">
        <v>10</v>
      </c>
      <c r="H893">
        <v>892356</v>
      </c>
    </row>
    <row r="894" spans="1:8" x14ac:dyDescent="0.25">
      <c r="A894">
        <v>2965</v>
      </c>
      <c r="B894">
        <v>1</v>
      </c>
      <c r="C894">
        <v>3</v>
      </c>
      <c r="D894">
        <v>0</v>
      </c>
      <c r="E894">
        <v>18</v>
      </c>
      <c r="F894">
        <v>0</v>
      </c>
      <c r="G894">
        <v>8</v>
      </c>
      <c r="H894">
        <v>802567</v>
      </c>
    </row>
    <row r="895" spans="1:8" x14ac:dyDescent="0.25">
      <c r="A895">
        <v>1006</v>
      </c>
      <c r="B895">
        <v>5</v>
      </c>
      <c r="C895">
        <v>2</v>
      </c>
      <c r="D895">
        <v>17</v>
      </c>
      <c r="E895">
        <v>27</v>
      </c>
      <c r="F895">
        <v>0</v>
      </c>
      <c r="G895">
        <v>1</v>
      </c>
      <c r="H895">
        <v>428797</v>
      </c>
    </row>
    <row r="896" spans="1:8" x14ac:dyDescent="0.25">
      <c r="A896">
        <v>1380</v>
      </c>
      <c r="B896">
        <v>1</v>
      </c>
      <c r="C896">
        <v>1</v>
      </c>
      <c r="D896">
        <v>37</v>
      </c>
      <c r="E896">
        <v>30</v>
      </c>
      <c r="F896">
        <v>0</v>
      </c>
      <c r="G896">
        <v>5</v>
      </c>
      <c r="H896">
        <v>344985</v>
      </c>
    </row>
    <row r="897" spans="1:8" x14ac:dyDescent="0.25">
      <c r="A897">
        <v>3794</v>
      </c>
      <c r="B897">
        <v>5</v>
      </c>
      <c r="C897">
        <v>4</v>
      </c>
      <c r="D897">
        <v>11</v>
      </c>
      <c r="E897">
        <v>8</v>
      </c>
      <c r="F897">
        <v>0</v>
      </c>
      <c r="G897">
        <v>5</v>
      </c>
      <c r="H897">
        <v>1087321</v>
      </c>
    </row>
    <row r="898" spans="1:8" x14ac:dyDescent="0.25">
      <c r="A898">
        <v>2465</v>
      </c>
      <c r="B898">
        <v>1</v>
      </c>
      <c r="C898">
        <v>1</v>
      </c>
      <c r="D898">
        <v>0</v>
      </c>
      <c r="E898">
        <v>31</v>
      </c>
      <c r="F898">
        <v>0</v>
      </c>
      <c r="G898">
        <v>9</v>
      </c>
      <c r="H898">
        <v>703799</v>
      </c>
    </row>
    <row r="899" spans="1:8" x14ac:dyDescent="0.25">
      <c r="A899">
        <v>4263</v>
      </c>
      <c r="B899">
        <v>1</v>
      </c>
      <c r="C899">
        <v>1</v>
      </c>
      <c r="D899">
        <v>23</v>
      </c>
      <c r="E899">
        <v>31</v>
      </c>
      <c r="F899">
        <v>0</v>
      </c>
      <c r="G899">
        <v>5</v>
      </c>
      <c r="H899">
        <v>682888</v>
      </c>
    </row>
    <row r="900" spans="1:8" x14ac:dyDescent="0.25">
      <c r="A900">
        <v>2773</v>
      </c>
      <c r="B900">
        <v>1</v>
      </c>
      <c r="C900">
        <v>2</v>
      </c>
      <c r="D900">
        <v>36</v>
      </c>
      <c r="E900">
        <v>1</v>
      </c>
      <c r="F900">
        <v>0</v>
      </c>
      <c r="G900">
        <v>7</v>
      </c>
      <c r="H900">
        <v>722930</v>
      </c>
    </row>
    <row r="901" spans="1:8" x14ac:dyDescent="0.25">
      <c r="A901">
        <v>2382</v>
      </c>
      <c r="B901">
        <v>5</v>
      </c>
      <c r="C901">
        <v>4</v>
      </c>
      <c r="D901">
        <v>20</v>
      </c>
      <c r="E901">
        <v>2</v>
      </c>
      <c r="F901">
        <v>0</v>
      </c>
      <c r="G901">
        <v>10</v>
      </c>
      <c r="H901">
        <v>958678</v>
      </c>
    </row>
    <row r="902" spans="1:8" x14ac:dyDescent="0.25">
      <c r="A902">
        <v>2082</v>
      </c>
      <c r="B902">
        <v>1</v>
      </c>
      <c r="C902">
        <v>4</v>
      </c>
      <c r="D902">
        <v>17</v>
      </c>
      <c r="E902">
        <v>18</v>
      </c>
      <c r="F902">
        <v>0</v>
      </c>
      <c r="G902">
        <v>10</v>
      </c>
      <c r="H902">
        <v>774623</v>
      </c>
    </row>
    <row r="903" spans="1:8" x14ac:dyDescent="0.25">
      <c r="A903">
        <v>1550</v>
      </c>
      <c r="B903">
        <v>5</v>
      </c>
      <c r="C903">
        <v>1</v>
      </c>
      <c r="D903">
        <v>7</v>
      </c>
      <c r="E903">
        <v>23</v>
      </c>
      <c r="F903">
        <v>0</v>
      </c>
      <c r="G903">
        <v>8</v>
      </c>
      <c r="H903">
        <v>822000</v>
      </c>
    </row>
    <row r="904" spans="1:8" x14ac:dyDescent="0.25">
      <c r="A904">
        <v>959</v>
      </c>
      <c r="B904">
        <v>5</v>
      </c>
      <c r="C904">
        <v>1</v>
      </c>
      <c r="D904">
        <v>26</v>
      </c>
      <c r="E904">
        <v>27</v>
      </c>
      <c r="F904">
        <v>0</v>
      </c>
      <c r="G904">
        <v>2</v>
      </c>
      <c r="H904">
        <v>361601</v>
      </c>
    </row>
    <row r="905" spans="1:8" x14ac:dyDescent="0.25">
      <c r="A905">
        <v>4470</v>
      </c>
      <c r="B905">
        <v>5</v>
      </c>
      <c r="C905">
        <v>2</v>
      </c>
      <c r="D905">
        <v>20</v>
      </c>
      <c r="E905">
        <v>11</v>
      </c>
      <c r="F905">
        <v>0</v>
      </c>
      <c r="G905">
        <v>5</v>
      </c>
      <c r="H905">
        <v>970717</v>
      </c>
    </row>
    <row r="906" spans="1:8" x14ac:dyDescent="0.25">
      <c r="A906">
        <v>1870</v>
      </c>
      <c r="B906">
        <v>5</v>
      </c>
      <c r="C906">
        <v>3</v>
      </c>
      <c r="D906">
        <v>10</v>
      </c>
      <c r="E906">
        <v>15</v>
      </c>
      <c r="F906">
        <v>0</v>
      </c>
      <c r="G906">
        <v>5</v>
      </c>
      <c r="H906">
        <v>553840</v>
      </c>
    </row>
    <row r="907" spans="1:8" x14ac:dyDescent="0.25">
      <c r="A907">
        <v>980</v>
      </c>
      <c r="B907">
        <v>4</v>
      </c>
      <c r="C907">
        <v>1</v>
      </c>
      <c r="D907">
        <v>38</v>
      </c>
      <c r="E907">
        <v>25</v>
      </c>
      <c r="F907">
        <v>0</v>
      </c>
      <c r="G907">
        <v>7</v>
      </c>
      <c r="H907">
        <v>519149</v>
      </c>
    </row>
    <row r="908" spans="1:8" x14ac:dyDescent="0.25">
      <c r="A908">
        <v>4948</v>
      </c>
      <c r="B908">
        <v>1</v>
      </c>
      <c r="C908">
        <v>4</v>
      </c>
      <c r="D908">
        <v>37</v>
      </c>
      <c r="E908">
        <v>16</v>
      </c>
      <c r="F908">
        <v>0</v>
      </c>
      <c r="G908">
        <v>9</v>
      </c>
      <c r="H908">
        <v>944976</v>
      </c>
    </row>
    <row r="909" spans="1:8" x14ac:dyDescent="0.25">
      <c r="A909">
        <v>2665</v>
      </c>
      <c r="B909">
        <v>4</v>
      </c>
      <c r="C909">
        <v>2</v>
      </c>
      <c r="D909">
        <v>32</v>
      </c>
      <c r="E909">
        <v>15</v>
      </c>
      <c r="F909">
        <v>0</v>
      </c>
      <c r="G909">
        <v>3</v>
      </c>
      <c r="H909">
        <v>602522</v>
      </c>
    </row>
    <row r="910" spans="1:8" x14ac:dyDescent="0.25">
      <c r="A910">
        <v>2470</v>
      </c>
      <c r="B910">
        <v>4</v>
      </c>
      <c r="C910">
        <v>1</v>
      </c>
      <c r="D910">
        <v>10</v>
      </c>
      <c r="E910">
        <v>8</v>
      </c>
      <c r="F910">
        <v>0</v>
      </c>
      <c r="G910">
        <v>6</v>
      </c>
      <c r="H910">
        <v>729478</v>
      </c>
    </row>
    <row r="911" spans="1:8" x14ac:dyDescent="0.25">
      <c r="A911">
        <v>3216</v>
      </c>
      <c r="B911">
        <v>4</v>
      </c>
      <c r="C911">
        <v>3</v>
      </c>
      <c r="D911">
        <v>3</v>
      </c>
      <c r="E911">
        <v>29</v>
      </c>
      <c r="F911">
        <v>0</v>
      </c>
      <c r="G911">
        <v>10</v>
      </c>
      <c r="H911">
        <v>989201</v>
      </c>
    </row>
    <row r="912" spans="1:8" x14ac:dyDescent="0.25">
      <c r="A912">
        <v>2773</v>
      </c>
      <c r="B912">
        <v>4</v>
      </c>
      <c r="C912">
        <v>4</v>
      </c>
      <c r="D912">
        <v>7</v>
      </c>
      <c r="E912">
        <v>6</v>
      </c>
      <c r="F912">
        <v>0</v>
      </c>
      <c r="G912">
        <v>5</v>
      </c>
      <c r="H912">
        <v>707436</v>
      </c>
    </row>
    <row r="913" spans="1:8" x14ac:dyDescent="0.25">
      <c r="A913">
        <v>2827</v>
      </c>
      <c r="B913">
        <v>4</v>
      </c>
      <c r="C913">
        <v>1</v>
      </c>
      <c r="D913">
        <v>4</v>
      </c>
      <c r="E913">
        <v>15</v>
      </c>
      <c r="F913">
        <v>0</v>
      </c>
      <c r="G913">
        <v>3</v>
      </c>
      <c r="H913">
        <v>626332</v>
      </c>
    </row>
    <row r="914" spans="1:8" x14ac:dyDescent="0.25">
      <c r="A914">
        <v>4585</v>
      </c>
      <c r="B914">
        <v>1</v>
      </c>
      <c r="C914">
        <v>3</v>
      </c>
      <c r="D914">
        <v>29</v>
      </c>
      <c r="E914">
        <v>29</v>
      </c>
      <c r="F914">
        <v>0</v>
      </c>
      <c r="G914">
        <v>4</v>
      </c>
      <c r="H914">
        <v>771358</v>
      </c>
    </row>
    <row r="915" spans="1:8" x14ac:dyDescent="0.25">
      <c r="A915">
        <v>1175</v>
      </c>
      <c r="B915">
        <v>5</v>
      </c>
      <c r="C915">
        <v>4</v>
      </c>
      <c r="D915">
        <v>34</v>
      </c>
      <c r="E915">
        <v>18</v>
      </c>
      <c r="F915">
        <v>0</v>
      </c>
      <c r="G915">
        <v>9</v>
      </c>
      <c r="H915">
        <v>732839</v>
      </c>
    </row>
    <row r="916" spans="1:8" x14ac:dyDescent="0.25">
      <c r="A916">
        <v>817</v>
      </c>
      <c r="B916">
        <v>4</v>
      </c>
      <c r="C916">
        <v>4</v>
      </c>
      <c r="D916">
        <v>25</v>
      </c>
      <c r="E916">
        <v>24</v>
      </c>
      <c r="F916">
        <v>0</v>
      </c>
      <c r="G916">
        <v>8</v>
      </c>
      <c r="H916">
        <v>707732</v>
      </c>
    </row>
    <row r="917" spans="1:8" x14ac:dyDescent="0.25">
      <c r="A917">
        <v>1016</v>
      </c>
      <c r="B917">
        <v>4</v>
      </c>
      <c r="C917">
        <v>1</v>
      </c>
      <c r="D917">
        <v>6</v>
      </c>
      <c r="E917">
        <v>17</v>
      </c>
      <c r="F917">
        <v>0</v>
      </c>
      <c r="G917">
        <v>2</v>
      </c>
      <c r="H917">
        <v>409577</v>
      </c>
    </row>
    <row r="918" spans="1:8" x14ac:dyDescent="0.25">
      <c r="A918">
        <v>1916</v>
      </c>
      <c r="B918">
        <v>1</v>
      </c>
      <c r="C918">
        <v>1</v>
      </c>
      <c r="D918">
        <v>0</v>
      </c>
      <c r="E918">
        <v>34</v>
      </c>
      <c r="F918">
        <v>0</v>
      </c>
      <c r="G918">
        <v>3</v>
      </c>
      <c r="H918">
        <v>465086</v>
      </c>
    </row>
    <row r="919" spans="1:8" x14ac:dyDescent="0.25">
      <c r="A919">
        <v>3546</v>
      </c>
      <c r="B919">
        <v>4</v>
      </c>
      <c r="C919">
        <v>4</v>
      </c>
      <c r="D919">
        <v>35</v>
      </c>
      <c r="E919">
        <v>31</v>
      </c>
      <c r="F919">
        <v>0</v>
      </c>
      <c r="G919">
        <v>5</v>
      </c>
      <c r="H919">
        <v>854058</v>
      </c>
    </row>
    <row r="920" spans="1:8" x14ac:dyDescent="0.25">
      <c r="A920">
        <v>812</v>
      </c>
      <c r="B920">
        <v>4</v>
      </c>
      <c r="C920">
        <v>4</v>
      </c>
      <c r="D920">
        <v>24</v>
      </c>
      <c r="E920">
        <v>18</v>
      </c>
      <c r="F920">
        <v>0</v>
      </c>
      <c r="G920">
        <v>5</v>
      </c>
      <c r="H920">
        <v>551037</v>
      </c>
    </row>
    <row r="921" spans="1:8" x14ac:dyDescent="0.25">
      <c r="A921">
        <v>3748</v>
      </c>
      <c r="B921">
        <v>5</v>
      </c>
      <c r="C921">
        <v>4</v>
      </c>
      <c r="D921">
        <v>20</v>
      </c>
      <c r="E921">
        <v>1</v>
      </c>
      <c r="F921">
        <v>0</v>
      </c>
      <c r="G921">
        <v>2</v>
      </c>
      <c r="H921">
        <v>835555</v>
      </c>
    </row>
    <row r="922" spans="1:8" x14ac:dyDescent="0.25">
      <c r="A922">
        <v>1971</v>
      </c>
      <c r="B922">
        <v>1</v>
      </c>
      <c r="C922">
        <v>2</v>
      </c>
      <c r="D922">
        <v>35</v>
      </c>
      <c r="E922">
        <v>18</v>
      </c>
      <c r="F922">
        <v>0</v>
      </c>
      <c r="G922">
        <v>1</v>
      </c>
      <c r="H922">
        <v>282825</v>
      </c>
    </row>
    <row r="923" spans="1:8" x14ac:dyDescent="0.25">
      <c r="A923">
        <v>2087</v>
      </c>
      <c r="B923">
        <v>4</v>
      </c>
      <c r="C923">
        <v>3</v>
      </c>
      <c r="D923">
        <v>1</v>
      </c>
      <c r="E923">
        <v>33</v>
      </c>
      <c r="F923">
        <v>0</v>
      </c>
      <c r="G923">
        <v>9</v>
      </c>
      <c r="H923">
        <v>778056</v>
      </c>
    </row>
    <row r="924" spans="1:8" x14ac:dyDescent="0.25">
      <c r="A924">
        <v>543</v>
      </c>
      <c r="B924">
        <v>5</v>
      </c>
      <c r="C924">
        <v>3</v>
      </c>
      <c r="D924">
        <v>1</v>
      </c>
      <c r="E924">
        <v>33</v>
      </c>
      <c r="F924">
        <v>0</v>
      </c>
      <c r="G924">
        <v>7</v>
      </c>
      <c r="H924">
        <v>656790</v>
      </c>
    </row>
    <row r="925" spans="1:8" x14ac:dyDescent="0.25">
      <c r="A925">
        <v>2556</v>
      </c>
      <c r="B925">
        <v>4</v>
      </c>
      <c r="C925">
        <v>3</v>
      </c>
      <c r="D925">
        <v>12</v>
      </c>
      <c r="E925">
        <v>2</v>
      </c>
      <c r="F925">
        <v>0</v>
      </c>
      <c r="G925">
        <v>2</v>
      </c>
      <c r="H925">
        <v>706120</v>
      </c>
    </row>
    <row r="926" spans="1:8" x14ac:dyDescent="0.25">
      <c r="A926">
        <v>1556</v>
      </c>
      <c r="B926">
        <v>4</v>
      </c>
      <c r="C926">
        <v>4</v>
      </c>
      <c r="D926">
        <v>38</v>
      </c>
      <c r="E926">
        <v>3</v>
      </c>
      <c r="F926">
        <v>0</v>
      </c>
      <c r="G926">
        <v>6</v>
      </c>
      <c r="H926">
        <v>713258</v>
      </c>
    </row>
    <row r="927" spans="1:8" x14ac:dyDescent="0.25">
      <c r="A927">
        <v>1132</v>
      </c>
      <c r="B927">
        <v>5</v>
      </c>
      <c r="C927">
        <v>3</v>
      </c>
      <c r="D927">
        <v>2</v>
      </c>
      <c r="E927">
        <v>20</v>
      </c>
      <c r="F927">
        <v>0</v>
      </c>
      <c r="G927">
        <v>6</v>
      </c>
      <c r="H927">
        <v>679249</v>
      </c>
    </row>
    <row r="928" spans="1:8" x14ac:dyDescent="0.25">
      <c r="A928">
        <v>1942</v>
      </c>
      <c r="B928">
        <v>5</v>
      </c>
      <c r="C928">
        <v>2</v>
      </c>
      <c r="D928">
        <v>38</v>
      </c>
      <c r="E928">
        <v>18</v>
      </c>
      <c r="F928">
        <v>0</v>
      </c>
      <c r="G928">
        <v>2</v>
      </c>
      <c r="H928">
        <v>516279</v>
      </c>
    </row>
    <row r="929" spans="1:8" x14ac:dyDescent="0.25">
      <c r="A929">
        <v>1940</v>
      </c>
      <c r="B929">
        <v>1</v>
      </c>
      <c r="C929">
        <v>1</v>
      </c>
      <c r="D929">
        <v>12</v>
      </c>
      <c r="E929">
        <v>1</v>
      </c>
      <c r="F929">
        <v>0</v>
      </c>
      <c r="G929">
        <v>2</v>
      </c>
      <c r="H929">
        <v>288725</v>
      </c>
    </row>
    <row r="930" spans="1:8" x14ac:dyDescent="0.25">
      <c r="A930">
        <v>1765</v>
      </c>
      <c r="B930">
        <v>1</v>
      </c>
      <c r="C930">
        <v>2</v>
      </c>
      <c r="D930">
        <v>30</v>
      </c>
      <c r="E930">
        <v>23</v>
      </c>
      <c r="F930">
        <v>0</v>
      </c>
      <c r="G930">
        <v>8</v>
      </c>
      <c r="H930">
        <v>592344</v>
      </c>
    </row>
    <row r="931" spans="1:8" x14ac:dyDescent="0.25">
      <c r="A931">
        <v>2080</v>
      </c>
      <c r="B931">
        <v>4</v>
      </c>
      <c r="C931">
        <v>4</v>
      </c>
      <c r="D931">
        <v>22</v>
      </c>
      <c r="E931">
        <v>31</v>
      </c>
      <c r="F931">
        <v>0</v>
      </c>
      <c r="G931">
        <v>9</v>
      </c>
      <c r="H931">
        <v>766503</v>
      </c>
    </row>
    <row r="932" spans="1:8" x14ac:dyDescent="0.25">
      <c r="A932">
        <v>4712</v>
      </c>
      <c r="B932">
        <v>4</v>
      </c>
      <c r="C932">
        <v>1</v>
      </c>
      <c r="D932">
        <v>9</v>
      </c>
      <c r="E932">
        <v>29</v>
      </c>
      <c r="F932">
        <v>0</v>
      </c>
      <c r="G932">
        <v>9</v>
      </c>
      <c r="H932">
        <v>1150275</v>
      </c>
    </row>
    <row r="933" spans="1:8" x14ac:dyDescent="0.25">
      <c r="A933">
        <v>3886</v>
      </c>
      <c r="B933">
        <v>4</v>
      </c>
      <c r="C933">
        <v>3</v>
      </c>
      <c r="D933">
        <v>31</v>
      </c>
      <c r="E933">
        <v>21</v>
      </c>
      <c r="F933">
        <v>0</v>
      </c>
      <c r="G933">
        <v>9</v>
      </c>
      <c r="H933">
        <v>1023837</v>
      </c>
    </row>
    <row r="934" spans="1:8" x14ac:dyDescent="0.25">
      <c r="A934">
        <v>1113</v>
      </c>
      <c r="B934">
        <v>1</v>
      </c>
      <c r="C934">
        <v>4</v>
      </c>
      <c r="D934">
        <v>21</v>
      </c>
      <c r="E934">
        <v>22</v>
      </c>
      <c r="F934">
        <v>0</v>
      </c>
      <c r="G934">
        <v>8</v>
      </c>
      <c r="H934">
        <v>597200</v>
      </c>
    </row>
    <row r="935" spans="1:8" x14ac:dyDescent="0.25">
      <c r="A935">
        <v>3922</v>
      </c>
      <c r="B935">
        <v>5</v>
      </c>
      <c r="C935">
        <v>2</v>
      </c>
      <c r="D935">
        <v>12</v>
      </c>
      <c r="E935">
        <v>21</v>
      </c>
      <c r="F935">
        <v>0</v>
      </c>
      <c r="G935">
        <v>7</v>
      </c>
      <c r="H935">
        <v>1063428</v>
      </c>
    </row>
    <row r="936" spans="1:8" x14ac:dyDescent="0.25">
      <c r="A936">
        <v>904</v>
      </c>
      <c r="B936">
        <v>5</v>
      </c>
      <c r="C936">
        <v>3</v>
      </c>
      <c r="D936">
        <v>14</v>
      </c>
      <c r="E936">
        <v>22</v>
      </c>
      <c r="F936">
        <v>0</v>
      </c>
      <c r="G936">
        <v>1</v>
      </c>
      <c r="H936">
        <v>479599</v>
      </c>
    </row>
    <row r="937" spans="1:8" x14ac:dyDescent="0.25">
      <c r="A937">
        <v>2252</v>
      </c>
      <c r="B937">
        <v>4</v>
      </c>
      <c r="C937">
        <v>1</v>
      </c>
      <c r="D937">
        <v>22</v>
      </c>
      <c r="E937">
        <v>11</v>
      </c>
      <c r="F937">
        <v>0</v>
      </c>
      <c r="G937">
        <v>8</v>
      </c>
      <c r="H937">
        <v>812457</v>
      </c>
    </row>
    <row r="938" spans="1:8" x14ac:dyDescent="0.25">
      <c r="A938">
        <v>3886</v>
      </c>
      <c r="B938">
        <v>4</v>
      </c>
      <c r="C938">
        <v>4</v>
      </c>
      <c r="D938">
        <v>8</v>
      </c>
      <c r="E938">
        <v>19</v>
      </c>
      <c r="F938">
        <v>0</v>
      </c>
      <c r="G938">
        <v>7</v>
      </c>
      <c r="H938">
        <v>1011769</v>
      </c>
    </row>
    <row r="939" spans="1:8" x14ac:dyDescent="0.25">
      <c r="A939">
        <v>1067</v>
      </c>
      <c r="B939">
        <v>4</v>
      </c>
      <c r="C939">
        <v>3</v>
      </c>
      <c r="D939">
        <v>16</v>
      </c>
      <c r="E939">
        <v>13</v>
      </c>
      <c r="F939">
        <v>0</v>
      </c>
      <c r="G939">
        <v>7</v>
      </c>
      <c r="H939">
        <v>653465</v>
      </c>
    </row>
    <row r="940" spans="1:8" x14ac:dyDescent="0.25">
      <c r="A940">
        <v>409</v>
      </c>
      <c r="B940">
        <v>4</v>
      </c>
      <c r="C940">
        <v>2</v>
      </c>
      <c r="D940">
        <v>8</v>
      </c>
      <c r="E940">
        <v>31</v>
      </c>
      <c r="F940">
        <v>0</v>
      </c>
      <c r="G940">
        <v>4</v>
      </c>
      <c r="H940">
        <v>441677</v>
      </c>
    </row>
    <row r="941" spans="1:8" x14ac:dyDescent="0.25">
      <c r="A941">
        <v>3536</v>
      </c>
      <c r="B941">
        <v>5</v>
      </c>
      <c r="C941">
        <v>4</v>
      </c>
      <c r="D941">
        <v>36</v>
      </c>
      <c r="E941">
        <v>13</v>
      </c>
      <c r="F941">
        <v>0</v>
      </c>
      <c r="G941">
        <v>6</v>
      </c>
      <c r="H941">
        <v>977112</v>
      </c>
    </row>
    <row r="942" spans="1:8" x14ac:dyDescent="0.25">
      <c r="A942">
        <v>2593</v>
      </c>
      <c r="B942">
        <v>4</v>
      </c>
      <c r="C942">
        <v>1</v>
      </c>
      <c r="D942">
        <v>16</v>
      </c>
      <c r="E942">
        <v>7</v>
      </c>
      <c r="F942">
        <v>0</v>
      </c>
      <c r="G942">
        <v>7</v>
      </c>
      <c r="H942">
        <v>802801</v>
      </c>
    </row>
    <row r="943" spans="1:8" x14ac:dyDescent="0.25">
      <c r="A943">
        <v>2400</v>
      </c>
      <c r="B943">
        <v>5</v>
      </c>
      <c r="C943">
        <v>2</v>
      </c>
      <c r="D943">
        <v>36</v>
      </c>
      <c r="E943">
        <v>1</v>
      </c>
      <c r="F943">
        <v>0</v>
      </c>
      <c r="G943">
        <v>5</v>
      </c>
      <c r="H943">
        <v>733455</v>
      </c>
    </row>
    <row r="944" spans="1:8" x14ac:dyDescent="0.25">
      <c r="A944">
        <v>2068</v>
      </c>
      <c r="B944">
        <v>4</v>
      </c>
      <c r="C944">
        <v>1</v>
      </c>
      <c r="D944">
        <v>35</v>
      </c>
      <c r="E944">
        <v>17</v>
      </c>
      <c r="F944">
        <v>0</v>
      </c>
      <c r="G944">
        <v>9</v>
      </c>
      <c r="H944">
        <v>737052</v>
      </c>
    </row>
    <row r="945" spans="1:8" x14ac:dyDescent="0.25">
      <c r="A945">
        <v>3124</v>
      </c>
      <c r="B945">
        <v>4</v>
      </c>
      <c r="C945">
        <v>3</v>
      </c>
      <c r="D945">
        <v>15</v>
      </c>
      <c r="E945">
        <v>24</v>
      </c>
      <c r="F945">
        <v>0</v>
      </c>
      <c r="G945">
        <v>8</v>
      </c>
      <c r="H945">
        <v>961253</v>
      </c>
    </row>
    <row r="946" spans="1:8" x14ac:dyDescent="0.25">
      <c r="A946">
        <v>1974</v>
      </c>
      <c r="B946">
        <v>5</v>
      </c>
      <c r="C946">
        <v>1</v>
      </c>
      <c r="D946">
        <v>8</v>
      </c>
      <c r="E946">
        <v>29</v>
      </c>
      <c r="F946">
        <v>0</v>
      </c>
      <c r="G946">
        <v>2</v>
      </c>
      <c r="H946">
        <v>524127</v>
      </c>
    </row>
    <row r="947" spans="1:8" x14ac:dyDescent="0.25">
      <c r="A947">
        <v>649</v>
      </c>
      <c r="B947">
        <v>1</v>
      </c>
      <c r="C947">
        <v>1</v>
      </c>
      <c r="D947">
        <v>23</v>
      </c>
      <c r="E947">
        <v>18</v>
      </c>
      <c r="F947">
        <v>0</v>
      </c>
      <c r="G947">
        <v>6</v>
      </c>
      <c r="H947">
        <v>403007</v>
      </c>
    </row>
    <row r="948" spans="1:8" x14ac:dyDescent="0.25">
      <c r="A948">
        <v>4362</v>
      </c>
      <c r="B948">
        <v>4</v>
      </c>
      <c r="C948">
        <v>1</v>
      </c>
      <c r="D948">
        <v>2</v>
      </c>
      <c r="E948">
        <v>34</v>
      </c>
      <c r="F948">
        <v>0</v>
      </c>
      <c r="G948">
        <v>5</v>
      </c>
      <c r="H948">
        <v>969725</v>
      </c>
    </row>
    <row r="949" spans="1:8" x14ac:dyDescent="0.25">
      <c r="A949">
        <v>2384</v>
      </c>
      <c r="B949">
        <v>5</v>
      </c>
      <c r="C949">
        <v>4</v>
      </c>
      <c r="D949">
        <v>5</v>
      </c>
      <c r="E949">
        <v>26</v>
      </c>
      <c r="F949">
        <v>0</v>
      </c>
      <c r="G949">
        <v>10</v>
      </c>
      <c r="H949">
        <v>1006859</v>
      </c>
    </row>
    <row r="950" spans="1:8" x14ac:dyDescent="0.25">
      <c r="A950">
        <v>1477</v>
      </c>
      <c r="B950">
        <v>5</v>
      </c>
      <c r="C950">
        <v>1</v>
      </c>
      <c r="D950">
        <v>20</v>
      </c>
      <c r="E950">
        <v>10</v>
      </c>
      <c r="F950">
        <v>0</v>
      </c>
      <c r="G950">
        <v>6</v>
      </c>
      <c r="H950">
        <v>631611</v>
      </c>
    </row>
    <row r="951" spans="1:8" x14ac:dyDescent="0.25">
      <c r="A951">
        <v>2248</v>
      </c>
      <c r="B951">
        <v>5</v>
      </c>
      <c r="C951">
        <v>4</v>
      </c>
      <c r="D951">
        <v>35</v>
      </c>
      <c r="E951">
        <v>30</v>
      </c>
      <c r="F951">
        <v>0</v>
      </c>
      <c r="G951">
        <v>4</v>
      </c>
      <c r="H951">
        <v>748471</v>
      </c>
    </row>
    <row r="952" spans="1:8" x14ac:dyDescent="0.25">
      <c r="A952">
        <v>2773</v>
      </c>
      <c r="B952">
        <v>1</v>
      </c>
      <c r="C952">
        <v>3</v>
      </c>
      <c r="D952">
        <v>20</v>
      </c>
      <c r="E952">
        <v>17</v>
      </c>
      <c r="F952">
        <v>0</v>
      </c>
      <c r="G952">
        <v>3</v>
      </c>
      <c r="H952">
        <v>489217</v>
      </c>
    </row>
    <row r="953" spans="1:8" x14ac:dyDescent="0.25">
      <c r="A953">
        <v>2550</v>
      </c>
      <c r="B953">
        <v>4</v>
      </c>
      <c r="C953">
        <v>3</v>
      </c>
      <c r="D953">
        <v>37</v>
      </c>
      <c r="E953">
        <v>28</v>
      </c>
      <c r="F953">
        <v>0</v>
      </c>
      <c r="G953">
        <v>4</v>
      </c>
      <c r="H953">
        <v>605627</v>
      </c>
    </row>
    <row r="954" spans="1:8" x14ac:dyDescent="0.25">
      <c r="A954">
        <v>2882</v>
      </c>
      <c r="B954">
        <v>5</v>
      </c>
      <c r="C954">
        <v>1</v>
      </c>
      <c r="D954">
        <v>21</v>
      </c>
      <c r="E954">
        <v>31</v>
      </c>
      <c r="F954">
        <v>0</v>
      </c>
      <c r="G954">
        <v>10</v>
      </c>
      <c r="H954">
        <v>841513</v>
      </c>
    </row>
    <row r="955" spans="1:8" x14ac:dyDescent="0.25">
      <c r="A955">
        <v>537</v>
      </c>
      <c r="B955">
        <v>5</v>
      </c>
      <c r="C955">
        <v>1</v>
      </c>
      <c r="D955">
        <v>11</v>
      </c>
      <c r="E955">
        <v>21</v>
      </c>
      <c r="F955">
        <v>0</v>
      </c>
      <c r="G955">
        <v>4</v>
      </c>
      <c r="H955">
        <v>484108</v>
      </c>
    </row>
    <row r="956" spans="1:8" x14ac:dyDescent="0.25">
      <c r="A956">
        <v>3979</v>
      </c>
      <c r="B956">
        <v>1</v>
      </c>
      <c r="C956">
        <v>2</v>
      </c>
      <c r="D956">
        <v>24</v>
      </c>
      <c r="E956">
        <v>18</v>
      </c>
      <c r="F956">
        <v>0</v>
      </c>
      <c r="G956">
        <v>1</v>
      </c>
      <c r="H956">
        <v>559436</v>
      </c>
    </row>
    <row r="957" spans="1:8" x14ac:dyDescent="0.25">
      <c r="A957">
        <v>4223</v>
      </c>
      <c r="B957">
        <v>1</v>
      </c>
      <c r="C957">
        <v>3</v>
      </c>
      <c r="D957">
        <v>15</v>
      </c>
      <c r="E957">
        <v>18</v>
      </c>
      <c r="F957">
        <v>0</v>
      </c>
      <c r="G957">
        <v>8</v>
      </c>
      <c r="H957">
        <v>898826</v>
      </c>
    </row>
    <row r="958" spans="1:8" x14ac:dyDescent="0.25">
      <c r="A958">
        <v>4442</v>
      </c>
      <c r="B958">
        <v>4</v>
      </c>
      <c r="C958">
        <v>3</v>
      </c>
      <c r="D958">
        <v>16</v>
      </c>
      <c r="E958">
        <v>9</v>
      </c>
      <c r="F958">
        <v>0</v>
      </c>
      <c r="G958">
        <v>1</v>
      </c>
      <c r="H958">
        <v>948775</v>
      </c>
    </row>
    <row r="959" spans="1:8" x14ac:dyDescent="0.25">
      <c r="A959">
        <v>2306</v>
      </c>
      <c r="B959">
        <v>4</v>
      </c>
      <c r="C959">
        <v>3</v>
      </c>
      <c r="D959">
        <v>39</v>
      </c>
      <c r="E959">
        <v>33</v>
      </c>
      <c r="F959">
        <v>0</v>
      </c>
      <c r="G959">
        <v>8</v>
      </c>
      <c r="H959">
        <v>751171</v>
      </c>
    </row>
    <row r="960" spans="1:8" x14ac:dyDescent="0.25">
      <c r="A960">
        <v>1160</v>
      </c>
      <c r="B960">
        <v>1</v>
      </c>
      <c r="C960">
        <v>4</v>
      </c>
      <c r="D960">
        <v>27</v>
      </c>
      <c r="E960">
        <v>33</v>
      </c>
      <c r="F960">
        <v>0</v>
      </c>
      <c r="G960">
        <v>9</v>
      </c>
      <c r="H960">
        <v>496941</v>
      </c>
    </row>
    <row r="961" spans="1:8" x14ac:dyDescent="0.25">
      <c r="A961">
        <v>2287</v>
      </c>
      <c r="B961">
        <v>4</v>
      </c>
      <c r="C961">
        <v>2</v>
      </c>
      <c r="D961">
        <v>31</v>
      </c>
      <c r="E961">
        <v>22</v>
      </c>
      <c r="F961">
        <v>0</v>
      </c>
      <c r="G961">
        <v>7</v>
      </c>
      <c r="H961">
        <v>679468</v>
      </c>
    </row>
    <row r="962" spans="1:8" x14ac:dyDescent="0.25">
      <c r="A962">
        <v>2369</v>
      </c>
      <c r="B962">
        <v>4</v>
      </c>
      <c r="C962">
        <v>1</v>
      </c>
      <c r="D962">
        <v>11</v>
      </c>
      <c r="E962">
        <v>13</v>
      </c>
      <c r="F962">
        <v>0</v>
      </c>
      <c r="G962">
        <v>4</v>
      </c>
      <c r="H962">
        <v>598726</v>
      </c>
    </row>
    <row r="963" spans="1:8" x14ac:dyDescent="0.25">
      <c r="A963">
        <v>3278</v>
      </c>
      <c r="B963">
        <v>1</v>
      </c>
      <c r="C963">
        <v>3</v>
      </c>
      <c r="D963">
        <v>7</v>
      </c>
      <c r="E963">
        <v>30</v>
      </c>
      <c r="F963">
        <v>0</v>
      </c>
      <c r="G963">
        <v>3</v>
      </c>
      <c r="H963">
        <v>578928</v>
      </c>
    </row>
    <row r="964" spans="1:8" x14ac:dyDescent="0.25">
      <c r="A964">
        <v>4543</v>
      </c>
      <c r="B964">
        <v>1</v>
      </c>
      <c r="C964">
        <v>3</v>
      </c>
      <c r="D964">
        <v>21</v>
      </c>
      <c r="E964">
        <v>33</v>
      </c>
      <c r="F964">
        <v>0</v>
      </c>
      <c r="G964">
        <v>4</v>
      </c>
      <c r="H964">
        <v>775111</v>
      </c>
    </row>
    <row r="965" spans="1:8" x14ac:dyDescent="0.25">
      <c r="A965">
        <v>2525</v>
      </c>
      <c r="B965">
        <v>5</v>
      </c>
      <c r="C965">
        <v>3</v>
      </c>
      <c r="D965">
        <v>25</v>
      </c>
      <c r="E965">
        <v>22</v>
      </c>
      <c r="F965">
        <v>0</v>
      </c>
      <c r="G965">
        <v>2</v>
      </c>
      <c r="H965">
        <v>632304</v>
      </c>
    </row>
    <row r="966" spans="1:8" x14ac:dyDescent="0.25">
      <c r="A966">
        <v>2773</v>
      </c>
      <c r="B966">
        <v>1</v>
      </c>
      <c r="C966">
        <v>1</v>
      </c>
      <c r="D966">
        <v>16</v>
      </c>
      <c r="E966">
        <v>15</v>
      </c>
      <c r="F966">
        <v>0</v>
      </c>
      <c r="G966">
        <v>3</v>
      </c>
      <c r="H966">
        <v>276100</v>
      </c>
    </row>
    <row r="967" spans="1:8" x14ac:dyDescent="0.25">
      <c r="A967">
        <v>1893</v>
      </c>
      <c r="B967">
        <v>4</v>
      </c>
      <c r="C967">
        <v>1</v>
      </c>
      <c r="D967">
        <v>27</v>
      </c>
      <c r="E967">
        <v>22</v>
      </c>
      <c r="F967">
        <v>0</v>
      </c>
      <c r="G967">
        <v>3</v>
      </c>
      <c r="H967">
        <v>472496</v>
      </c>
    </row>
    <row r="968" spans="1:8" x14ac:dyDescent="0.25">
      <c r="A968">
        <v>2872</v>
      </c>
      <c r="B968">
        <v>1</v>
      </c>
      <c r="C968">
        <v>1</v>
      </c>
      <c r="D968">
        <v>20</v>
      </c>
      <c r="E968">
        <v>18</v>
      </c>
      <c r="F968">
        <v>0</v>
      </c>
      <c r="G968">
        <v>4</v>
      </c>
      <c r="H968">
        <v>540277</v>
      </c>
    </row>
    <row r="969" spans="1:8" x14ac:dyDescent="0.25">
      <c r="A969">
        <v>3060</v>
      </c>
      <c r="B969">
        <v>4</v>
      </c>
      <c r="C969">
        <v>1</v>
      </c>
      <c r="D969">
        <v>37</v>
      </c>
      <c r="E969">
        <v>13</v>
      </c>
      <c r="F969">
        <v>0</v>
      </c>
      <c r="G969">
        <v>5</v>
      </c>
      <c r="H969">
        <v>689735</v>
      </c>
    </row>
    <row r="970" spans="1:8" x14ac:dyDescent="0.25">
      <c r="A970">
        <v>2005</v>
      </c>
      <c r="B970">
        <v>1</v>
      </c>
      <c r="C970">
        <v>1</v>
      </c>
      <c r="D970">
        <v>4</v>
      </c>
      <c r="E970">
        <v>35</v>
      </c>
      <c r="F970">
        <v>0</v>
      </c>
      <c r="G970">
        <v>5</v>
      </c>
      <c r="H970">
        <v>512388</v>
      </c>
    </row>
    <row r="971" spans="1:8" x14ac:dyDescent="0.25">
      <c r="A971">
        <v>2963</v>
      </c>
      <c r="B971">
        <v>5</v>
      </c>
      <c r="C971">
        <v>2</v>
      </c>
      <c r="D971">
        <v>20</v>
      </c>
      <c r="E971">
        <v>19</v>
      </c>
      <c r="F971">
        <v>0</v>
      </c>
      <c r="G971">
        <v>10</v>
      </c>
      <c r="H971">
        <v>998077</v>
      </c>
    </row>
    <row r="972" spans="1:8" x14ac:dyDescent="0.25">
      <c r="A972">
        <v>3821</v>
      </c>
      <c r="B972">
        <v>1</v>
      </c>
      <c r="C972">
        <v>4</v>
      </c>
      <c r="D972">
        <v>37</v>
      </c>
      <c r="E972">
        <v>34</v>
      </c>
      <c r="F972">
        <v>0</v>
      </c>
      <c r="G972">
        <v>6</v>
      </c>
      <c r="H972">
        <v>706114</v>
      </c>
    </row>
    <row r="973" spans="1:8" x14ac:dyDescent="0.25">
      <c r="A973">
        <v>403</v>
      </c>
      <c r="B973">
        <v>5</v>
      </c>
      <c r="C973">
        <v>1</v>
      </c>
      <c r="D973">
        <v>10</v>
      </c>
      <c r="E973">
        <v>23</v>
      </c>
      <c r="F973">
        <v>0</v>
      </c>
      <c r="G973">
        <v>3</v>
      </c>
      <c r="H973">
        <v>423214</v>
      </c>
    </row>
    <row r="974" spans="1:8" x14ac:dyDescent="0.25">
      <c r="A974">
        <v>517</v>
      </c>
      <c r="B974">
        <v>1</v>
      </c>
      <c r="C974">
        <v>2</v>
      </c>
      <c r="D974">
        <v>20</v>
      </c>
      <c r="E974">
        <v>7</v>
      </c>
      <c r="F974">
        <v>0</v>
      </c>
      <c r="G974">
        <v>9</v>
      </c>
      <c r="H974">
        <v>529735</v>
      </c>
    </row>
    <row r="975" spans="1:8" x14ac:dyDescent="0.25">
      <c r="A975">
        <v>3328</v>
      </c>
      <c r="B975">
        <v>1</v>
      </c>
      <c r="C975">
        <v>2</v>
      </c>
      <c r="D975">
        <v>30</v>
      </c>
      <c r="E975">
        <v>11</v>
      </c>
      <c r="F975">
        <v>0</v>
      </c>
      <c r="G975">
        <v>10</v>
      </c>
      <c r="H975">
        <v>835914</v>
      </c>
    </row>
    <row r="976" spans="1:8" x14ac:dyDescent="0.25">
      <c r="A976">
        <v>4689</v>
      </c>
      <c r="B976">
        <v>1</v>
      </c>
      <c r="C976">
        <v>1</v>
      </c>
      <c r="D976">
        <v>5</v>
      </c>
      <c r="E976">
        <v>33</v>
      </c>
      <c r="F976">
        <v>0</v>
      </c>
      <c r="G976">
        <v>4</v>
      </c>
      <c r="H976">
        <v>713070</v>
      </c>
    </row>
    <row r="977" spans="1:8" x14ac:dyDescent="0.25">
      <c r="A977">
        <v>1541</v>
      </c>
      <c r="B977">
        <v>5</v>
      </c>
      <c r="C977">
        <v>2</v>
      </c>
      <c r="D977">
        <v>34</v>
      </c>
      <c r="E977">
        <v>30</v>
      </c>
      <c r="F977">
        <v>0</v>
      </c>
      <c r="G977">
        <v>3</v>
      </c>
      <c r="H977">
        <v>520532</v>
      </c>
    </row>
    <row r="978" spans="1:8" x14ac:dyDescent="0.25">
      <c r="A978">
        <v>2448</v>
      </c>
      <c r="B978">
        <v>1</v>
      </c>
      <c r="C978">
        <v>3</v>
      </c>
      <c r="D978">
        <v>24</v>
      </c>
      <c r="E978">
        <v>27</v>
      </c>
      <c r="F978">
        <v>0</v>
      </c>
      <c r="G978">
        <v>4</v>
      </c>
      <c r="H978">
        <v>491619</v>
      </c>
    </row>
    <row r="979" spans="1:8" x14ac:dyDescent="0.25">
      <c r="A979">
        <v>4815</v>
      </c>
      <c r="B979">
        <v>1</v>
      </c>
      <c r="C979">
        <v>2</v>
      </c>
      <c r="D979">
        <v>17</v>
      </c>
      <c r="E979">
        <v>11</v>
      </c>
      <c r="F979">
        <v>0</v>
      </c>
      <c r="G979">
        <v>4</v>
      </c>
      <c r="H979">
        <v>812200</v>
      </c>
    </row>
    <row r="980" spans="1:8" x14ac:dyDescent="0.25">
      <c r="A980">
        <v>1973</v>
      </c>
      <c r="B980">
        <v>1</v>
      </c>
      <c r="C980">
        <v>4</v>
      </c>
      <c r="D980">
        <v>18</v>
      </c>
      <c r="E980">
        <v>11</v>
      </c>
      <c r="F980">
        <v>0</v>
      </c>
      <c r="G980">
        <v>5</v>
      </c>
      <c r="H980">
        <v>601322</v>
      </c>
    </row>
    <row r="981" spans="1:8" x14ac:dyDescent="0.25">
      <c r="A981">
        <v>2317</v>
      </c>
      <c r="B981">
        <v>4</v>
      </c>
      <c r="C981">
        <v>3</v>
      </c>
      <c r="D981">
        <v>37</v>
      </c>
      <c r="E981">
        <v>16</v>
      </c>
      <c r="F981">
        <v>0</v>
      </c>
      <c r="G981">
        <v>3</v>
      </c>
      <c r="H981">
        <v>670110</v>
      </c>
    </row>
    <row r="982" spans="1:8" x14ac:dyDescent="0.25">
      <c r="A982">
        <v>409</v>
      </c>
      <c r="B982">
        <v>1</v>
      </c>
      <c r="C982">
        <v>3</v>
      </c>
      <c r="D982">
        <v>33</v>
      </c>
      <c r="E982">
        <v>6</v>
      </c>
      <c r="F982">
        <v>0</v>
      </c>
      <c r="G982">
        <v>10</v>
      </c>
      <c r="H982">
        <v>437472</v>
      </c>
    </row>
    <row r="983" spans="1:8" x14ac:dyDescent="0.25">
      <c r="A983">
        <v>3232</v>
      </c>
      <c r="B983">
        <v>4</v>
      </c>
      <c r="C983">
        <v>2</v>
      </c>
      <c r="D983">
        <v>35</v>
      </c>
      <c r="E983">
        <v>13</v>
      </c>
      <c r="F983">
        <v>0</v>
      </c>
      <c r="G983">
        <v>3</v>
      </c>
      <c r="H983">
        <v>644670</v>
      </c>
    </row>
    <row r="984" spans="1:8" x14ac:dyDescent="0.25">
      <c r="A984">
        <v>3890</v>
      </c>
      <c r="B984">
        <v>4</v>
      </c>
      <c r="C984">
        <v>2</v>
      </c>
      <c r="D984">
        <v>20</v>
      </c>
      <c r="E984">
        <v>4</v>
      </c>
      <c r="F984">
        <v>0</v>
      </c>
      <c r="G984">
        <v>3</v>
      </c>
      <c r="H984">
        <v>773975</v>
      </c>
    </row>
    <row r="985" spans="1:8" x14ac:dyDescent="0.25">
      <c r="A985">
        <v>2369</v>
      </c>
      <c r="B985">
        <v>5</v>
      </c>
      <c r="C985">
        <v>2</v>
      </c>
      <c r="D985">
        <v>36</v>
      </c>
      <c r="E985">
        <v>33</v>
      </c>
      <c r="F985">
        <v>0</v>
      </c>
      <c r="G985">
        <v>7</v>
      </c>
      <c r="H985">
        <v>699097</v>
      </c>
    </row>
    <row r="986" spans="1:8" x14ac:dyDescent="0.25">
      <c r="A986">
        <v>4829</v>
      </c>
      <c r="B986">
        <v>5</v>
      </c>
      <c r="C986">
        <v>4</v>
      </c>
      <c r="D986">
        <v>9</v>
      </c>
      <c r="E986">
        <v>3</v>
      </c>
      <c r="F986">
        <v>0</v>
      </c>
      <c r="G986">
        <v>6</v>
      </c>
      <c r="H986">
        <v>1081227</v>
      </c>
    </row>
    <row r="987" spans="1:8" x14ac:dyDescent="0.25">
      <c r="A987">
        <v>1970</v>
      </c>
      <c r="B987">
        <v>4</v>
      </c>
      <c r="C987">
        <v>1</v>
      </c>
      <c r="D987">
        <v>20</v>
      </c>
      <c r="E987">
        <v>13</v>
      </c>
      <c r="F987">
        <v>0</v>
      </c>
      <c r="G987">
        <v>5</v>
      </c>
      <c r="H987">
        <v>615825</v>
      </c>
    </row>
    <row r="988" spans="1:8" x14ac:dyDescent="0.25">
      <c r="A988">
        <v>3298</v>
      </c>
      <c r="B988">
        <v>4</v>
      </c>
      <c r="C988">
        <v>4</v>
      </c>
      <c r="D988">
        <v>28</v>
      </c>
      <c r="E988">
        <v>8</v>
      </c>
      <c r="F988">
        <v>0</v>
      </c>
      <c r="G988">
        <v>2</v>
      </c>
      <c r="H988">
        <v>651974</v>
      </c>
    </row>
    <row r="989" spans="1:8" x14ac:dyDescent="0.25">
      <c r="A989">
        <v>477</v>
      </c>
      <c r="B989">
        <v>5</v>
      </c>
      <c r="C989">
        <v>2</v>
      </c>
      <c r="D989">
        <v>2</v>
      </c>
      <c r="E989">
        <v>31</v>
      </c>
      <c r="F989">
        <v>0</v>
      </c>
      <c r="G989">
        <v>4</v>
      </c>
      <c r="H989">
        <v>506338</v>
      </c>
    </row>
    <row r="990" spans="1:8" x14ac:dyDescent="0.25">
      <c r="A990">
        <v>1000</v>
      </c>
      <c r="B990">
        <v>5</v>
      </c>
      <c r="C990">
        <v>4</v>
      </c>
      <c r="D990">
        <v>35</v>
      </c>
      <c r="E990">
        <v>20</v>
      </c>
      <c r="F990">
        <v>0</v>
      </c>
      <c r="G990">
        <v>8</v>
      </c>
      <c r="H990">
        <v>636663</v>
      </c>
    </row>
    <row r="991" spans="1:8" x14ac:dyDescent="0.25">
      <c r="A991">
        <v>3997</v>
      </c>
      <c r="B991">
        <v>1</v>
      </c>
      <c r="C991">
        <v>4</v>
      </c>
      <c r="D991">
        <v>28</v>
      </c>
      <c r="E991">
        <v>5</v>
      </c>
      <c r="F991">
        <v>0</v>
      </c>
      <c r="G991">
        <v>7</v>
      </c>
      <c r="H991">
        <v>907964</v>
      </c>
    </row>
    <row r="992" spans="1:8" x14ac:dyDescent="0.25">
      <c r="A992">
        <v>2773</v>
      </c>
      <c r="B992">
        <v>4</v>
      </c>
      <c r="C992">
        <v>1</v>
      </c>
      <c r="D992">
        <v>2</v>
      </c>
      <c r="E992">
        <v>1</v>
      </c>
      <c r="F992">
        <v>0</v>
      </c>
      <c r="G992">
        <v>5</v>
      </c>
      <c r="H992">
        <v>742737</v>
      </c>
    </row>
    <row r="993" spans="1:8" x14ac:dyDescent="0.25">
      <c r="A993">
        <v>3510</v>
      </c>
      <c r="B993">
        <v>4</v>
      </c>
      <c r="C993">
        <v>4</v>
      </c>
      <c r="D993">
        <v>28</v>
      </c>
      <c r="E993">
        <v>6</v>
      </c>
      <c r="F993">
        <v>0</v>
      </c>
      <c r="G993">
        <v>7</v>
      </c>
      <c r="H993">
        <v>992633</v>
      </c>
    </row>
    <row r="994" spans="1:8" x14ac:dyDescent="0.25">
      <c r="A994">
        <v>2370</v>
      </c>
      <c r="B994">
        <v>4</v>
      </c>
      <c r="C994">
        <v>3</v>
      </c>
      <c r="D994">
        <v>19</v>
      </c>
      <c r="E994">
        <v>2</v>
      </c>
      <c r="F994">
        <v>0</v>
      </c>
      <c r="G994">
        <v>6</v>
      </c>
      <c r="H994">
        <v>857272</v>
      </c>
    </row>
    <row r="995" spans="1:8" x14ac:dyDescent="0.25">
      <c r="A995">
        <v>1654</v>
      </c>
      <c r="B995">
        <v>5</v>
      </c>
      <c r="C995">
        <v>4</v>
      </c>
      <c r="D995">
        <v>25</v>
      </c>
      <c r="E995">
        <v>20</v>
      </c>
      <c r="F995">
        <v>0</v>
      </c>
      <c r="G995">
        <v>5</v>
      </c>
      <c r="H995">
        <v>686387</v>
      </c>
    </row>
    <row r="996" spans="1:8" x14ac:dyDescent="0.25">
      <c r="A996">
        <v>2773</v>
      </c>
      <c r="B996">
        <v>4</v>
      </c>
      <c r="C996">
        <v>1</v>
      </c>
      <c r="D996">
        <v>22</v>
      </c>
      <c r="E996">
        <v>5</v>
      </c>
      <c r="F996">
        <v>0</v>
      </c>
      <c r="G996">
        <v>6</v>
      </c>
      <c r="H996">
        <v>518407</v>
      </c>
    </row>
    <row r="997" spans="1:8" x14ac:dyDescent="0.25">
      <c r="A997">
        <v>1520</v>
      </c>
      <c r="B997">
        <v>1</v>
      </c>
      <c r="C997">
        <v>4</v>
      </c>
      <c r="D997">
        <v>4</v>
      </c>
      <c r="E997">
        <v>27</v>
      </c>
      <c r="F997">
        <v>0</v>
      </c>
      <c r="G997">
        <v>7</v>
      </c>
      <c r="H997">
        <v>521690</v>
      </c>
    </row>
    <row r="998" spans="1:8" x14ac:dyDescent="0.25">
      <c r="A998">
        <v>2771</v>
      </c>
      <c r="B998">
        <v>4</v>
      </c>
      <c r="C998">
        <v>1</v>
      </c>
      <c r="D998">
        <v>18</v>
      </c>
      <c r="E998">
        <v>12</v>
      </c>
      <c r="F998">
        <v>0</v>
      </c>
      <c r="G998">
        <v>9</v>
      </c>
      <c r="H998">
        <v>915166</v>
      </c>
    </row>
    <row r="999" spans="1:8" x14ac:dyDescent="0.25">
      <c r="A999">
        <v>2355</v>
      </c>
      <c r="B999">
        <v>4</v>
      </c>
      <c r="C999">
        <v>2</v>
      </c>
      <c r="D999">
        <v>20</v>
      </c>
      <c r="E999">
        <v>27</v>
      </c>
      <c r="F999">
        <v>0</v>
      </c>
      <c r="G999">
        <v>2</v>
      </c>
      <c r="H999">
        <v>566625</v>
      </c>
    </row>
    <row r="1000" spans="1:8" x14ac:dyDescent="0.25">
      <c r="A1000">
        <v>2234</v>
      </c>
      <c r="B1000">
        <v>1</v>
      </c>
      <c r="C1000">
        <v>4</v>
      </c>
      <c r="D1000">
        <v>3</v>
      </c>
      <c r="E1000">
        <v>24</v>
      </c>
      <c r="F1000">
        <v>0</v>
      </c>
      <c r="G1000">
        <v>9</v>
      </c>
      <c r="H1000">
        <v>708869</v>
      </c>
    </row>
    <row r="1001" spans="1:8" x14ac:dyDescent="0.25">
      <c r="A1001">
        <v>3725</v>
      </c>
      <c r="B1001">
        <v>1</v>
      </c>
      <c r="C1001">
        <v>4</v>
      </c>
      <c r="D1001">
        <v>14</v>
      </c>
      <c r="E1001">
        <v>24</v>
      </c>
      <c r="F1001">
        <v>0</v>
      </c>
      <c r="G1001">
        <v>5</v>
      </c>
      <c r="H1001">
        <v>817666</v>
      </c>
    </row>
    <row r="1002" spans="1:8" x14ac:dyDescent="0.25">
      <c r="A1002">
        <v>1214</v>
      </c>
      <c r="B1002">
        <v>1</v>
      </c>
      <c r="C1002">
        <v>4</v>
      </c>
      <c r="D1002">
        <v>38</v>
      </c>
      <c r="E1002">
        <v>16</v>
      </c>
      <c r="F1002">
        <v>0</v>
      </c>
      <c r="G1002">
        <v>2</v>
      </c>
      <c r="H1002">
        <v>245499</v>
      </c>
    </row>
    <row r="1003" spans="1:8" x14ac:dyDescent="0.25">
      <c r="A1003">
        <v>745</v>
      </c>
      <c r="B1003">
        <v>5</v>
      </c>
      <c r="C1003">
        <v>4</v>
      </c>
      <c r="D1003">
        <v>27</v>
      </c>
      <c r="E1003">
        <v>32</v>
      </c>
      <c r="F1003">
        <v>0</v>
      </c>
      <c r="G1003">
        <v>5</v>
      </c>
      <c r="H1003">
        <v>537359</v>
      </c>
    </row>
    <row r="1004" spans="1:8" x14ac:dyDescent="0.25">
      <c r="A1004">
        <v>2039</v>
      </c>
      <c r="B1004">
        <v>5</v>
      </c>
      <c r="C1004">
        <v>4</v>
      </c>
      <c r="D1004">
        <v>26</v>
      </c>
      <c r="E1004">
        <v>20</v>
      </c>
      <c r="F1004">
        <v>0</v>
      </c>
      <c r="G1004">
        <v>9</v>
      </c>
      <c r="H1004">
        <v>778844</v>
      </c>
    </row>
    <row r="1005" spans="1:8" x14ac:dyDescent="0.25">
      <c r="A1005">
        <v>3130</v>
      </c>
      <c r="B1005">
        <v>1</v>
      </c>
      <c r="C1005">
        <v>4</v>
      </c>
      <c r="D1005">
        <v>35</v>
      </c>
      <c r="E1005">
        <v>32</v>
      </c>
      <c r="F1005">
        <v>0</v>
      </c>
      <c r="G1005">
        <v>5</v>
      </c>
      <c r="H1005">
        <v>637815</v>
      </c>
    </row>
    <row r="1006" spans="1:8" x14ac:dyDescent="0.25">
      <c r="A1006">
        <v>3456</v>
      </c>
      <c r="B1006">
        <v>5</v>
      </c>
      <c r="C1006">
        <v>1</v>
      </c>
      <c r="D1006">
        <v>33</v>
      </c>
      <c r="E1006">
        <v>34</v>
      </c>
      <c r="F1006">
        <v>0</v>
      </c>
      <c r="G1006">
        <v>2</v>
      </c>
      <c r="H1006">
        <v>576703</v>
      </c>
    </row>
    <row r="1007" spans="1:8" x14ac:dyDescent="0.25">
      <c r="A1007">
        <v>3933</v>
      </c>
      <c r="B1007">
        <v>4</v>
      </c>
      <c r="C1007">
        <v>2</v>
      </c>
      <c r="D1007">
        <v>30</v>
      </c>
      <c r="E1007">
        <v>18</v>
      </c>
      <c r="F1007">
        <v>0</v>
      </c>
      <c r="G1007">
        <v>3</v>
      </c>
      <c r="H1007">
        <v>799916</v>
      </c>
    </row>
    <row r="1008" spans="1:8" x14ac:dyDescent="0.25">
      <c r="A1008">
        <v>2522</v>
      </c>
      <c r="B1008">
        <v>5</v>
      </c>
      <c r="C1008">
        <v>3</v>
      </c>
      <c r="D1008">
        <v>13</v>
      </c>
      <c r="E1008">
        <v>18</v>
      </c>
      <c r="F1008">
        <v>0</v>
      </c>
      <c r="G1008">
        <v>5</v>
      </c>
      <c r="H1008">
        <v>919911</v>
      </c>
    </row>
    <row r="1009" spans="1:8" x14ac:dyDescent="0.25">
      <c r="A1009">
        <v>2773</v>
      </c>
      <c r="B1009">
        <v>4</v>
      </c>
      <c r="C1009">
        <v>3</v>
      </c>
      <c r="D1009">
        <v>8</v>
      </c>
      <c r="E1009">
        <v>14</v>
      </c>
      <c r="F1009">
        <v>0</v>
      </c>
      <c r="G1009">
        <v>5</v>
      </c>
      <c r="H1009">
        <v>872530</v>
      </c>
    </row>
    <row r="1010" spans="1:8" x14ac:dyDescent="0.25">
      <c r="A1010">
        <v>2603</v>
      </c>
      <c r="B1010">
        <v>4</v>
      </c>
      <c r="C1010">
        <v>2</v>
      </c>
      <c r="D1010">
        <v>16</v>
      </c>
      <c r="E1010">
        <v>22</v>
      </c>
      <c r="F1010">
        <v>0</v>
      </c>
      <c r="G1010">
        <v>9</v>
      </c>
      <c r="H1010">
        <v>787201</v>
      </c>
    </row>
    <row r="1011" spans="1:8" x14ac:dyDescent="0.25">
      <c r="A1011">
        <v>2192</v>
      </c>
      <c r="B1011">
        <v>1</v>
      </c>
      <c r="C1011">
        <v>4</v>
      </c>
      <c r="D1011">
        <v>37</v>
      </c>
      <c r="E1011">
        <v>31</v>
      </c>
      <c r="F1011">
        <v>0</v>
      </c>
      <c r="G1011">
        <v>7</v>
      </c>
      <c r="H1011">
        <v>580521</v>
      </c>
    </row>
    <row r="1012" spans="1:8" x14ac:dyDescent="0.25">
      <c r="A1012">
        <v>2882</v>
      </c>
      <c r="B1012">
        <v>4</v>
      </c>
      <c r="C1012">
        <v>1</v>
      </c>
      <c r="D1012">
        <v>23</v>
      </c>
      <c r="E1012">
        <v>5</v>
      </c>
      <c r="F1012">
        <v>0</v>
      </c>
      <c r="G1012">
        <v>7</v>
      </c>
      <c r="H1012">
        <v>842129</v>
      </c>
    </row>
    <row r="1013" spans="1:8" x14ac:dyDescent="0.25">
      <c r="A1013">
        <v>3117</v>
      </c>
      <c r="B1013">
        <v>1</v>
      </c>
      <c r="C1013">
        <v>1</v>
      </c>
      <c r="D1013">
        <v>38</v>
      </c>
      <c r="E1013">
        <v>24</v>
      </c>
      <c r="F1013">
        <v>0</v>
      </c>
      <c r="G1013">
        <v>5</v>
      </c>
      <c r="H1013">
        <v>514699</v>
      </c>
    </row>
    <row r="1014" spans="1:8" x14ac:dyDescent="0.25">
      <c r="A1014">
        <v>3776</v>
      </c>
      <c r="B1014">
        <v>5</v>
      </c>
      <c r="C1014">
        <v>3</v>
      </c>
      <c r="D1014">
        <v>0</v>
      </c>
      <c r="E1014">
        <v>28</v>
      </c>
      <c r="F1014">
        <v>0</v>
      </c>
      <c r="G1014">
        <v>2</v>
      </c>
      <c r="H1014">
        <v>820117</v>
      </c>
    </row>
    <row r="1015" spans="1:8" x14ac:dyDescent="0.25">
      <c r="A1015">
        <v>4075</v>
      </c>
      <c r="B1015">
        <v>4</v>
      </c>
      <c r="C1015">
        <v>4</v>
      </c>
      <c r="D1015">
        <v>13</v>
      </c>
      <c r="E1015">
        <v>20</v>
      </c>
      <c r="F1015">
        <v>0</v>
      </c>
      <c r="G1015">
        <v>1</v>
      </c>
      <c r="H1015">
        <v>740250</v>
      </c>
    </row>
    <row r="1016" spans="1:8" x14ac:dyDescent="0.25">
      <c r="A1016">
        <v>4948</v>
      </c>
      <c r="B1016">
        <v>1</v>
      </c>
      <c r="C1016">
        <v>4</v>
      </c>
      <c r="D1016">
        <v>37</v>
      </c>
      <c r="E1016">
        <v>16</v>
      </c>
      <c r="F1016">
        <v>0</v>
      </c>
      <c r="G1016">
        <v>9</v>
      </c>
      <c r="H1016">
        <v>944976</v>
      </c>
    </row>
    <row r="1017" spans="1:8" x14ac:dyDescent="0.25">
      <c r="A1017">
        <v>4965</v>
      </c>
      <c r="B1017">
        <v>1</v>
      </c>
      <c r="C1017">
        <v>1</v>
      </c>
      <c r="D1017">
        <v>33</v>
      </c>
      <c r="E1017">
        <v>6</v>
      </c>
      <c r="F1017">
        <v>0</v>
      </c>
      <c r="G1017">
        <v>2</v>
      </c>
      <c r="H1017">
        <v>720488</v>
      </c>
    </row>
    <row r="1018" spans="1:8" x14ac:dyDescent="0.25">
      <c r="A1018">
        <v>2965</v>
      </c>
      <c r="B1018">
        <v>1</v>
      </c>
      <c r="C1018">
        <v>3</v>
      </c>
      <c r="D1018">
        <v>0</v>
      </c>
      <c r="E1018">
        <v>18</v>
      </c>
      <c r="F1018">
        <v>0</v>
      </c>
      <c r="G1018">
        <v>8</v>
      </c>
      <c r="H1018">
        <v>802567</v>
      </c>
    </row>
    <row r="1019" spans="1:8" x14ac:dyDescent="0.25">
      <c r="A1019">
        <v>1000</v>
      </c>
      <c r="B1019">
        <v>5</v>
      </c>
      <c r="C1019">
        <v>4</v>
      </c>
      <c r="D1019">
        <v>35</v>
      </c>
      <c r="E1019">
        <v>20</v>
      </c>
      <c r="F1019">
        <v>0</v>
      </c>
      <c r="G1019">
        <v>8</v>
      </c>
      <c r="H1019">
        <v>636663</v>
      </c>
    </row>
    <row r="1020" spans="1:8" x14ac:dyDescent="0.25">
      <c r="A1020">
        <v>1974</v>
      </c>
      <c r="B1020">
        <v>5</v>
      </c>
      <c r="C1020">
        <v>1</v>
      </c>
      <c r="D1020">
        <v>8</v>
      </c>
      <c r="E1020">
        <v>29</v>
      </c>
      <c r="F1020">
        <v>0</v>
      </c>
      <c r="G1020">
        <v>2</v>
      </c>
      <c r="H1020">
        <v>524127</v>
      </c>
    </row>
    <row r="1021" spans="1:8" x14ac:dyDescent="0.25">
      <c r="A1021">
        <v>3886</v>
      </c>
      <c r="B1021">
        <v>4</v>
      </c>
      <c r="C1021">
        <v>3</v>
      </c>
      <c r="D1021">
        <v>31</v>
      </c>
      <c r="E1021">
        <v>21</v>
      </c>
      <c r="F1021">
        <v>0</v>
      </c>
      <c r="G1021">
        <v>9</v>
      </c>
      <c r="H1021">
        <v>1023837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A02B0-586D-434B-BD5E-477D3DFF241D}">
  <sheetPr codeName="Sheet3"/>
  <dimension ref="A3:B9"/>
  <sheetViews>
    <sheetView workbookViewId="0">
      <selection activeCell="M16" sqref="M16"/>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t="s">
        <v>11</v>
      </c>
      <c r="B4" s="1">
        <v>481064.08510638296</v>
      </c>
    </row>
    <row r="5" spans="1:2" x14ac:dyDescent="0.25">
      <c r="A5" s="3" t="s">
        <v>12</v>
      </c>
      <c r="B5" s="1">
        <v>610508.35944700462</v>
      </c>
    </row>
    <row r="6" spans="1:2" x14ac:dyDescent="0.25">
      <c r="A6" s="3" t="s">
        <v>13</v>
      </c>
      <c r="B6" s="1">
        <v>729727.47286821704</v>
      </c>
    </row>
    <row r="7" spans="1:2" x14ac:dyDescent="0.25">
      <c r="A7" s="3" t="s">
        <v>14</v>
      </c>
      <c r="B7" s="1">
        <v>824671.25327510922</v>
      </c>
    </row>
    <row r="8" spans="1:2" x14ac:dyDescent="0.25">
      <c r="A8" s="3" t="s">
        <v>15</v>
      </c>
      <c r="B8" s="1">
        <v>944738.546875</v>
      </c>
    </row>
    <row r="9" spans="1:2" x14ac:dyDescent="0.25">
      <c r="A9" s="3" t="s">
        <v>9</v>
      </c>
      <c r="B9">
        <v>706829.70686274511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484D4-E7BD-4413-B09F-1139C7045ECB}">
  <sheetPr codeName="Sheet4"/>
  <dimension ref="A3:B9"/>
  <sheetViews>
    <sheetView workbookViewId="0">
      <selection activeCell="M17" sqref="M17"/>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v>1</v>
      </c>
      <c r="B4" s="1">
        <v>600126.1308900523</v>
      </c>
    </row>
    <row r="5" spans="1:2" x14ac:dyDescent="0.25">
      <c r="A5" s="3">
        <v>2</v>
      </c>
      <c r="B5" s="1">
        <v>652931.58499999996</v>
      </c>
    </row>
    <row r="6" spans="1:2" x14ac:dyDescent="0.25">
      <c r="A6" s="3">
        <v>3</v>
      </c>
      <c r="B6" s="1">
        <v>709735.12033195025</v>
      </c>
    </row>
    <row r="7" spans="1:2" x14ac:dyDescent="0.25">
      <c r="A7" s="3">
        <v>4</v>
      </c>
      <c r="B7" s="1">
        <v>783609.91752577317</v>
      </c>
    </row>
    <row r="8" spans="1:2" x14ac:dyDescent="0.25">
      <c r="A8" s="3">
        <v>5</v>
      </c>
      <c r="B8" s="1">
        <v>787058.78865979379</v>
      </c>
    </row>
    <row r="9" spans="1:2" x14ac:dyDescent="0.25">
      <c r="A9" s="3" t="s">
        <v>9</v>
      </c>
      <c r="B9">
        <v>706829.70686274511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2BEF2-BE2E-46F4-B9D7-0DB395866462}">
  <sheetPr codeName="Sheet5"/>
  <dimension ref="A3:B8"/>
  <sheetViews>
    <sheetView workbookViewId="0">
      <selection activeCell="K14" sqref="K14"/>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v>1</v>
      </c>
      <c r="B4" s="1">
        <v>639422.19246861921</v>
      </c>
    </row>
    <row r="5" spans="1:2" x14ac:dyDescent="0.25">
      <c r="A5" s="3">
        <v>2</v>
      </c>
      <c r="B5" s="1">
        <v>693043.99585062242</v>
      </c>
    </row>
    <row r="6" spans="1:2" x14ac:dyDescent="0.25">
      <c r="A6" s="3">
        <v>3</v>
      </c>
      <c r="B6" s="1">
        <v>732428.51310861425</v>
      </c>
    </row>
    <row r="7" spans="1:2" x14ac:dyDescent="0.25">
      <c r="A7" s="3">
        <v>4</v>
      </c>
      <c r="B7" s="1">
        <v>752975.75457875454</v>
      </c>
    </row>
    <row r="8" spans="1:2" x14ac:dyDescent="0.25">
      <c r="A8" s="3" t="s">
        <v>9</v>
      </c>
      <c r="B8">
        <v>706829.70686274511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CC99E-0CE4-40AC-8023-314CC2936CD5}">
  <sheetPr codeName="Sheet6"/>
  <dimension ref="A3:B7"/>
  <sheetViews>
    <sheetView workbookViewId="0">
      <selection activeCell="N16" sqref="N16"/>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v>0</v>
      </c>
      <c r="B4" s="1">
        <v>691871.75159235671</v>
      </c>
    </row>
    <row r="5" spans="1:2" x14ac:dyDescent="0.25">
      <c r="A5" s="3">
        <v>1</v>
      </c>
      <c r="B5" s="1">
        <v>713288.99195710453</v>
      </c>
    </row>
    <row r="6" spans="1:2" x14ac:dyDescent="0.25">
      <c r="A6" s="3">
        <v>2</v>
      </c>
      <c r="B6" s="1">
        <v>713699.03003003006</v>
      </c>
    </row>
    <row r="7" spans="1:2" x14ac:dyDescent="0.25">
      <c r="A7" s="3" t="s">
        <v>9</v>
      </c>
      <c r="B7">
        <v>706829.70686274511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5EB4D-CD7D-4692-A76B-E8F2E927C3DD}">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BF2E9-0882-46D4-AF1C-ADEF10985265}">
  <sheetPr codeName="Sheet8"/>
  <dimension ref="A3:B9"/>
  <sheetViews>
    <sheetView workbookViewId="0">
      <selection activeCell="A7" sqref="A7"/>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v>6</v>
      </c>
      <c r="B4" s="1">
        <v>721636.752293578</v>
      </c>
    </row>
    <row r="5" spans="1:2" x14ac:dyDescent="0.25">
      <c r="A5" s="3">
        <v>7</v>
      </c>
      <c r="B5" s="1">
        <v>778735.50537634408</v>
      </c>
    </row>
    <row r="6" spans="1:2" x14ac:dyDescent="0.25">
      <c r="A6" s="3">
        <v>8</v>
      </c>
      <c r="B6" s="1">
        <v>799000.65656565654</v>
      </c>
    </row>
    <row r="7" spans="1:2" x14ac:dyDescent="0.25">
      <c r="A7" s="3">
        <v>9</v>
      </c>
      <c r="B7" s="1">
        <v>846436.4134615385</v>
      </c>
    </row>
    <row r="8" spans="1:2" x14ac:dyDescent="0.25">
      <c r="A8" s="3">
        <v>10</v>
      </c>
      <c r="B8" s="1">
        <v>888812.57894736843</v>
      </c>
    </row>
    <row r="9" spans="1:2" x14ac:dyDescent="0.25">
      <c r="A9" s="3" t="s">
        <v>9</v>
      </c>
      <c r="B9">
        <v>798427.65584415582</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F957A-28C2-40F6-A2D5-35AC71FFC79C}">
  <sheetPr codeName="Sheet9"/>
  <dimension ref="A3:B11"/>
  <sheetViews>
    <sheetView workbookViewId="0">
      <selection activeCell="B4" sqref="B4:B10"/>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t="s">
        <v>25</v>
      </c>
      <c r="B4" s="1">
        <v>724297.25</v>
      </c>
    </row>
    <row r="5" spans="1:2" x14ac:dyDescent="0.25">
      <c r="A5" s="3" t="s">
        <v>26</v>
      </c>
      <c r="B5" s="1">
        <v>727114.05185185187</v>
      </c>
    </row>
    <row r="6" spans="1:2" x14ac:dyDescent="0.25">
      <c r="A6" s="3" t="s">
        <v>27</v>
      </c>
      <c r="B6" s="1">
        <v>692413.5555555555</v>
      </c>
    </row>
    <row r="7" spans="1:2" x14ac:dyDescent="0.25">
      <c r="A7" s="3" t="s">
        <v>28</v>
      </c>
      <c r="B7" s="1">
        <v>707530.57368421054</v>
      </c>
    </row>
    <row r="8" spans="1:2" x14ac:dyDescent="0.25">
      <c r="A8" s="3" t="s">
        <v>29</v>
      </c>
      <c r="B8" s="1">
        <v>693622.92361111112</v>
      </c>
    </row>
    <row r="9" spans="1:2" x14ac:dyDescent="0.25">
      <c r="A9" s="3" t="s">
        <v>30</v>
      </c>
      <c r="B9" s="1">
        <v>706932.66887417214</v>
      </c>
    </row>
    <row r="10" spans="1:2" x14ac:dyDescent="0.25">
      <c r="A10" s="3" t="s">
        <v>31</v>
      </c>
      <c r="B10" s="1">
        <v>697030.41935483867</v>
      </c>
    </row>
    <row r="11" spans="1:2" x14ac:dyDescent="0.25">
      <c r="A11" s="3" t="s">
        <v>9</v>
      </c>
      <c r="B11">
        <v>706829.70686274511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14531-A823-4E96-A554-E60D4A26D550}">
  <sheetPr codeName="Sheet10"/>
  <dimension ref="A3:B9"/>
  <sheetViews>
    <sheetView workbookViewId="0">
      <selection activeCell="B4" sqref="B4:B8"/>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v>1</v>
      </c>
      <c r="B4" s="1">
        <v>600126.1308900523</v>
      </c>
    </row>
    <row r="5" spans="1:2" x14ac:dyDescent="0.25">
      <c r="A5" s="3">
        <v>2</v>
      </c>
      <c r="B5" s="1">
        <v>652931.58499999996</v>
      </c>
    </row>
    <row r="6" spans="1:2" x14ac:dyDescent="0.25">
      <c r="A6" s="3">
        <v>3</v>
      </c>
      <c r="B6" s="1">
        <v>709735.12033195025</v>
      </c>
    </row>
    <row r="7" spans="1:2" x14ac:dyDescent="0.25">
      <c r="A7" s="3">
        <v>4</v>
      </c>
      <c r="B7" s="1">
        <v>783609.91752577317</v>
      </c>
    </row>
    <row r="8" spans="1:2" x14ac:dyDescent="0.25">
      <c r="A8" s="3">
        <v>5</v>
      </c>
      <c r="B8" s="1">
        <v>787058.78865979379</v>
      </c>
    </row>
    <row r="9" spans="1:2" x14ac:dyDescent="0.25">
      <c r="A9" s="3" t="s">
        <v>9</v>
      </c>
      <c r="B9">
        <v>706829.70686274511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7EEC1-BF1C-486B-91DC-68A3B95DCCFE}">
  <sheetPr codeName="Sheet11"/>
  <dimension ref="A3:D9"/>
  <sheetViews>
    <sheetView workbookViewId="0">
      <selection activeCell="B6" sqref="B6"/>
    </sheetView>
  </sheetViews>
  <sheetFormatPr defaultRowHeight="15" x14ac:dyDescent="0.25"/>
  <cols>
    <col min="1" max="1" width="13.140625" bestFit="1" customWidth="1"/>
    <col min="2" max="2" width="15.5703125" bestFit="1" customWidth="1"/>
    <col min="3" max="3" width="14.5703125" bestFit="1" customWidth="1"/>
    <col min="4" max="4" width="13.140625" bestFit="1" customWidth="1"/>
  </cols>
  <sheetData>
    <row r="3" spans="1:4" x14ac:dyDescent="0.25">
      <c r="A3" s="2" t="s">
        <v>8</v>
      </c>
      <c r="B3" t="s">
        <v>48</v>
      </c>
      <c r="C3" t="s">
        <v>47</v>
      </c>
      <c r="D3" t="s">
        <v>16</v>
      </c>
    </row>
    <row r="4" spans="1:4" x14ac:dyDescent="0.25">
      <c r="A4" s="3" t="s">
        <v>11</v>
      </c>
      <c r="B4">
        <v>481064.08510638296</v>
      </c>
      <c r="C4">
        <v>188</v>
      </c>
      <c r="D4" s="4">
        <v>0.12544282288167585</v>
      </c>
    </row>
    <row r="5" spans="1:4" x14ac:dyDescent="0.25">
      <c r="A5" s="3" t="s">
        <v>12</v>
      </c>
      <c r="B5">
        <v>610508.35944700462</v>
      </c>
      <c r="C5">
        <v>217</v>
      </c>
      <c r="D5" s="4">
        <v>0.18375382291273001</v>
      </c>
    </row>
    <row r="6" spans="1:4" x14ac:dyDescent="0.25">
      <c r="A6" s="3" t="s">
        <v>13</v>
      </c>
      <c r="B6">
        <v>729727.47286821704</v>
      </c>
      <c r="C6">
        <v>258</v>
      </c>
      <c r="D6" s="4">
        <v>0.26113521219905117</v>
      </c>
    </row>
    <row r="7" spans="1:4" x14ac:dyDescent="0.25">
      <c r="A7" s="3" t="s">
        <v>14</v>
      </c>
      <c r="B7">
        <v>824671.25327510922</v>
      </c>
      <c r="C7">
        <v>229</v>
      </c>
      <c r="D7" s="4">
        <v>0.26193972830361179</v>
      </c>
    </row>
    <row r="8" spans="1:4" x14ac:dyDescent="0.25">
      <c r="A8" s="3" t="s">
        <v>15</v>
      </c>
      <c r="B8">
        <v>944738.546875</v>
      </c>
      <c r="C8">
        <v>128</v>
      </c>
      <c r="D8" s="4">
        <v>0.16772841370293118</v>
      </c>
    </row>
    <row r="9" spans="1:4" x14ac:dyDescent="0.25">
      <c r="A9" s="3" t="s">
        <v>9</v>
      </c>
      <c r="B9">
        <v>706829.70686274511</v>
      </c>
      <c r="C9">
        <v>1020</v>
      </c>
      <c r="D9" s="4">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0C4A-1E92-4ECD-B39C-569385125D5E}">
  <sheetPr codeName="Sheet12"/>
  <dimension ref="A3:G11"/>
  <sheetViews>
    <sheetView topLeftCell="A4" workbookViewId="0">
      <selection activeCell="D11" sqref="D11"/>
    </sheetView>
  </sheetViews>
  <sheetFormatPr defaultRowHeight="15" x14ac:dyDescent="0.25"/>
  <cols>
    <col min="1" max="1" width="13.140625" bestFit="1" customWidth="1"/>
    <col min="2" max="2" width="13.5703125" bestFit="1" customWidth="1"/>
    <col min="4" max="4" width="24.5703125" customWidth="1"/>
    <col min="7" max="7" width="17.7109375" customWidth="1"/>
  </cols>
  <sheetData>
    <row r="3" spans="1:7" x14ac:dyDescent="0.25">
      <c r="A3" s="2" t="s">
        <v>8</v>
      </c>
      <c r="B3" t="s">
        <v>51</v>
      </c>
    </row>
    <row r="4" spans="1:7" ht="120" x14ac:dyDescent="0.25">
      <c r="A4" s="3" t="s">
        <v>11</v>
      </c>
      <c r="B4">
        <v>188</v>
      </c>
      <c r="G4" s="10" t="str">
        <f>"Low Performing Range" &amp;CHAR(10) &amp;INDEX(A4:A8,MATCH(MIN(B4:B8),B4:B8,0))&amp;" KM" &amp;CHAR(10) &amp;CHAR(10) &amp;"Property Sold : " &amp;MIN(B4:B8)</f>
        <v>Low Performing Range
4403-5402 KM
Property Sold : 128</v>
      </c>
    </row>
    <row r="5" spans="1:7" x14ac:dyDescent="0.25">
      <c r="A5" s="3" t="s">
        <v>12</v>
      </c>
      <c r="B5">
        <v>217</v>
      </c>
      <c r="D5">
        <f>MAX(B4:B8)</f>
        <v>258</v>
      </c>
    </row>
    <row r="6" spans="1:7" x14ac:dyDescent="0.25">
      <c r="A6" s="3" t="s">
        <v>13</v>
      </c>
      <c r="B6">
        <v>258</v>
      </c>
    </row>
    <row r="7" spans="1:7" x14ac:dyDescent="0.25">
      <c r="A7" s="3" t="s">
        <v>14</v>
      </c>
      <c r="B7">
        <v>229</v>
      </c>
    </row>
    <row r="8" spans="1:7" x14ac:dyDescent="0.25">
      <c r="A8" s="3" t="s">
        <v>15</v>
      </c>
      <c r="B8">
        <v>128</v>
      </c>
      <c r="D8" t="str">
        <f>INDEX(A4:A8,MATCH(MAX(B4:B8),B4:B8,0))</f>
        <v>2403-3402</v>
      </c>
    </row>
    <row r="9" spans="1:7" x14ac:dyDescent="0.25">
      <c r="A9" s="3" t="s">
        <v>9</v>
      </c>
      <c r="B9">
        <v>1020</v>
      </c>
    </row>
    <row r="11" spans="1:7" ht="60" x14ac:dyDescent="0.25">
      <c r="D11" s="10" t="str">
        <f>"Best Performing Range" &amp;CHAR(10) &amp;INDEX(A4:A8,MATCH(MAX(B4:B8),B4:B8,0)) &amp;" KM" &amp;CHAR(10) &amp;CHAR(10) &amp;"Property Sold: " &amp;MAX(B4:B8)</f>
        <v>Best Performing Range
2403-3402 KM
Property Sold: 258</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0E4B0-7246-4C98-9403-86FD1FE5AE4E}">
  <sheetPr codeName="Sheet13"/>
  <dimension ref="A3:B9"/>
  <sheetViews>
    <sheetView workbookViewId="0">
      <selection activeCell="O14" sqref="O14"/>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t="s">
        <v>11</v>
      </c>
      <c r="B4" s="1">
        <v>481064.08510638296</v>
      </c>
    </row>
    <row r="5" spans="1:2" x14ac:dyDescent="0.25">
      <c r="A5" s="3" t="s">
        <v>12</v>
      </c>
      <c r="B5" s="1">
        <v>610508.35944700462</v>
      </c>
    </row>
    <row r="6" spans="1:2" x14ac:dyDescent="0.25">
      <c r="A6" s="3" t="s">
        <v>13</v>
      </c>
      <c r="B6" s="1">
        <v>729727.47286821704</v>
      </c>
    </row>
    <row r="7" spans="1:2" x14ac:dyDescent="0.25">
      <c r="A7" s="3" t="s">
        <v>14</v>
      </c>
      <c r="B7" s="1">
        <v>824671.25327510922</v>
      </c>
    </row>
    <row r="8" spans="1:2" x14ac:dyDescent="0.25">
      <c r="A8" s="3" t="s">
        <v>15</v>
      </c>
      <c r="B8" s="1">
        <v>944738.546875</v>
      </c>
    </row>
    <row r="9" spans="1:2" x14ac:dyDescent="0.25">
      <c r="A9" s="3" t="s">
        <v>9</v>
      </c>
      <c r="B9">
        <v>706829.70686274511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546F-1D02-4E1A-9E59-FE2869C169A5}">
  <sheetPr codeName="Sheet14"/>
  <dimension ref="A3:G10"/>
  <sheetViews>
    <sheetView workbookViewId="0">
      <selection activeCell="E20" sqref="E20"/>
    </sheetView>
  </sheetViews>
  <sheetFormatPr defaultRowHeight="15" x14ac:dyDescent="0.25"/>
  <cols>
    <col min="1" max="1" width="17.5703125" bestFit="1" customWidth="1"/>
    <col min="2" max="2" width="16.28515625" bestFit="1" customWidth="1"/>
    <col min="3" max="6" width="9.7109375" bestFit="1" customWidth="1"/>
    <col min="7" max="7" width="11.28515625" bestFit="1" customWidth="1"/>
    <col min="8" max="92" width="4" bestFit="1" customWidth="1"/>
    <col min="93" max="864" width="5" bestFit="1" customWidth="1"/>
    <col min="865" max="865" width="11.28515625" bestFit="1" customWidth="1"/>
  </cols>
  <sheetData>
    <row r="3" spans="1:7" x14ac:dyDescent="0.25">
      <c r="A3" s="2" t="s">
        <v>50</v>
      </c>
      <c r="B3" s="2" t="s">
        <v>49</v>
      </c>
    </row>
    <row r="4" spans="1:7" x14ac:dyDescent="0.25">
      <c r="A4" s="2" t="s">
        <v>8</v>
      </c>
      <c r="B4" t="s">
        <v>11</v>
      </c>
      <c r="C4" t="s">
        <v>12</v>
      </c>
      <c r="D4" t="s">
        <v>13</v>
      </c>
      <c r="E4" t="s">
        <v>14</v>
      </c>
      <c r="F4" t="s">
        <v>15</v>
      </c>
      <c r="G4" t="s">
        <v>9</v>
      </c>
    </row>
    <row r="5" spans="1:7" x14ac:dyDescent="0.25">
      <c r="A5" s="3">
        <v>1</v>
      </c>
      <c r="B5">
        <v>35</v>
      </c>
      <c r="C5">
        <v>42</v>
      </c>
      <c r="D5">
        <v>46</v>
      </c>
      <c r="E5">
        <v>43</v>
      </c>
      <c r="F5">
        <v>25</v>
      </c>
      <c r="G5">
        <v>191</v>
      </c>
    </row>
    <row r="6" spans="1:7" x14ac:dyDescent="0.25">
      <c r="A6" s="3">
        <v>2</v>
      </c>
      <c r="B6">
        <v>36</v>
      </c>
      <c r="C6">
        <v>47</v>
      </c>
      <c r="D6">
        <v>45</v>
      </c>
      <c r="E6">
        <v>54</v>
      </c>
      <c r="F6">
        <v>18</v>
      </c>
      <c r="G6">
        <v>200</v>
      </c>
    </row>
    <row r="7" spans="1:7" x14ac:dyDescent="0.25">
      <c r="A7" s="3">
        <v>3</v>
      </c>
      <c r="B7">
        <v>48</v>
      </c>
      <c r="C7">
        <v>44</v>
      </c>
      <c r="D7">
        <v>61</v>
      </c>
      <c r="E7">
        <v>51</v>
      </c>
      <c r="F7">
        <v>37</v>
      </c>
      <c r="G7">
        <v>241</v>
      </c>
    </row>
    <row r="8" spans="1:7" x14ac:dyDescent="0.25">
      <c r="A8" s="3">
        <v>4</v>
      </c>
      <c r="B8">
        <v>26</v>
      </c>
      <c r="C8">
        <v>38</v>
      </c>
      <c r="D8">
        <v>59</v>
      </c>
      <c r="E8">
        <v>44</v>
      </c>
      <c r="F8">
        <v>27</v>
      </c>
      <c r="G8">
        <v>194</v>
      </c>
    </row>
    <row r="9" spans="1:7" x14ac:dyDescent="0.25">
      <c r="A9" s="3">
        <v>5</v>
      </c>
      <c r="B9">
        <v>43</v>
      </c>
      <c r="C9">
        <v>46</v>
      </c>
      <c r="D9">
        <v>47</v>
      </c>
      <c r="E9">
        <v>37</v>
      </c>
      <c r="F9">
        <v>21</v>
      </c>
      <c r="G9">
        <v>194</v>
      </c>
    </row>
    <row r="10" spans="1:7" x14ac:dyDescent="0.25">
      <c r="A10" s="3" t="s">
        <v>9</v>
      </c>
      <c r="B10">
        <v>188</v>
      </c>
      <c r="C10">
        <v>217</v>
      </c>
      <c r="D10">
        <v>258</v>
      </c>
      <c r="E10">
        <v>229</v>
      </c>
      <c r="F10">
        <v>128</v>
      </c>
      <c r="G10">
        <v>1020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7357A-1AFE-41A5-BAE1-BFAB0904B329}">
  <sheetPr codeName="Sheet15"/>
  <dimension ref="A3:C9"/>
  <sheetViews>
    <sheetView workbookViewId="0">
      <selection activeCell="G22" sqref="G22"/>
    </sheetView>
  </sheetViews>
  <sheetFormatPr defaultRowHeight="15" x14ac:dyDescent="0.25"/>
  <cols>
    <col min="1" max="1" width="13.140625" bestFit="1" customWidth="1"/>
    <col min="2" max="2" width="12" bestFit="1" customWidth="1"/>
    <col min="3" max="3" width="13.140625" bestFit="1" customWidth="1"/>
  </cols>
  <sheetData>
    <row r="3" spans="1:3" x14ac:dyDescent="0.25">
      <c r="A3" s="2" t="s">
        <v>8</v>
      </c>
      <c r="B3" t="s">
        <v>10</v>
      </c>
      <c r="C3" t="s">
        <v>16</v>
      </c>
    </row>
    <row r="4" spans="1:3" x14ac:dyDescent="0.25">
      <c r="A4" s="3">
        <v>1</v>
      </c>
      <c r="B4">
        <v>114624091</v>
      </c>
      <c r="C4" s="5">
        <v>0.15898675269705845</v>
      </c>
    </row>
    <row r="5" spans="1:3" x14ac:dyDescent="0.25">
      <c r="A5" s="3">
        <v>2</v>
      </c>
      <c r="B5">
        <v>130586317</v>
      </c>
      <c r="C5" s="5">
        <v>0.18112679721489508</v>
      </c>
    </row>
    <row r="6" spans="1:3" x14ac:dyDescent="0.25">
      <c r="A6" s="3">
        <v>3</v>
      </c>
      <c r="B6">
        <v>171046164</v>
      </c>
      <c r="C6" s="5">
        <v>0.23724571282007811</v>
      </c>
    </row>
    <row r="7" spans="1:3" x14ac:dyDescent="0.25">
      <c r="A7" s="3">
        <v>4</v>
      </c>
      <c r="B7">
        <v>152020324</v>
      </c>
      <c r="C7" s="5">
        <v>0.21085635180055384</v>
      </c>
    </row>
    <row r="8" spans="1:3" x14ac:dyDescent="0.25">
      <c r="A8" s="3">
        <v>5</v>
      </c>
      <c r="B8">
        <v>152689405</v>
      </c>
      <c r="C8" s="5">
        <v>0.21178438546741452</v>
      </c>
    </row>
    <row r="9" spans="1:3" x14ac:dyDescent="0.25">
      <c r="A9" s="3" t="s">
        <v>9</v>
      </c>
      <c r="B9">
        <v>720966301</v>
      </c>
      <c r="C9" s="4">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B4B88-67FF-4D74-85A2-2CC5506B552F}">
  <sheetPr codeName="Sheet16"/>
  <dimension ref="A3:C8"/>
  <sheetViews>
    <sheetView workbookViewId="0">
      <selection activeCell="G17" sqref="G17"/>
    </sheetView>
  </sheetViews>
  <sheetFormatPr defaultRowHeight="15" x14ac:dyDescent="0.25"/>
  <cols>
    <col min="1" max="1" width="13.140625" bestFit="1" customWidth="1"/>
    <col min="2" max="2" width="12" bestFit="1" customWidth="1"/>
    <col min="3" max="3" width="13.140625" bestFit="1" customWidth="1"/>
  </cols>
  <sheetData>
    <row r="3" spans="1:3" x14ac:dyDescent="0.25">
      <c r="A3" s="2" t="s">
        <v>8</v>
      </c>
      <c r="B3" t="s">
        <v>10</v>
      </c>
      <c r="C3" t="s">
        <v>16</v>
      </c>
    </row>
    <row r="4" spans="1:3" x14ac:dyDescent="0.25">
      <c r="A4" s="3">
        <v>1</v>
      </c>
      <c r="B4">
        <v>152821904</v>
      </c>
      <c r="C4" s="5">
        <v>0.21196816520832087</v>
      </c>
    </row>
    <row r="5" spans="1:3" x14ac:dyDescent="0.25">
      <c r="A5" s="3">
        <v>2</v>
      </c>
      <c r="B5">
        <v>167023603</v>
      </c>
      <c r="C5" s="5">
        <v>0.23166631057281553</v>
      </c>
    </row>
    <row r="6" spans="1:3" x14ac:dyDescent="0.25">
      <c r="A6" s="3">
        <v>3</v>
      </c>
      <c r="B6">
        <v>195558413</v>
      </c>
      <c r="C6" s="5">
        <v>0.27124487334394842</v>
      </c>
    </row>
    <row r="7" spans="1:3" x14ac:dyDescent="0.25">
      <c r="A7" s="3">
        <v>4</v>
      </c>
      <c r="B7">
        <v>205562381</v>
      </c>
      <c r="C7" s="5">
        <v>0.28512065087491517</v>
      </c>
    </row>
    <row r="8" spans="1:3" x14ac:dyDescent="0.25">
      <c r="A8" s="3" t="s">
        <v>9</v>
      </c>
      <c r="B8">
        <v>720966301</v>
      </c>
      <c r="C8" s="4">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CC137-A0C4-4B14-8F82-2F1AA831EBBB}">
  <sheetPr codeName="Sheet17"/>
  <dimension ref="A3:C12"/>
  <sheetViews>
    <sheetView workbookViewId="0">
      <selection activeCell="F17" sqref="F17"/>
    </sheetView>
  </sheetViews>
  <sheetFormatPr defaultRowHeight="15" x14ac:dyDescent="0.25"/>
  <cols>
    <col min="1" max="1" width="13.140625" bestFit="1" customWidth="1"/>
    <col min="2" max="2" width="12" bestFit="1" customWidth="1"/>
    <col min="3" max="3" width="13.140625" bestFit="1" customWidth="1"/>
  </cols>
  <sheetData>
    <row r="3" spans="1:3" x14ac:dyDescent="0.25">
      <c r="A3" s="2" t="s">
        <v>8</v>
      </c>
      <c r="B3" t="s">
        <v>10</v>
      </c>
      <c r="C3" t="s">
        <v>16</v>
      </c>
    </row>
    <row r="4" spans="1:3" x14ac:dyDescent="0.25">
      <c r="A4" s="3" t="s">
        <v>17</v>
      </c>
      <c r="B4">
        <v>83531680</v>
      </c>
      <c r="C4" s="5">
        <v>0.11586072731019366</v>
      </c>
    </row>
    <row r="5" spans="1:3" x14ac:dyDescent="0.25">
      <c r="A5" s="3" t="s">
        <v>18</v>
      </c>
      <c r="B5">
        <v>80522571</v>
      </c>
      <c r="C5" s="5">
        <v>0.11168701073588737</v>
      </c>
    </row>
    <row r="6" spans="1:3" x14ac:dyDescent="0.25">
      <c r="A6" s="3" t="s">
        <v>19</v>
      </c>
      <c r="B6">
        <v>90658659</v>
      </c>
      <c r="C6" s="5">
        <v>0.12574604232438319</v>
      </c>
    </row>
    <row r="7" spans="1:3" x14ac:dyDescent="0.25">
      <c r="A7" s="3" t="s">
        <v>20</v>
      </c>
      <c r="B7">
        <v>90685433</v>
      </c>
      <c r="C7" s="5">
        <v>0.12578317859547225</v>
      </c>
    </row>
    <row r="8" spans="1:3" x14ac:dyDescent="0.25">
      <c r="A8" s="3" t="s">
        <v>21</v>
      </c>
      <c r="B8">
        <v>109124914</v>
      </c>
      <c r="C8" s="5">
        <v>0.1513592436271165</v>
      </c>
    </row>
    <row r="9" spans="1:3" x14ac:dyDescent="0.25">
      <c r="A9" s="3" t="s">
        <v>22</v>
      </c>
      <c r="B9">
        <v>91748881</v>
      </c>
      <c r="C9" s="5">
        <v>0.12725821008935062</v>
      </c>
    </row>
    <row r="10" spans="1:3" x14ac:dyDescent="0.25">
      <c r="A10" s="3" t="s">
        <v>23</v>
      </c>
      <c r="B10">
        <v>85917021</v>
      </c>
      <c r="C10" s="5">
        <v>0.11916926058933787</v>
      </c>
    </row>
    <row r="11" spans="1:3" x14ac:dyDescent="0.25">
      <c r="A11" s="3" t="s">
        <v>24</v>
      </c>
      <c r="B11">
        <v>88777142</v>
      </c>
      <c r="C11" s="5">
        <v>0.12313632672825855</v>
      </c>
    </row>
    <row r="12" spans="1:3" x14ac:dyDescent="0.25">
      <c r="A12" s="3" t="s">
        <v>9</v>
      </c>
      <c r="B12">
        <v>720966301</v>
      </c>
      <c r="C12" s="4">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39DAC-0585-4AF8-B6CB-2952E3BEB93F}">
  <sheetPr codeName="Sheet18"/>
  <dimension ref="A3:C11"/>
  <sheetViews>
    <sheetView workbookViewId="0">
      <selection activeCell="C4" sqref="C4:C10"/>
    </sheetView>
  </sheetViews>
  <sheetFormatPr defaultRowHeight="15" x14ac:dyDescent="0.25"/>
  <cols>
    <col min="1" max="1" width="13.140625" bestFit="1" customWidth="1"/>
    <col min="2" max="2" width="12" bestFit="1" customWidth="1"/>
    <col min="3" max="3" width="13.140625" bestFit="1" customWidth="1"/>
  </cols>
  <sheetData>
    <row r="3" spans="1:3" x14ac:dyDescent="0.25">
      <c r="A3" s="2" t="s">
        <v>8</v>
      </c>
      <c r="B3" t="s">
        <v>10</v>
      </c>
      <c r="C3" t="s">
        <v>16</v>
      </c>
    </row>
    <row r="4" spans="1:3" x14ac:dyDescent="0.25">
      <c r="A4" s="3" t="s">
        <v>25</v>
      </c>
      <c r="B4">
        <v>95607237</v>
      </c>
      <c r="C4" s="5">
        <v>0.13260985550557652</v>
      </c>
    </row>
    <row r="5" spans="1:3" x14ac:dyDescent="0.25">
      <c r="A5" s="3" t="s">
        <v>26</v>
      </c>
      <c r="B5">
        <v>98160397</v>
      </c>
      <c r="C5" s="5">
        <v>0.13615115833271102</v>
      </c>
    </row>
    <row r="6" spans="1:3" x14ac:dyDescent="0.25">
      <c r="A6" s="3" t="s">
        <v>27</v>
      </c>
      <c r="B6">
        <v>99707552</v>
      </c>
      <c r="C6" s="5">
        <v>0.13829710467979278</v>
      </c>
    </row>
    <row r="7" spans="1:3" x14ac:dyDescent="0.25">
      <c r="A7" s="3" t="s">
        <v>28</v>
      </c>
      <c r="B7">
        <v>134430809</v>
      </c>
      <c r="C7" s="5">
        <v>0.18645921288351588</v>
      </c>
    </row>
    <row r="8" spans="1:3" x14ac:dyDescent="0.25">
      <c r="A8" s="3" t="s">
        <v>29</v>
      </c>
      <c r="B8">
        <v>99881701</v>
      </c>
      <c r="C8" s="5">
        <v>0.13853865411110247</v>
      </c>
    </row>
    <row r="9" spans="1:3" x14ac:dyDescent="0.25">
      <c r="A9" s="3" t="s">
        <v>30</v>
      </c>
      <c r="B9">
        <v>106746833</v>
      </c>
      <c r="C9" s="5">
        <v>0.14806078016675567</v>
      </c>
    </row>
    <row r="10" spans="1:3" x14ac:dyDescent="0.25">
      <c r="A10" s="3" t="s">
        <v>31</v>
      </c>
      <c r="B10">
        <v>86431772</v>
      </c>
      <c r="C10" s="5">
        <v>0.11988323432054558</v>
      </c>
    </row>
    <row r="11" spans="1:3" x14ac:dyDescent="0.25">
      <c r="A11" s="3" t="s">
        <v>9</v>
      </c>
      <c r="B11">
        <v>720966301</v>
      </c>
      <c r="C11" s="4">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EA919-1CD0-4E6A-BE83-7AC8253BBEC9}">
  <sheetPr codeName="Sheet19"/>
  <dimension ref="A3:C7"/>
  <sheetViews>
    <sheetView workbookViewId="0">
      <selection activeCell="C4" sqref="C4:C6"/>
    </sheetView>
  </sheetViews>
  <sheetFormatPr defaultRowHeight="15" x14ac:dyDescent="0.25"/>
  <cols>
    <col min="1" max="1" width="13.140625" bestFit="1" customWidth="1"/>
    <col min="2" max="2" width="12" bestFit="1" customWidth="1"/>
    <col min="3" max="3" width="13.140625" bestFit="1" customWidth="1"/>
  </cols>
  <sheetData>
    <row r="3" spans="1:3" x14ac:dyDescent="0.25">
      <c r="A3" s="2" t="s">
        <v>8</v>
      </c>
      <c r="B3" t="s">
        <v>10</v>
      </c>
      <c r="C3" t="s">
        <v>16</v>
      </c>
    </row>
    <row r="4" spans="1:3" x14ac:dyDescent="0.25">
      <c r="A4" s="3">
        <v>0</v>
      </c>
      <c r="B4">
        <v>217247730</v>
      </c>
      <c r="C4" s="5">
        <v>0.30132854989015639</v>
      </c>
    </row>
    <row r="5" spans="1:3" x14ac:dyDescent="0.25">
      <c r="A5" s="3">
        <v>1</v>
      </c>
      <c r="B5">
        <v>266056794</v>
      </c>
      <c r="C5" s="5">
        <v>0.36902805808117789</v>
      </c>
    </row>
    <row r="6" spans="1:3" x14ac:dyDescent="0.25">
      <c r="A6" s="3">
        <v>2</v>
      </c>
      <c r="B6">
        <v>237661777</v>
      </c>
      <c r="C6" s="5">
        <v>0.32964339202866572</v>
      </c>
    </row>
    <row r="7" spans="1:3" x14ac:dyDescent="0.25">
      <c r="A7" s="3" t="s">
        <v>9</v>
      </c>
      <c r="B7">
        <v>720966301</v>
      </c>
      <c r="C7" s="4">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569DB-747A-4546-8956-8C855DCDBDFE}">
  <sheetPr codeName="Sheet20"/>
  <dimension ref="A3:C14"/>
  <sheetViews>
    <sheetView workbookViewId="0">
      <selection activeCell="E18" sqref="E18"/>
    </sheetView>
  </sheetViews>
  <sheetFormatPr defaultRowHeight="15" x14ac:dyDescent="0.25"/>
  <cols>
    <col min="1" max="1" width="13.140625" bestFit="1" customWidth="1"/>
    <col min="2" max="2" width="12" bestFit="1" customWidth="1"/>
    <col min="3" max="3" width="13.140625" bestFit="1" customWidth="1"/>
  </cols>
  <sheetData>
    <row r="3" spans="1:3" x14ac:dyDescent="0.25">
      <c r="A3" s="2" t="s">
        <v>8</v>
      </c>
      <c r="B3" t="s">
        <v>10</v>
      </c>
      <c r="C3" t="s">
        <v>16</v>
      </c>
    </row>
    <row r="4" spans="1:3" x14ac:dyDescent="0.25">
      <c r="A4" s="3">
        <v>1</v>
      </c>
      <c r="B4">
        <v>33818389</v>
      </c>
      <c r="C4" s="5">
        <v>4.6907031511865351E-2</v>
      </c>
    </row>
    <row r="5" spans="1:3" x14ac:dyDescent="0.25">
      <c r="A5" s="3">
        <v>2</v>
      </c>
      <c r="B5">
        <v>64735751</v>
      </c>
      <c r="C5" s="5">
        <v>8.9790259142777884E-2</v>
      </c>
    </row>
    <row r="6" spans="1:3" x14ac:dyDescent="0.25">
      <c r="A6" s="3">
        <v>3</v>
      </c>
      <c r="B6">
        <v>62458271</v>
      </c>
      <c r="C6" s="5">
        <v>8.6631332023936025E-2</v>
      </c>
    </row>
    <row r="7" spans="1:3" x14ac:dyDescent="0.25">
      <c r="A7" s="3">
        <v>4</v>
      </c>
      <c r="B7">
        <v>83980637</v>
      </c>
      <c r="C7" s="5">
        <v>0.11648344296192008</v>
      </c>
    </row>
    <row r="8" spans="1:3" x14ac:dyDescent="0.25">
      <c r="A8" s="3">
        <v>5</v>
      </c>
      <c r="B8">
        <v>107099676</v>
      </c>
      <c r="C8" s="5">
        <v>0.14855018306882004</v>
      </c>
    </row>
    <row r="9" spans="1:3" x14ac:dyDescent="0.25">
      <c r="A9" s="3">
        <v>6</v>
      </c>
      <c r="B9">
        <v>78658406</v>
      </c>
      <c r="C9" s="5">
        <v>0.10910136283887144</v>
      </c>
    </row>
    <row r="10" spans="1:3" x14ac:dyDescent="0.25">
      <c r="A10" s="3">
        <v>7</v>
      </c>
      <c r="B10">
        <v>72422402</v>
      </c>
      <c r="C10" s="5">
        <v>0.10045185454514052</v>
      </c>
    </row>
    <row r="11" spans="1:3" x14ac:dyDescent="0.25">
      <c r="A11" s="3">
        <v>8</v>
      </c>
      <c r="B11">
        <v>79101065</v>
      </c>
      <c r="C11" s="5">
        <v>0.10971534299215463</v>
      </c>
    </row>
    <row r="12" spans="1:3" x14ac:dyDescent="0.25">
      <c r="A12" s="3">
        <v>9</v>
      </c>
      <c r="B12">
        <v>88029387</v>
      </c>
      <c r="C12" s="5">
        <v>0.12209917006925404</v>
      </c>
    </row>
    <row r="13" spans="1:3" x14ac:dyDescent="0.25">
      <c r="A13" s="3">
        <v>10</v>
      </c>
      <c r="B13">
        <v>50662317</v>
      </c>
      <c r="C13" s="5">
        <v>7.0270020845260003E-2</v>
      </c>
    </row>
    <row r="14" spans="1:3" x14ac:dyDescent="0.25">
      <c r="A14" s="3" t="s">
        <v>9</v>
      </c>
      <c r="B14">
        <v>720966301</v>
      </c>
      <c r="C14" s="4">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467C4-7586-4B37-A101-E15A4E51524A}">
  <sheetPr codeName="Sheet21"/>
  <dimension ref="A2:O19"/>
  <sheetViews>
    <sheetView workbookViewId="0">
      <selection activeCell="H21" sqref="H21"/>
    </sheetView>
  </sheetViews>
  <sheetFormatPr defaultRowHeight="15" x14ac:dyDescent="0.25"/>
  <cols>
    <col min="1" max="1" width="12" customWidth="1"/>
    <col min="2" max="2" width="10.7109375" customWidth="1"/>
    <col min="3" max="3" width="12.42578125" customWidth="1"/>
    <col min="4" max="4" width="15.140625" customWidth="1"/>
    <col min="6" max="6" width="16.28515625" customWidth="1"/>
    <col min="8" max="8" width="18.85546875" customWidth="1"/>
  </cols>
  <sheetData>
    <row r="2" spans="1:15" x14ac:dyDescent="0.25">
      <c r="A2" s="6" t="s">
        <v>32</v>
      </c>
      <c r="B2" s="6" t="s">
        <v>33</v>
      </c>
      <c r="C2" s="6" t="s">
        <v>34</v>
      </c>
      <c r="D2" s="6" t="s">
        <v>35</v>
      </c>
      <c r="F2" s="6" t="s">
        <v>41</v>
      </c>
    </row>
    <row r="4" spans="1:15" x14ac:dyDescent="0.25">
      <c r="A4" t="s">
        <v>36</v>
      </c>
      <c r="B4" s="5">
        <v>0.26</v>
      </c>
      <c r="C4" s="5">
        <v>0.13</v>
      </c>
      <c r="D4" s="5">
        <v>0.13</v>
      </c>
      <c r="F4">
        <f>CORREL(Table1[area_sqft],Table1[price])</f>
        <v>0.71765825428718477</v>
      </c>
      <c r="H4" t="s">
        <v>42</v>
      </c>
      <c r="K4" s="7"/>
      <c r="N4" s="12"/>
    </row>
    <row r="6" spans="1:15" x14ac:dyDescent="0.25">
      <c r="A6" t="s">
        <v>37</v>
      </c>
      <c r="B6" s="5">
        <v>0.24</v>
      </c>
      <c r="C6" s="5">
        <v>0.16</v>
      </c>
      <c r="D6" s="5">
        <v>0.08</v>
      </c>
      <c r="F6">
        <f>CORREL(Table1[bedrooms],Table1[price])</f>
        <v>0.32950663334314922</v>
      </c>
      <c r="H6" t="s">
        <v>43</v>
      </c>
      <c r="O6" s="14"/>
    </row>
    <row r="7" spans="1:15" x14ac:dyDescent="0.25">
      <c r="K7" s="7"/>
      <c r="N7" s="13"/>
    </row>
    <row r="8" spans="1:15" x14ac:dyDescent="0.25">
      <c r="A8" t="s">
        <v>38</v>
      </c>
      <c r="B8" s="5">
        <v>0.28999999999999998</v>
      </c>
      <c r="C8" s="5">
        <v>0.21</v>
      </c>
      <c r="D8" s="5">
        <v>0.08</v>
      </c>
      <c r="F8">
        <f>CORREL(Table1[bathrooms],Table1[price])</f>
        <v>0.20024556456924136</v>
      </c>
      <c r="H8" t="s">
        <v>43</v>
      </c>
      <c r="N8" s="14"/>
    </row>
    <row r="10" spans="1:15" x14ac:dyDescent="0.25">
      <c r="A10" t="s">
        <v>3</v>
      </c>
      <c r="B10" s="5">
        <v>0.15</v>
      </c>
      <c r="C10" s="5">
        <v>0.11</v>
      </c>
      <c r="D10" s="5">
        <v>0.04</v>
      </c>
      <c r="F10">
        <f>CORREL(Table1[age],Table1[price])</f>
        <v>-0.11202716391148014</v>
      </c>
      <c r="H10" t="s">
        <v>44</v>
      </c>
      <c r="K10" s="8"/>
    </row>
    <row r="11" spans="1:15" x14ac:dyDescent="0.25">
      <c r="N11" s="14"/>
    </row>
    <row r="12" spans="1:15" x14ac:dyDescent="0.25">
      <c r="A12" t="s">
        <v>39</v>
      </c>
      <c r="B12" s="5">
        <v>0.19</v>
      </c>
      <c r="C12" s="5">
        <v>0.12</v>
      </c>
      <c r="D12" s="5">
        <v>7.0000000000000007E-2</v>
      </c>
      <c r="F12">
        <f>CORREL(Table1[distance_city_km],Table1[price])</f>
        <v>-3.9659217440977362E-2</v>
      </c>
      <c r="H12" t="s">
        <v>44</v>
      </c>
    </row>
    <row r="13" spans="1:15" x14ac:dyDescent="0.25">
      <c r="K13" s="9"/>
    </row>
    <row r="14" spans="1:15" x14ac:dyDescent="0.25">
      <c r="A14" t="s">
        <v>5</v>
      </c>
      <c r="B14" s="5">
        <v>0.37</v>
      </c>
      <c r="C14" s="5">
        <v>0.3</v>
      </c>
      <c r="D14" s="5">
        <v>7.0000000000000007E-2</v>
      </c>
      <c r="F14">
        <f>CORREL(Table1[parking],Table1[price])</f>
        <v>4.0793326555839421E-2</v>
      </c>
      <c r="H14" t="s">
        <v>45</v>
      </c>
      <c r="N14" s="14"/>
    </row>
    <row r="15" spans="1:15" x14ac:dyDescent="0.25">
      <c r="K15" s="13"/>
    </row>
    <row r="16" spans="1:15" x14ac:dyDescent="0.25">
      <c r="A16" t="s">
        <v>40</v>
      </c>
      <c r="B16" s="5">
        <v>0.15</v>
      </c>
      <c r="C16" s="5">
        <v>0.05</v>
      </c>
      <c r="D16" s="5">
        <v>0.1</v>
      </c>
      <c r="F16">
        <f>CORREL(Table1[location_score],Table1[price])</f>
        <v>0.45934424158757864</v>
      </c>
      <c r="H16" t="s">
        <v>46</v>
      </c>
      <c r="N16" s="8"/>
    </row>
    <row r="17" spans="3:13" x14ac:dyDescent="0.25">
      <c r="K17" s="14"/>
    </row>
    <row r="18" spans="3:13" x14ac:dyDescent="0.25">
      <c r="M18" s="8"/>
    </row>
    <row r="19" spans="3:13" x14ac:dyDescent="0.25">
      <c r="C19" s="14"/>
      <c r="F19" s="9"/>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4458-0477-4012-AE44-704C122877B2}">
  <sheetPr codeName="Sheet22"/>
  <dimension ref="A1:U34"/>
  <sheetViews>
    <sheetView showRowColHeaders="0" workbookViewId="0">
      <selection activeCell="J18" sqref="J18"/>
    </sheetView>
  </sheetViews>
  <sheetFormatPr defaultRowHeight="15" x14ac:dyDescent="0.25"/>
  <sheetData>
    <row r="1" spans="5:21" x14ac:dyDescent="0.25">
      <c r="E1" s="9"/>
      <c r="F1" s="9"/>
      <c r="G1" s="9"/>
      <c r="H1" s="9"/>
      <c r="I1" s="9"/>
      <c r="J1" s="9"/>
      <c r="K1" s="9"/>
      <c r="L1" s="9"/>
      <c r="M1" s="9"/>
      <c r="N1" s="9"/>
      <c r="O1" s="9"/>
      <c r="P1" s="9"/>
      <c r="Q1" s="9"/>
      <c r="R1" s="9"/>
      <c r="S1" s="9"/>
      <c r="T1" s="9"/>
      <c r="U1" s="9"/>
    </row>
    <row r="2" spans="5:21" x14ac:dyDescent="0.25">
      <c r="E2" s="9"/>
      <c r="F2" s="9"/>
      <c r="G2" s="9"/>
      <c r="H2" s="9"/>
      <c r="I2" s="9"/>
      <c r="J2" s="9"/>
      <c r="K2" s="9"/>
      <c r="L2" s="9"/>
      <c r="M2" s="9"/>
      <c r="N2" s="9"/>
      <c r="O2" s="9"/>
      <c r="P2" s="9"/>
      <c r="Q2" s="9"/>
      <c r="R2" s="9"/>
      <c r="S2" s="9"/>
      <c r="T2" s="9"/>
      <c r="U2" s="9"/>
    </row>
    <row r="3" spans="5:21" x14ac:dyDescent="0.25">
      <c r="E3" s="9"/>
      <c r="F3" s="9"/>
      <c r="G3" s="9"/>
      <c r="H3" s="9"/>
      <c r="I3" s="9"/>
      <c r="J3" s="9"/>
      <c r="K3" s="9"/>
      <c r="L3" s="9"/>
      <c r="M3" s="9"/>
      <c r="N3" s="9"/>
      <c r="O3" s="9"/>
      <c r="P3" s="9"/>
      <c r="Q3" s="9"/>
      <c r="R3" s="9"/>
      <c r="S3" s="9"/>
      <c r="T3" s="9"/>
      <c r="U3" s="9"/>
    </row>
    <row r="4" spans="5:21" x14ac:dyDescent="0.25">
      <c r="E4" s="9"/>
      <c r="F4" s="9"/>
      <c r="G4" s="9"/>
      <c r="H4" s="9"/>
      <c r="I4" s="9"/>
      <c r="J4" s="9"/>
      <c r="K4" s="9"/>
      <c r="L4" s="9"/>
      <c r="M4" s="9"/>
      <c r="N4" s="9"/>
      <c r="O4" s="9"/>
      <c r="P4" s="9"/>
      <c r="Q4" s="9"/>
      <c r="R4" s="9"/>
      <c r="S4" s="9"/>
      <c r="T4" s="9"/>
      <c r="U4" s="9"/>
    </row>
    <row r="5" spans="5:21" x14ac:dyDescent="0.25">
      <c r="E5" s="9"/>
      <c r="F5" s="9"/>
      <c r="G5" s="9"/>
      <c r="H5" s="9"/>
      <c r="I5" s="9"/>
      <c r="J5" s="9"/>
      <c r="K5" s="9"/>
      <c r="L5" s="9"/>
      <c r="M5" s="9"/>
      <c r="N5" s="9"/>
      <c r="O5" s="9"/>
      <c r="P5" s="9"/>
      <c r="Q5" s="9"/>
      <c r="R5" s="9"/>
      <c r="S5" s="9"/>
      <c r="T5" s="9"/>
      <c r="U5" s="9"/>
    </row>
    <row r="6" spans="5:21" x14ac:dyDescent="0.25">
      <c r="E6" s="9"/>
      <c r="F6" s="9"/>
      <c r="G6" s="9"/>
      <c r="H6" s="9"/>
      <c r="I6" s="9"/>
      <c r="J6" s="9"/>
      <c r="K6" s="9"/>
      <c r="L6" s="9"/>
      <c r="M6" s="9"/>
      <c r="N6" s="9"/>
      <c r="O6" s="9"/>
      <c r="P6" s="9"/>
      <c r="Q6" s="9"/>
      <c r="R6" s="9"/>
      <c r="S6" s="9"/>
      <c r="T6" s="9"/>
      <c r="U6" s="9"/>
    </row>
    <row r="7" spans="5:21" x14ac:dyDescent="0.25">
      <c r="E7" s="9"/>
      <c r="F7" s="9"/>
      <c r="G7" s="9"/>
      <c r="H7" s="9"/>
      <c r="I7" s="9"/>
      <c r="J7" s="9"/>
      <c r="K7" s="9"/>
      <c r="L7" s="9"/>
      <c r="M7" s="9"/>
      <c r="N7" s="9"/>
      <c r="O7" s="9"/>
      <c r="P7" s="9"/>
      <c r="Q7" s="9"/>
      <c r="R7" s="9"/>
      <c r="S7" s="9"/>
      <c r="T7" s="9"/>
      <c r="U7" s="9"/>
    </row>
    <row r="8" spans="5:21" x14ac:dyDescent="0.25">
      <c r="E8" s="9"/>
      <c r="F8" s="9"/>
      <c r="G8" s="9"/>
      <c r="H8" s="9"/>
      <c r="I8" s="9"/>
      <c r="J8" s="9"/>
      <c r="K8" s="9"/>
      <c r="L8" s="9"/>
      <c r="M8" s="9"/>
      <c r="N8" s="9"/>
      <c r="O8" s="9"/>
      <c r="P8" s="9"/>
      <c r="Q8" s="9"/>
      <c r="R8" s="9"/>
      <c r="S8" s="9"/>
      <c r="T8" s="9"/>
      <c r="U8" s="9"/>
    </row>
    <row r="9" spans="5:21" x14ac:dyDescent="0.25">
      <c r="E9" s="9"/>
      <c r="F9" s="9"/>
      <c r="G9" s="9"/>
      <c r="H9" s="9"/>
      <c r="I9" s="9"/>
      <c r="J9" s="9"/>
      <c r="K9" s="9"/>
      <c r="L9" s="9"/>
      <c r="M9" s="9"/>
      <c r="N9" s="9"/>
      <c r="O9" s="9"/>
      <c r="P9" s="9"/>
      <c r="Q9" s="9"/>
      <c r="R9" s="9"/>
      <c r="S9" s="9"/>
      <c r="T9" s="9"/>
      <c r="U9" s="9"/>
    </row>
    <row r="10" spans="5:21" x14ac:dyDescent="0.25">
      <c r="E10" s="9"/>
      <c r="F10" s="9"/>
      <c r="G10" s="9"/>
      <c r="H10" s="9"/>
      <c r="I10" s="9"/>
      <c r="J10" s="9"/>
      <c r="K10" s="9"/>
      <c r="L10" s="9"/>
      <c r="M10" s="9"/>
      <c r="N10" s="9"/>
      <c r="O10" s="9"/>
      <c r="P10" s="9"/>
      <c r="Q10" s="9"/>
      <c r="R10" s="9"/>
      <c r="S10" s="9"/>
      <c r="T10" s="9"/>
      <c r="U10" s="9"/>
    </row>
    <row r="11" spans="5:21" x14ac:dyDescent="0.25">
      <c r="E11" s="9"/>
      <c r="F11" s="9"/>
      <c r="G11" s="9"/>
      <c r="H11" s="9"/>
      <c r="I11" s="9"/>
      <c r="J11" s="9"/>
      <c r="K11" s="9"/>
      <c r="L11" s="9"/>
      <c r="M11" s="9"/>
      <c r="N11" s="9"/>
      <c r="O11" s="9"/>
      <c r="P11" s="9"/>
      <c r="Q11" s="9"/>
      <c r="R11" s="9"/>
      <c r="S11" s="9"/>
      <c r="T11" s="9"/>
      <c r="U11" s="9"/>
    </row>
    <row r="12" spans="5:21" x14ac:dyDescent="0.25">
      <c r="E12" s="9"/>
      <c r="F12" s="9"/>
      <c r="G12" s="9"/>
      <c r="H12" s="9"/>
      <c r="I12" s="9"/>
      <c r="J12" s="9"/>
      <c r="K12" s="9"/>
      <c r="L12" s="9"/>
      <c r="M12" s="9"/>
      <c r="N12" s="9"/>
      <c r="O12" s="9"/>
      <c r="P12" s="9"/>
      <c r="Q12" s="9"/>
      <c r="R12" s="9"/>
      <c r="S12" s="9"/>
      <c r="T12" s="9"/>
      <c r="U12" s="9"/>
    </row>
    <row r="13" spans="5:21" x14ac:dyDescent="0.25">
      <c r="E13" s="9"/>
      <c r="F13" s="9"/>
      <c r="G13" s="9"/>
      <c r="H13" s="9"/>
      <c r="I13" s="9"/>
      <c r="J13" s="9"/>
      <c r="K13" s="9"/>
      <c r="L13" s="9"/>
      <c r="M13" s="9"/>
      <c r="N13" s="9"/>
      <c r="O13" s="9"/>
      <c r="P13" s="9"/>
      <c r="Q13" s="9"/>
      <c r="R13" s="9"/>
      <c r="S13" s="9"/>
      <c r="T13" s="9"/>
      <c r="U13" s="9"/>
    </row>
    <row r="14" spans="5:21" x14ac:dyDescent="0.25">
      <c r="E14" s="9"/>
      <c r="F14" s="9"/>
      <c r="G14" s="9"/>
      <c r="H14" s="9"/>
      <c r="I14" s="9"/>
      <c r="J14" s="9"/>
      <c r="K14" s="9"/>
      <c r="L14" s="9"/>
      <c r="M14" s="9"/>
      <c r="N14" s="9"/>
      <c r="O14" s="9"/>
      <c r="P14" s="9"/>
      <c r="Q14" s="9"/>
      <c r="R14" s="9"/>
      <c r="S14" s="9"/>
      <c r="T14" s="9"/>
      <c r="U14" s="9"/>
    </row>
    <row r="15" spans="5:21" x14ac:dyDescent="0.25">
      <c r="E15" s="9"/>
      <c r="F15" s="9"/>
      <c r="G15" s="9"/>
      <c r="H15" s="9"/>
      <c r="I15" s="9"/>
      <c r="J15" s="9"/>
      <c r="K15" s="9"/>
      <c r="L15" s="9"/>
      <c r="M15" s="9"/>
      <c r="N15" s="9"/>
      <c r="O15" s="9"/>
      <c r="P15" s="9"/>
      <c r="Q15" s="9"/>
      <c r="R15" s="9"/>
      <c r="S15" s="9"/>
      <c r="T15" s="9"/>
      <c r="U15" s="9"/>
    </row>
    <row r="16" spans="5:21" x14ac:dyDescent="0.25">
      <c r="E16" s="9"/>
      <c r="F16" s="9"/>
      <c r="G16" s="9"/>
      <c r="H16" s="9"/>
      <c r="I16" s="9"/>
      <c r="J16" s="9"/>
      <c r="K16" s="9"/>
      <c r="L16" s="9"/>
      <c r="M16" s="9"/>
      <c r="N16" s="9"/>
      <c r="O16" s="9"/>
      <c r="P16" s="9"/>
      <c r="Q16" s="9"/>
      <c r="R16" s="9"/>
      <c r="S16" s="9"/>
      <c r="T16" s="9"/>
      <c r="U16" s="9"/>
    </row>
    <row r="17" spans="1:21" x14ac:dyDescent="0.25">
      <c r="E17" s="9"/>
      <c r="F17" s="9"/>
      <c r="G17" s="9"/>
      <c r="H17" s="9"/>
      <c r="I17" s="9"/>
      <c r="J17" s="9"/>
      <c r="K17" s="9"/>
      <c r="L17" s="9"/>
      <c r="M17" s="9"/>
      <c r="N17" s="9"/>
      <c r="O17" s="9"/>
      <c r="P17" s="9"/>
      <c r="Q17" s="9"/>
      <c r="R17" s="9"/>
      <c r="S17" s="9"/>
      <c r="T17" s="9"/>
      <c r="U17" s="9"/>
    </row>
    <row r="18" spans="1:21" x14ac:dyDescent="0.25">
      <c r="E18" s="9"/>
      <c r="F18" s="9"/>
      <c r="G18" s="9"/>
      <c r="H18" s="9"/>
      <c r="I18" s="9"/>
      <c r="J18" s="9"/>
      <c r="K18" s="9"/>
      <c r="L18" s="9"/>
      <c r="M18" s="9"/>
      <c r="N18" s="9"/>
      <c r="O18" s="9"/>
      <c r="P18" s="9"/>
      <c r="Q18" s="9"/>
      <c r="R18" s="9"/>
      <c r="S18" s="9"/>
      <c r="T18" s="9"/>
      <c r="U18" s="9"/>
    </row>
    <row r="19" spans="1:21" x14ac:dyDescent="0.25">
      <c r="E19" s="9"/>
      <c r="F19" s="9"/>
      <c r="G19" s="9"/>
      <c r="H19" s="9"/>
      <c r="I19" s="9"/>
      <c r="J19" s="9"/>
      <c r="K19" s="9"/>
      <c r="L19" s="9"/>
      <c r="M19" s="9"/>
      <c r="N19" s="9"/>
      <c r="O19" s="9"/>
      <c r="P19" s="9"/>
      <c r="Q19" s="9"/>
      <c r="R19" s="9"/>
      <c r="S19" s="9"/>
      <c r="T19" s="9"/>
      <c r="U19" s="9"/>
    </row>
    <row r="20" spans="1:21" x14ac:dyDescent="0.25">
      <c r="E20" s="9"/>
      <c r="F20" s="9"/>
      <c r="G20" s="9"/>
      <c r="H20" s="9"/>
      <c r="I20" s="9"/>
      <c r="J20" s="9"/>
      <c r="K20" s="9"/>
      <c r="L20" s="9"/>
      <c r="M20" s="9"/>
      <c r="N20" s="9"/>
      <c r="O20" s="9"/>
      <c r="P20" s="9"/>
      <c r="Q20" s="9"/>
      <c r="R20" s="9"/>
      <c r="S20" s="9"/>
      <c r="T20" s="9"/>
      <c r="U20" s="9"/>
    </row>
    <row r="21" spans="1:21" x14ac:dyDescent="0.25">
      <c r="E21" s="9"/>
      <c r="F21" s="9"/>
      <c r="G21" s="9"/>
      <c r="H21" s="9"/>
      <c r="I21" s="9"/>
      <c r="J21" s="9"/>
      <c r="K21" s="9"/>
      <c r="L21" s="9"/>
      <c r="M21" s="9"/>
      <c r="N21" s="9"/>
      <c r="O21" s="9"/>
      <c r="P21" s="9"/>
      <c r="Q21" s="9"/>
      <c r="R21" s="9"/>
      <c r="S21" s="9"/>
      <c r="T21" s="9"/>
      <c r="U21" s="9"/>
    </row>
    <row r="22" spans="1:21" x14ac:dyDescent="0.25">
      <c r="E22" s="9"/>
      <c r="F22" s="9"/>
      <c r="G22" s="9"/>
      <c r="H22" s="9"/>
      <c r="I22" s="9"/>
      <c r="J22" s="9"/>
      <c r="K22" s="9"/>
      <c r="L22" s="9"/>
      <c r="M22" s="9"/>
      <c r="N22" s="9"/>
      <c r="O22" s="9"/>
      <c r="P22" s="9"/>
      <c r="Q22" s="9"/>
      <c r="R22" s="9"/>
      <c r="S22" s="9"/>
      <c r="T22" s="9"/>
      <c r="U22" s="9"/>
    </row>
    <row r="23" spans="1:21" x14ac:dyDescent="0.25">
      <c r="E23" s="9"/>
      <c r="F23" s="9"/>
      <c r="G23" s="9"/>
      <c r="H23" s="9"/>
      <c r="I23" s="9"/>
      <c r="J23" s="9"/>
      <c r="K23" s="9"/>
      <c r="L23" s="9"/>
      <c r="M23" s="9"/>
      <c r="N23" s="9"/>
      <c r="O23" s="9"/>
      <c r="P23" s="9"/>
      <c r="Q23" s="9"/>
      <c r="R23" s="9"/>
      <c r="S23" s="9"/>
      <c r="T23" s="9"/>
      <c r="U23" s="9"/>
    </row>
    <row r="24" spans="1:21" x14ac:dyDescent="0.25">
      <c r="E24" s="9"/>
      <c r="F24" s="9"/>
      <c r="G24" s="9"/>
      <c r="H24" s="9"/>
      <c r="I24" s="9"/>
      <c r="J24" s="9"/>
      <c r="K24" s="9"/>
      <c r="L24" s="9"/>
      <c r="M24" s="9"/>
      <c r="N24" s="9"/>
      <c r="O24" s="9"/>
      <c r="P24" s="9"/>
      <c r="Q24" s="9"/>
      <c r="R24" s="9"/>
      <c r="S24" s="9"/>
      <c r="T24" s="9"/>
      <c r="U24" s="9"/>
    </row>
    <row r="25" spans="1:21" x14ac:dyDescent="0.25">
      <c r="E25" s="9"/>
      <c r="F25" s="9"/>
      <c r="G25" s="9"/>
      <c r="H25" s="9"/>
      <c r="I25" s="9"/>
      <c r="J25" s="9"/>
      <c r="K25" s="9"/>
      <c r="L25" s="9"/>
      <c r="M25" s="9"/>
      <c r="N25" s="9"/>
      <c r="O25" s="9"/>
      <c r="P25" s="9"/>
      <c r="Q25" s="9"/>
      <c r="R25" s="9"/>
      <c r="S25" s="9"/>
      <c r="T25" s="9"/>
      <c r="U25" s="9"/>
    </row>
    <row r="26" spans="1:21" x14ac:dyDescent="0.25">
      <c r="E26" s="9"/>
      <c r="F26" s="9"/>
      <c r="G26" s="9"/>
      <c r="H26" s="9"/>
      <c r="I26" s="9"/>
      <c r="J26" s="9"/>
      <c r="K26" s="9"/>
      <c r="L26" s="9"/>
      <c r="M26" s="9"/>
      <c r="N26" s="9"/>
      <c r="O26" s="9"/>
      <c r="P26" s="9"/>
      <c r="Q26" s="9"/>
      <c r="R26" s="9"/>
      <c r="S26" s="9"/>
      <c r="T26" s="9"/>
      <c r="U26" s="9"/>
    </row>
    <row r="27" spans="1:21" x14ac:dyDescent="0.25">
      <c r="E27" s="9"/>
      <c r="F27" s="9"/>
      <c r="G27" s="9"/>
      <c r="H27" s="9"/>
      <c r="I27" s="9"/>
      <c r="J27" s="9"/>
      <c r="K27" s="9"/>
      <c r="L27" s="9"/>
      <c r="M27" s="9"/>
      <c r="N27" s="9"/>
      <c r="O27" s="9"/>
      <c r="P27" s="9"/>
      <c r="Q27" s="9"/>
      <c r="R27" s="9"/>
      <c r="S27" s="9"/>
      <c r="T27" s="9"/>
      <c r="U27" s="9"/>
    </row>
    <row r="28" spans="1:21" x14ac:dyDescent="0.25">
      <c r="E28" s="9"/>
      <c r="F28" s="9"/>
      <c r="G28" s="9"/>
      <c r="H28" s="9"/>
      <c r="I28" s="9"/>
      <c r="J28" s="9"/>
      <c r="K28" s="9"/>
      <c r="L28" s="9"/>
      <c r="M28" s="9"/>
      <c r="N28" s="9"/>
      <c r="O28" s="9"/>
      <c r="P28" s="9"/>
      <c r="Q28" s="9"/>
      <c r="R28" s="9"/>
      <c r="S28" s="9"/>
      <c r="T28" s="9"/>
      <c r="U28" s="9"/>
    </row>
    <row r="29" spans="1:21" x14ac:dyDescent="0.25">
      <c r="E29" s="9"/>
      <c r="F29" s="9"/>
      <c r="G29" s="9"/>
      <c r="H29" s="9"/>
      <c r="I29" s="9"/>
      <c r="J29" s="9"/>
      <c r="K29" s="9"/>
      <c r="L29" s="9"/>
      <c r="M29" s="9"/>
      <c r="N29" s="9"/>
      <c r="O29" s="9"/>
      <c r="P29" s="9"/>
      <c r="Q29" s="9"/>
      <c r="R29" s="9"/>
      <c r="S29" s="9"/>
      <c r="T29" s="9"/>
      <c r="U29" s="9"/>
    </row>
    <row r="30" spans="1:21" x14ac:dyDescent="0.25">
      <c r="E30" s="9"/>
      <c r="F30" s="9"/>
      <c r="G30" s="9"/>
      <c r="H30" s="9"/>
      <c r="I30" s="9"/>
      <c r="J30" s="9"/>
      <c r="K30" s="9"/>
      <c r="L30" s="9"/>
      <c r="M30" s="9"/>
      <c r="N30" s="9"/>
      <c r="O30" s="9"/>
      <c r="P30" s="9"/>
      <c r="Q30" s="9"/>
      <c r="R30" s="9"/>
      <c r="S30" s="9"/>
      <c r="T30" s="9"/>
      <c r="U30" s="9"/>
    </row>
    <row r="31" spans="1:21" x14ac:dyDescent="0.25">
      <c r="A31" s="9"/>
      <c r="B31" s="9"/>
      <c r="C31" s="9"/>
      <c r="D31" s="9"/>
      <c r="E31" s="9"/>
      <c r="F31" s="9"/>
      <c r="G31" s="9"/>
      <c r="H31" s="9"/>
      <c r="I31" s="9"/>
      <c r="J31" s="9"/>
      <c r="K31" s="9"/>
      <c r="L31" s="9"/>
      <c r="M31" s="9"/>
      <c r="N31" s="9"/>
      <c r="O31" s="9"/>
      <c r="P31" s="9"/>
      <c r="Q31" s="9"/>
      <c r="R31" s="9"/>
      <c r="S31" s="9"/>
      <c r="T31" s="9"/>
      <c r="U31" s="9"/>
    </row>
    <row r="32" spans="1:21" x14ac:dyDescent="0.25">
      <c r="A32" s="9"/>
      <c r="B32" s="9"/>
      <c r="C32" s="9"/>
      <c r="D32" s="9"/>
      <c r="E32" s="9"/>
      <c r="F32" s="9"/>
      <c r="G32" s="9"/>
      <c r="H32" s="9"/>
      <c r="I32" s="9"/>
      <c r="J32" s="9"/>
      <c r="K32" s="9"/>
      <c r="L32" s="9"/>
      <c r="M32" s="9"/>
      <c r="N32" s="9"/>
      <c r="O32" s="9"/>
      <c r="P32" s="9"/>
      <c r="Q32" s="9"/>
      <c r="R32" s="9"/>
      <c r="S32" s="9"/>
      <c r="T32" s="9"/>
      <c r="U32" s="9"/>
    </row>
    <row r="33" spans="1:21" x14ac:dyDescent="0.25">
      <c r="A33" s="9"/>
      <c r="B33" s="9"/>
      <c r="C33" s="9"/>
      <c r="D33" s="9"/>
      <c r="E33" s="9"/>
      <c r="F33" s="9"/>
      <c r="G33" s="9"/>
      <c r="H33" s="9"/>
      <c r="I33" s="9"/>
      <c r="J33" s="9"/>
      <c r="K33" s="9"/>
      <c r="L33" s="9"/>
      <c r="M33" s="9"/>
      <c r="N33" s="9"/>
      <c r="O33" s="9"/>
      <c r="P33" s="9"/>
      <c r="Q33" s="9"/>
      <c r="R33" s="9"/>
      <c r="S33" s="9"/>
      <c r="T33" s="9"/>
      <c r="U33" s="9"/>
    </row>
    <row r="34" spans="1:21" x14ac:dyDescent="0.25">
      <c r="A34" s="9"/>
      <c r="B34" s="9"/>
      <c r="C34" s="9"/>
      <c r="D34" s="9"/>
      <c r="E34" s="9"/>
      <c r="F34" s="9"/>
      <c r="G34" s="9"/>
      <c r="H34" s="9"/>
      <c r="I34" s="9"/>
      <c r="J34" s="9"/>
      <c r="K34" s="9"/>
      <c r="L34" s="9"/>
      <c r="M34" s="9"/>
      <c r="N34" s="9"/>
      <c r="O34" s="9"/>
      <c r="P34" s="9"/>
      <c r="Q34" s="9"/>
      <c r="R34" s="9"/>
      <c r="S34" s="9"/>
      <c r="T34" s="9"/>
      <c r="U34"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4C346-952B-4096-899C-523FF06B8E01}">
  <sheetPr codeName="Sheet23"/>
  <dimension ref="B3:B12"/>
  <sheetViews>
    <sheetView workbookViewId="0">
      <selection activeCell="B4" sqref="B4"/>
    </sheetView>
  </sheetViews>
  <sheetFormatPr defaultRowHeight="15" x14ac:dyDescent="0.25"/>
  <cols>
    <col min="2" max="2" width="30.5703125" customWidth="1"/>
  </cols>
  <sheetData>
    <row r="3" spans="2:2" ht="60" x14ac:dyDescent="0.25">
      <c r="B3" s="11" t="str">
        <f>"Largest Area : "&amp;CHAR(10)&amp;MAX(Table2[area_sqft])&amp;" Sq Ft"&amp;CHAR(10)&amp;CHAR(10)&amp;"Price : ₹"&amp;INDEX(Table2[price],MATCH(MAX(Table2[area_sqft]),Table2[area_sqft],0))</f>
        <v>Largest Area : 
4998 Sq Ft
Price : ₹996011</v>
      </c>
    </row>
    <row r="6" spans="2:2" ht="60" x14ac:dyDescent="0.25">
      <c r="B6" s="10" t="str">
        <f>"Smallest Area :" &amp;CHAR(10) &amp;MIN(Table2[area_sqft])&amp;" Sq Ft" &amp;CHAR(10) &amp;CHAR(10) &amp;"Price : ₹" &amp;INDEX(Table2[price],MATCH(MIN(Table2[area_sqft]), Table2[area_sqft], 0))</f>
        <v>Smallest Area :
403 Sq Ft
Price : ₹423214</v>
      </c>
    </row>
    <row r="9" spans="2:2" ht="60" x14ac:dyDescent="0.25">
      <c r="B9" s="10" t="str">
        <f>"Farthest Distance From City :"&amp;CHAR(10)&amp;MAX(Table2[distance_city_km])&amp;"KM"&amp;CHAR(10)&amp;CHAR(10)&amp;"Price : ₹"&amp;INDEX(Table2[price],MATCH(MAX(Table2[distance_city_km]),Table2[distance_city_km],0))</f>
        <v>Farthest Distance From City :
35KM
Price : ₹967857</v>
      </c>
    </row>
    <row r="12" spans="2:2" ht="60" x14ac:dyDescent="0.25">
      <c r="B12" s="10" t="str">
        <f>"Nearest Distance From City :" &amp;CHAR(10) &amp;MIN(Table2[distance_city_km])&amp;"KM" &amp;CHAR(10) &amp;CHAR(10) &amp;"Price : ₹" &amp;INDEX(Table2[price], MATCH(MIN(Table2[distance_city_km]), Table2[distance_city_km],0))</f>
        <v>Nearest Distance From City :
1KM
Price : ₹532406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7150-E92F-4C9E-BC3B-3D5DEB88D7FE}">
  <sheetPr codeName="Sheet24"/>
  <dimension ref="A1:U34"/>
  <sheetViews>
    <sheetView showRowColHeaders="0" workbookViewId="0"/>
  </sheetViews>
  <sheetFormatPr defaultRowHeight="15" x14ac:dyDescent="0.25"/>
  <sheetData>
    <row r="1" spans="1:21" x14ac:dyDescent="0.25">
      <c r="A1" s="9"/>
      <c r="B1" s="9"/>
      <c r="C1" s="9"/>
      <c r="D1" s="9"/>
      <c r="E1" s="9"/>
      <c r="F1" s="9"/>
      <c r="G1" s="9"/>
      <c r="H1" s="9"/>
      <c r="I1" s="9"/>
      <c r="J1" s="9"/>
      <c r="K1" s="9"/>
      <c r="L1" s="9"/>
      <c r="M1" s="9"/>
      <c r="N1" s="9"/>
      <c r="O1" s="9"/>
      <c r="P1" s="9"/>
      <c r="Q1" s="9"/>
      <c r="R1" s="9"/>
      <c r="S1" s="9"/>
      <c r="T1" s="9"/>
      <c r="U1" s="9"/>
    </row>
    <row r="2" spans="1:21" x14ac:dyDescent="0.25">
      <c r="A2" s="9"/>
      <c r="B2" s="9"/>
      <c r="C2" s="9"/>
      <c r="D2" s="9"/>
      <c r="E2" s="9"/>
      <c r="F2" s="9"/>
      <c r="G2" s="9"/>
      <c r="H2" s="9"/>
      <c r="I2" s="9"/>
      <c r="J2" s="9"/>
      <c r="K2" s="9"/>
      <c r="L2" s="9"/>
      <c r="M2" s="9"/>
      <c r="N2" s="9"/>
      <c r="O2" s="9"/>
      <c r="P2" s="9"/>
      <c r="Q2" s="9"/>
      <c r="R2" s="9"/>
      <c r="S2" s="9"/>
      <c r="T2" s="9"/>
      <c r="U2" s="9"/>
    </row>
    <row r="3" spans="1:21" x14ac:dyDescent="0.25">
      <c r="A3" s="9"/>
      <c r="B3" s="9"/>
      <c r="C3" s="9"/>
      <c r="D3" s="9"/>
      <c r="E3" s="9"/>
      <c r="F3" s="9"/>
      <c r="G3" s="9"/>
      <c r="H3" s="9"/>
      <c r="I3" s="9"/>
      <c r="J3" s="9"/>
      <c r="K3" s="9"/>
      <c r="L3" s="9"/>
      <c r="M3" s="9"/>
      <c r="N3" s="9"/>
      <c r="O3" s="9"/>
      <c r="P3" s="9"/>
      <c r="Q3" s="9"/>
      <c r="R3" s="9"/>
      <c r="S3" s="9"/>
      <c r="T3" s="9"/>
      <c r="U3" s="9"/>
    </row>
    <row r="4" spans="1:21" x14ac:dyDescent="0.25">
      <c r="A4" s="9"/>
      <c r="B4" s="9"/>
      <c r="C4" s="9"/>
      <c r="D4" s="9"/>
      <c r="E4" s="9"/>
      <c r="F4" s="9"/>
      <c r="G4" s="9"/>
      <c r="H4" s="9"/>
      <c r="I4" s="9"/>
      <c r="J4" s="9"/>
      <c r="K4" s="9"/>
      <c r="L4" s="9"/>
      <c r="M4" s="9"/>
      <c r="N4" s="9"/>
      <c r="O4" s="9"/>
      <c r="P4" s="9"/>
      <c r="Q4" s="9"/>
      <c r="R4" s="9"/>
      <c r="S4" s="9"/>
      <c r="T4" s="9"/>
      <c r="U4" s="9"/>
    </row>
    <row r="5" spans="1:21" x14ac:dyDescent="0.25">
      <c r="A5" s="9"/>
      <c r="B5" s="9"/>
      <c r="C5" s="9"/>
      <c r="D5" s="9"/>
      <c r="E5" s="9"/>
      <c r="F5" s="9"/>
      <c r="G5" s="9"/>
      <c r="H5" s="9"/>
      <c r="I5" s="9"/>
      <c r="J5" s="9"/>
      <c r="K5" s="9"/>
      <c r="L5" s="9"/>
      <c r="M5" s="9"/>
      <c r="N5" s="9"/>
      <c r="O5" s="9"/>
      <c r="P5" s="9"/>
      <c r="Q5" s="9"/>
      <c r="R5" s="9"/>
      <c r="S5" s="9"/>
      <c r="T5" s="9"/>
      <c r="U5" s="9"/>
    </row>
    <row r="6" spans="1:21" x14ac:dyDescent="0.25">
      <c r="A6" s="9"/>
      <c r="B6" s="9"/>
      <c r="C6" s="9"/>
      <c r="D6" s="9"/>
      <c r="E6" s="9"/>
      <c r="F6" s="9"/>
      <c r="G6" s="9"/>
      <c r="H6" s="9"/>
      <c r="I6" s="9"/>
      <c r="J6" s="9"/>
      <c r="K6" s="9"/>
      <c r="L6" s="9"/>
      <c r="M6" s="9"/>
      <c r="N6" s="9"/>
      <c r="O6" s="9"/>
      <c r="P6" s="9"/>
      <c r="Q6" s="9"/>
      <c r="R6" s="9"/>
      <c r="S6" s="9"/>
      <c r="T6" s="9"/>
      <c r="U6" s="9"/>
    </row>
    <row r="7" spans="1:21" x14ac:dyDescent="0.25">
      <c r="A7" s="9"/>
      <c r="B7" s="9"/>
      <c r="C7" s="9"/>
      <c r="D7" s="9"/>
      <c r="E7" s="9"/>
      <c r="F7" s="9"/>
      <c r="G7" s="9"/>
      <c r="H7" s="9"/>
      <c r="I7" s="9"/>
      <c r="J7" s="9"/>
      <c r="K7" s="9"/>
      <c r="L7" s="9"/>
      <c r="M7" s="9"/>
      <c r="N7" s="9"/>
      <c r="O7" s="9"/>
      <c r="P7" s="9"/>
      <c r="Q7" s="9"/>
      <c r="R7" s="9"/>
      <c r="S7" s="9"/>
      <c r="T7" s="9"/>
      <c r="U7" s="9"/>
    </row>
    <row r="8" spans="1:21" x14ac:dyDescent="0.25">
      <c r="A8" s="9"/>
      <c r="B8" s="9"/>
      <c r="C8" s="9"/>
      <c r="D8" s="9"/>
      <c r="E8" s="9"/>
      <c r="F8" s="9"/>
      <c r="G8" s="9"/>
      <c r="H8" s="9"/>
      <c r="I8" s="9"/>
      <c r="J8" s="9"/>
      <c r="K8" s="9"/>
      <c r="L8" s="9"/>
      <c r="M8" s="9"/>
      <c r="N8" s="9"/>
      <c r="O8" s="9"/>
      <c r="P8" s="9"/>
      <c r="Q8" s="9"/>
      <c r="R8" s="9"/>
      <c r="S8" s="9"/>
      <c r="T8" s="9"/>
      <c r="U8" s="9"/>
    </row>
    <row r="9" spans="1:21" x14ac:dyDescent="0.25">
      <c r="A9" s="9"/>
      <c r="B9" s="9"/>
      <c r="C9" s="9"/>
      <c r="D9" s="9"/>
      <c r="E9" s="9"/>
      <c r="F9" s="9"/>
      <c r="G9" s="9"/>
      <c r="H9" s="9"/>
      <c r="I9" s="9"/>
      <c r="J9" s="9"/>
      <c r="K9" s="9"/>
      <c r="L9" s="9"/>
      <c r="M9" s="9"/>
      <c r="N9" s="9"/>
      <c r="O9" s="9"/>
      <c r="P9" s="9"/>
      <c r="Q9" s="9"/>
      <c r="R9" s="9"/>
      <c r="S9" s="9"/>
      <c r="T9" s="9"/>
      <c r="U9" s="9"/>
    </row>
    <row r="10" spans="1:21" x14ac:dyDescent="0.25">
      <c r="A10" s="9"/>
      <c r="B10" s="9"/>
      <c r="C10" s="9"/>
      <c r="D10" s="9"/>
      <c r="E10" s="9"/>
      <c r="F10" s="9"/>
      <c r="G10" s="9"/>
      <c r="H10" s="9"/>
      <c r="I10" s="9"/>
      <c r="J10" s="9"/>
      <c r="K10" s="9"/>
      <c r="L10" s="9"/>
      <c r="M10" s="9"/>
      <c r="N10" s="9"/>
      <c r="O10" s="9"/>
      <c r="P10" s="9"/>
      <c r="Q10" s="9"/>
      <c r="R10" s="9"/>
      <c r="S10" s="9"/>
      <c r="T10" s="9"/>
      <c r="U10" s="9"/>
    </row>
    <row r="11" spans="1:21" x14ac:dyDescent="0.25">
      <c r="A11" s="9"/>
      <c r="B11" s="9"/>
      <c r="C11" s="9"/>
      <c r="D11" s="9"/>
      <c r="E11" s="9"/>
      <c r="F11" s="9"/>
      <c r="G11" s="9"/>
      <c r="H11" s="9"/>
      <c r="I11" s="9"/>
      <c r="J11" s="9"/>
      <c r="K11" s="9"/>
      <c r="L11" s="9"/>
      <c r="M11" s="9"/>
      <c r="N11" s="9"/>
      <c r="O11" s="9"/>
      <c r="P11" s="9"/>
      <c r="Q11" s="9"/>
      <c r="R11" s="9"/>
      <c r="S11" s="9"/>
      <c r="T11" s="9"/>
      <c r="U11" s="9"/>
    </row>
    <row r="12" spans="1:21" x14ac:dyDescent="0.25">
      <c r="A12" s="9"/>
      <c r="B12" s="9"/>
      <c r="C12" s="9"/>
      <c r="D12" s="9"/>
      <c r="E12" s="9"/>
      <c r="F12" s="9"/>
      <c r="G12" s="9"/>
      <c r="H12" s="9"/>
      <c r="I12" s="9"/>
      <c r="J12" s="9"/>
      <c r="K12" s="9"/>
      <c r="L12" s="9"/>
      <c r="M12" s="9"/>
      <c r="N12" s="9"/>
      <c r="O12" s="9"/>
      <c r="P12" s="9"/>
      <c r="Q12" s="9"/>
      <c r="R12" s="9"/>
      <c r="S12" s="9"/>
      <c r="T12" s="9"/>
      <c r="U12" s="9"/>
    </row>
    <row r="13" spans="1:21" x14ac:dyDescent="0.25">
      <c r="A13" s="9"/>
      <c r="B13" s="9"/>
      <c r="C13" s="9"/>
      <c r="D13" s="9"/>
      <c r="E13" s="9"/>
      <c r="F13" s="9"/>
      <c r="G13" s="9"/>
      <c r="H13" s="9"/>
      <c r="I13" s="9"/>
      <c r="J13" s="9"/>
      <c r="K13" s="9"/>
      <c r="L13" s="9"/>
      <c r="M13" s="9"/>
      <c r="N13" s="9"/>
      <c r="O13" s="9"/>
      <c r="P13" s="9"/>
      <c r="Q13" s="9"/>
      <c r="R13" s="9"/>
      <c r="S13" s="9"/>
      <c r="T13" s="9"/>
      <c r="U13" s="9"/>
    </row>
    <row r="14" spans="1:21" x14ac:dyDescent="0.25">
      <c r="A14" s="9"/>
      <c r="B14" s="9"/>
      <c r="C14" s="9"/>
      <c r="D14" s="9"/>
      <c r="E14" s="9"/>
      <c r="F14" s="9"/>
      <c r="G14" s="9"/>
      <c r="H14" s="9"/>
      <c r="I14" s="9"/>
      <c r="J14" s="9"/>
      <c r="K14" s="9"/>
      <c r="L14" s="9"/>
      <c r="M14" s="9"/>
      <c r="N14" s="9"/>
      <c r="O14" s="9"/>
      <c r="P14" s="9"/>
      <c r="Q14" s="9"/>
      <c r="R14" s="9"/>
      <c r="S14" s="9"/>
      <c r="T14" s="9"/>
      <c r="U14" s="9"/>
    </row>
    <row r="15" spans="1:21" x14ac:dyDescent="0.25">
      <c r="A15" s="9"/>
      <c r="B15" s="9"/>
      <c r="C15" s="9"/>
      <c r="D15" s="9"/>
      <c r="E15" s="9"/>
      <c r="F15" s="9"/>
      <c r="G15" s="9"/>
      <c r="H15" s="9"/>
      <c r="I15" s="9"/>
      <c r="J15" s="9"/>
      <c r="K15" s="9"/>
      <c r="L15" s="9"/>
      <c r="M15" s="9"/>
      <c r="N15" s="9"/>
      <c r="O15" s="9"/>
      <c r="P15" s="9"/>
      <c r="Q15" s="9"/>
      <c r="R15" s="9"/>
      <c r="S15" s="9"/>
      <c r="T15" s="9"/>
      <c r="U15" s="9"/>
    </row>
    <row r="16" spans="1:21" x14ac:dyDescent="0.25">
      <c r="A16" s="9"/>
      <c r="B16" s="9"/>
      <c r="C16" s="9"/>
      <c r="D16" s="9"/>
      <c r="E16" s="9"/>
      <c r="F16" s="9"/>
      <c r="G16" s="9"/>
      <c r="H16" s="9"/>
      <c r="I16" s="9"/>
      <c r="J16" s="9"/>
      <c r="K16" s="9"/>
      <c r="L16" s="9"/>
      <c r="M16" s="9"/>
      <c r="N16" s="9"/>
      <c r="O16" s="9"/>
      <c r="P16" s="9"/>
      <c r="Q16" s="9"/>
      <c r="R16" s="9"/>
      <c r="S16" s="9"/>
      <c r="T16" s="9"/>
      <c r="U16" s="9"/>
    </row>
    <row r="17" spans="1:21" x14ac:dyDescent="0.25">
      <c r="A17" s="9"/>
      <c r="B17" s="9"/>
      <c r="C17" s="9"/>
      <c r="D17" s="9"/>
      <c r="E17" s="9"/>
      <c r="F17" s="9"/>
      <c r="G17" s="9"/>
      <c r="H17" s="9"/>
      <c r="I17" s="9"/>
      <c r="J17" s="9"/>
      <c r="K17" s="9"/>
      <c r="L17" s="9"/>
      <c r="M17" s="9"/>
      <c r="N17" s="9"/>
      <c r="O17" s="9"/>
      <c r="P17" s="9"/>
      <c r="Q17" s="9"/>
      <c r="R17" s="9"/>
      <c r="S17" s="9"/>
      <c r="T17" s="9"/>
      <c r="U17" s="9"/>
    </row>
    <row r="18" spans="1:21" x14ac:dyDescent="0.25">
      <c r="A18" s="9"/>
      <c r="B18" s="9"/>
      <c r="C18" s="9"/>
      <c r="D18" s="9"/>
      <c r="E18" s="9"/>
      <c r="F18" s="9"/>
      <c r="G18" s="9"/>
      <c r="H18" s="9"/>
      <c r="I18" s="9"/>
      <c r="J18" s="9"/>
      <c r="K18" s="9"/>
      <c r="L18" s="9"/>
      <c r="M18" s="9"/>
      <c r="N18" s="9"/>
      <c r="O18" s="9"/>
      <c r="P18" s="9"/>
      <c r="Q18" s="9"/>
      <c r="R18" s="9"/>
      <c r="S18" s="9"/>
      <c r="T18" s="9"/>
      <c r="U18" s="9"/>
    </row>
    <row r="19" spans="1:21" x14ac:dyDescent="0.25">
      <c r="A19" s="9"/>
      <c r="B19" s="9"/>
      <c r="C19" s="9"/>
      <c r="D19" s="9"/>
      <c r="E19" s="9"/>
      <c r="F19" s="9"/>
      <c r="G19" s="9"/>
      <c r="H19" s="9"/>
      <c r="I19" s="9"/>
      <c r="J19" s="9"/>
      <c r="K19" s="9"/>
      <c r="L19" s="9"/>
      <c r="M19" s="9"/>
      <c r="N19" s="9"/>
      <c r="O19" s="9"/>
      <c r="P19" s="9"/>
      <c r="Q19" s="9"/>
      <c r="R19" s="9"/>
      <c r="S19" s="9"/>
      <c r="T19" s="9"/>
      <c r="U19" s="9"/>
    </row>
    <row r="20" spans="1:21" x14ac:dyDescent="0.25">
      <c r="A20" s="9"/>
      <c r="B20" s="9"/>
      <c r="C20" s="9"/>
      <c r="D20" s="9"/>
      <c r="E20" s="9"/>
      <c r="F20" s="9"/>
      <c r="G20" s="9"/>
      <c r="H20" s="9"/>
      <c r="I20" s="9"/>
      <c r="J20" s="9"/>
      <c r="K20" s="9"/>
      <c r="L20" s="9"/>
      <c r="M20" s="9"/>
      <c r="N20" s="9"/>
      <c r="O20" s="9"/>
      <c r="P20" s="9"/>
      <c r="Q20" s="9"/>
      <c r="R20" s="9"/>
      <c r="S20" s="9"/>
      <c r="T20" s="9"/>
      <c r="U20" s="9"/>
    </row>
    <row r="21" spans="1:21" x14ac:dyDescent="0.25">
      <c r="A21" s="9"/>
      <c r="B21" s="9"/>
      <c r="C21" s="9"/>
      <c r="D21" s="9"/>
      <c r="E21" s="9"/>
      <c r="F21" s="9"/>
      <c r="G21" s="9"/>
      <c r="H21" s="9"/>
      <c r="I21" s="9"/>
      <c r="J21" s="9"/>
      <c r="K21" s="9"/>
      <c r="L21" s="9"/>
      <c r="M21" s="9"/>
      <c r="N21" s="9"/>
      <c r="O21" s="9"/>
      <c r="P21" s="9"/>
      <c r="Q21" s="9"/>
      <c r="R21" s="9"/>
      <c r="S21" s="9"/>
      <c r="T21" s="9"/>
      <c r="U21" s="9"/>
    </row>
    <row r="22" spans="1:21" x14ac:dyDescent="0.25">
      <c r="A22" s="9"/>
      <c r="B22" s="9"/>
      <c r="C22" s="9"/>
      <c r="D22" s="9"/>
      <c r="E22" s="9"/>
      <c r="F22" s="9"/>
      <c r="G22" s="9"/>
      <c r="H22" s="9"/>
      <c r="I22" s="9"/>
      <c r="J22" s="9"/>
      <c r="K22" s="9"/>
      <c r="L22" s="9"/>
      <c r="M22" s="9"/>
      <c r="N22" s="9"/>
      <c r="O22" s="9"/>
      <c r="P22" s="9"/>
      <c r="Q22" s="9"/>
      <c r="R22" s="9"/>
      <c r="S22" s="9"/>
      <c r="T22" s="9"/>
      <c r="U22" s="9"/>
    </row>
    <row r="23" spans="1:21" x14ac:dyDescent="0.25">
      <c r="A23" s="9"/>
      <c r="B23" s="9"/>
      <c r="C23" s="9"/>
      <c r="D23" s="9"/>
      <c r="E23" s="9"/>
      <c r="F23" s="9"/>
      <c r="G23" s="9"/>
      <c r="H23" s="9"/>
      <c r="I23" s="9"/>
      <c r="J23" s="9"/>
      <c r="K23" s="9"/>
      <c r="L23" s="9"/>
      <c r="M23" s="9"/>
      <c r="N23" s="9"/>
      <c r="O23" s="9"/>
      <c r="P23" s="9"/>
      <c r="Q23" s="9"/>
      <c r="R23" s="9"/>
      <c r="S23" s="9"/>
      <c r="T23" s="9"/>
      <c r="U23" s="9"/>
    </row>
    <row r="24" spans="1:21" x14ac:dyDescent="0.25">
      <c r="A24" s="9"/>
      <c r="B24" s="9"/>
      <c r="C24" s="9"/>
      <c r="D24" s="9"/>
      <c r="E24" s="9"/>
      <c r="F24" s="9"/>
      <c r="G24" s="9"/>
      <c r="H24" s="9"/>
      <c r="I24" s="9"/>
      <c r="J24" s="9"/>
      <c r="K24" s="9"/>
      <c r="L24" s="9"/>
      <c r="M24" s="9"/>
      <c r="N24" s="9"/>
      <c r="O24" s="9"/>
      <c r="P24" s="9"/>
      <c r="Q24" s="9"/>
      <c r="R24" s="9"/>
      <c r="S24" s="9"/>
      <c r="T24" s="9"/>
      <c r="U24" s="9"/>
    </row>
    <row r="25" spans="1:21" x14ac:dyDescent="0.25">
      <c r="A25" s="9"/>
      <c r="B25" s="9"/>
      <c r="C25" s="9"/>
      <c r="D25" s="9"/>
      <c r="E25" s="9"/>
      <c r="F25" s="9"/>
      <c r="G25" s="9"/>
      <c r="H25" s="9"/>
      <c r="I25" s="9"/>
      <c r="J25" s="9"/>
      <c r="K25" s="9"/>
      <c r="L25" s="9"/>
      <c r="M25" s="9"/>
      <c r="N25" s="9"/>
      <c r="O25" s="9"/>
      <c r="P25" s="9"/>
      <c r="Q25" s="9"/>
      <c r="R25" s="9"/>
      <c r="S25" s="9"/>
      <c r="T25" s="9"/>
      <c r="U25" s="9"/>
    </row>
    <row r="26" spans="1:21" x14ac:dyDescent="0.25">
      <c r="A26" s="9"/>
      <c r="B26" s="9"/>
      <c r="C26" s="9"/>
      <c r="D26" s="9"/>
      <c r="E26" s="9"/>
      <c r="F26" s="9"/>
      <c r="G26" s="9"/>
      <c r="H26" s="9"/>
      <c r="I26" s="9"/>
      <c r="J26" s="9"/>
      <c r="K26" s="9"/>
      <c r="L26" s="9"/>
      <c r="M26" s="9"/>
      <c r="N26" s="9"/>
      <c r="O26" s="9"/>
      <c r="P26" s="9"/>
      <c r="Q26" s="9"/>
      <c r="R26" s="9"/>
      <c r="S26" s="9"/>
      <c r="T26" s="9"/>
      <c r="U26" s="9"/>
    </row>
    <row r="27" spans="1:21" x14ac:dyDescent="0.25">
      <c r="A27" s="9"/>
      <c r="B27" s="9"/>
      <c r="C27" s="9"/>
      <c r="D27" s="9"/>
      <c r="E27" s="9"/>
      <c r="F27" s="9"/>
      <c r="G27" s="9"/>
      <c r="H27" s="9"/>
      <c r="I27" s="9"/>
      <c r="J27" s="9"/>
      <c r="K27" s="9"/>
      <c r="L27" s="9"/>
      <c r="M27" s="9"/>
      <c r="N27" s="9"/>
      <c r="O27" s="9"/>
      <c r="P27" s="9"/>
      <c r="Q27" s="9"/>
      <c r="R27" s="9"/>
      <c r="S27" s="9"/>
      <c r="T27" s="9"/>
      <c r="U27" s="9"/>
    </row>
    <row r="28" spans="1:21" x14ac:dyDescent="0.25">
      <c r="A28" s="9"/>
      <c r="B28" s="9"/>
      <c r="C28" s="9"/>
      <c r="D28" s="9"/>
      <c r="E28" s="9"/>
      <c r="F28" s="9"/>
      <c r="G28" s="9"/>
      <c r="H28" s="9"/>
      <c r="I28" s="9"/>
      <c r="J28" s="9"/>
      <c r="K28" s="9"/>
      <c r="L28" s="9"/>
      <c r="M28" s="9"/>
      <c r="N28" s="9"/>
      <c r="O28" s="9"/>
      <c r="P28" s="9"/>
      <c r="Q28" s="9"/>
      <c r="R28" s="9"/>
      <c r="S28" s="9"/>
      <c r="T28" s="9"/>
      <c r="U28" s="9"/>
    </row>
    <row r="29" spans="1:21" x14ac:dyDescent="0.25">
      <c r="A29" s="9"/>
      <c r="B29" s="9"/>
      <c r="C29" s="9"/>
      <c r="D29" s="9"/>
      <c r="E29" s="9"/>
      <c r="F29" s="9"/>
      <c r="G29" s="9"/>
      <c r="H29" s="9"/>
      <c r="I29" s="9"/>
      <c r="J29" s="9"/>
      <c r="K29" s="9"/>
      <c r="L29" s="9"/>
      <c r="M29" s="9"/>
      <c r="N29" s="9"/>
      <c r="O29" s="9"/>
      <c r="P29" s="9"/>
      <c r="Q29" s="9"/>
      <c r="R29" s="9"/>
      <c r="S29" s="9"/>
      <c r="T29" s="9"/>
      <c r="U29" s="9"/>
    </row>
    <row r="30" spans="1:21" x14ac:dyDescent="0.25">
      <c r="A30" s="9"/>
      <c r="B30" s="9"/>
      <c r="C30" s="9"/>
      <c r="D30" s="9"/>
      <c r="E30" s="9"/>
      <c r="F30" s="9"/>
      <c r="G30" s="9"/>
      <c r="H30" s="9"/>
      <c r="I30" s="9"/>
      <c r="J30" s="9"/>
      <c r="K30" s="9"/>
      <c r="L30" s="9"/>
      <c r="M30" s="9"/>
      <c r="N30" s="9"/>
      <c r="O30" s="9"/>
      <c r="P30" s="9"/>
      <c r="Q30" s="9"/>
      <c r="R30" s="9"/>
      <c r="S30" s="9"/>
      <c r="T30" s="9"/>
      <c r="U30" s="9"/>
    </row>
    <row r="31" spans="1:21" x14ac:dyDescent="0.25">
      <c r="A31" s="9"/>
      <c r="B31" s="9"/>
      <c r="C31" s="9"/>
      <c r="D31" s="9"/>
      <c r="E31" s="9"/>
      <c r="F31" s="9"/>
      <c r="G31" s="9"/>
      <c r="H31" s="9"/>
      <c r="I31" s="9"/>
      <c r="J31" s="9"/>
      <c r="K31" s="9"/>
      <c r="L31" s="9"/>
      <c r="M31" s="9"/>
      <c r="N31" s="9"/>
      <c r="O31" s="9"/>
      <c r="P31" s="9"/>
      <c r="Q31" s="9"/>
      <c r="R31" s="9"/>
      <c r="S31" s="9"/>
      <c r="T31" s="9"/>
      <c r="U31" s="9"/>
    </row>
    <row r="32" spans="1:21" x14ac:dyDescent="0.25">
      <c r="A32" s="9"/>
      <c r="B32" s="9"/>
      <c r="C32" s="9"/>
      <c r="D32" s="9"/>
      <c r="E32" s="9"/>
      <c r="F32" s="9"/>
      <c r="G32" s="9"/>
      <c r="H32" s="9"/>
      <c r="I32" s="9"/>
      <c r="J32" s="9"/>
      <c r="K32" s="9"/>
      <c r="L32" s="9"/>
      <c r="M32" s="9"/>
      <c r="N32" s="9"/>
      <c r="O32" s="9"/>
      <c r="P32" s="9"/>
      <c r="Q32" s="9"/>
      <c r="R32" s="9"/>
      <c r="S32" s="9"/>
      <c r="T32" s="9"/>
      <c r="U32" s="9"/>
    </row>
    <row r="33" spans="1:21" x14ac:dyDescent="0.25">
      <c r="A33" s="9"/>
      <c r="B33" s="9"/>
      <c r="C33" s="9"/>
      <c r="D33" s="9"/>
      <c r="E33" s="9"/>
      <c r="F33" s="9"/>
      <c r="G33" s="9"/>
      <c r="H33" s="9"/>
      <c r="I33" s="9"/>
      <c r="J33" s="9"/>
      <c r="K33" s="9"/>
      <c r="L33" s="9"/>
      <c r="M33" s="9"/>
      <c r="N33" s="9"/>
      <c r="O33" s="9"/>
      <c r="P33" s="9"/>
      <c r="Q33" s="9"/>
      <c r="R33" s="9"/>
      <c r="S33" s="9"/>
      <c r="T33" s="9"/>
      <c r="U33" s="9"/>
    </row>
    <row r="34" spans="1:21" x14ac:dyDescent="0.25">
      <c r="A34" s="9"/>
      <c r="B34" s="9"/>
      <c r="C34" s="9"/>
      <c r="D34" s="9"/>
      <c r="E34" s="9"/>
      <c r="F34" s="9"/>
      <c r="G34" s="9"/>
      <c r="H34" s="9"/>
      <c r="I34" s="9"/>
      <c r="J34" s="9"/>
      <c r="K34" s="9"/>
      <c r="L34" s="9"/>
      <c r="M34" s="9"/>
      <c r="N34" s="9"/>
      <c r="O34" s="9"/>
      <c r="P34" s="9"/>
      <c r="Q34" s="9"/>
      <c r="R34" s="9"/>
      <c r="S34" s="9"/>
      <c r="T34" s="9"/>
      <c r="U34"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E74FB-5EB1-44A7-AAEB-0380696E4334}">
  <sheetPr codeName="Sheet37"/>
  <dimension ref="A1"/>
  <sheetViews>
    <sheetView workbookViewId="0"/>
  </sheetViews>
  <sheetFormatPr defaultRowHeight="15" x14ac:dyDescent="0.2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3751F-1B1B-4F07-9C25-C7DB2BB0D33D}">
  <sheetPr codeName="Sheet25"/>
  <dimension ref="A4:U34"/>
  <sheetViews>
    <sheetView showRowColHeaders="0" workbookViewId="0">
      <selection activeCell="R31" sqref="R31"/>
    </sheetView>
  </sheetViews>
  <sheetFormatPr defaultRowHeight="15" x14ac:dyDescent="0.25"/>
  <sheetData>
    <row r="4" spans="1:21" x14ac:dyDescent="0.25">
      <c r="A4" s="9"/>
      <c r="B4" s="9"/>
      <c r="C4" s="9"/>
      <c r="D4" s="9"/>
      <c r="E4" s="9"/>
      <c r="F4" s="9"/>
      <c r="G4" s="9"/>
      <c r="H4" s="9"/>
      <c r="I4" s="9"/>
      <c r="J4" s="9"/>
      <c r="K4" s="9"/>
      <c r="L4" s="9"/>
      <c r="M4" s="9"/>
      <c r="N4" s="9"/>
      <c r="O4" s="9"/>
      <c r="P4" s="9"/>
      <c r="Q4" s="9"/>
      <c r="R4" s="9"/>
      <c r="S4" s="9"/>
      <c r="T4" s="9"/>
      <c r="U4" s="9"/>
    </row>
    <row r="5" spans="1:21" x14ac:dyDescent="0.25">
      <c r="A5" s="9"/>
      <c r="B5" s="9"/>
      <c r="C5" s="9"/>
      <c r="D5" s="9"/>
      <c r="E5" s="9"/>
      <c r="F5" s="9"/>
      <c r="G5" s="9"/>
      <c r="H5" s="9"/>
      <c r="I5" s="9"/>
      <c r="J5" s="9"/>
      <c r="K5" s="9"/>
      <c r="L5" s="9"/>
      <c r="M5" s="9"/>
      <c r="N5" s="9"/>
      <c r="O5" s="9"/>
      <c r="P5" s="9"/>
      <c r="Q5" s="9"/>
      <c r="R5" s="9"/>
      <c r="S5" s="9"/>
      <c r="T5" s="9"/>
      <c r="U5" s="9"/>
    </row>
    <row r="6" spans="1:21" x14ac:dyDescent="0.25">
      <c r="A6" s="9"/>
      <c r="B6" s="9"/>
      <c r="C6" s="9"/>
      <c r="D6" s="9"/>
      <c r="E6" s="9"/>
      <c r="F6" s="9"/>
      <c r="G6" s="9"/>
      <c r="H6" s="9"/>
      <c r="I6" s="9"/>
      <c r="J6" s="9"/>
      <c r="K6" s="9"/>
      <c r="L6" s="9"/>
      <c r="M6" s="9"/>
      <c r="N6" s="9"/>
      <c r="O6" s="9"/>
      <c r="P6" s="9"/>
      <c r="Q6" s="9"/>
      <c r="R6" s="9"/>
      <c r="S6" s="9"/>
      <c r="T6" s="9"/>
      <c r="U6" s="9"/>
    </row>
    <row r="7" spans="1:21" x14ac:dyDescent="0.25">
      <c r="A7" s="9"/>
      <c r="B7" s="9"/>
      <c r="C7" s="9"/>
      <c r="D7" s="9"/>
      <c r="E7" s="9"/>
      <c r="F7" s="9"/>
      <c r="G7" s="9"/>
      <c r="H7" s="9"/>
      <c r="I7" s="9"/>
      <c r="J7" s="9"/>
      <c r="K7" s="9"/>
      <c r="L7" s="9"/>
      <c r="M7" s="9"/>
      <c r="N7" s="9"/>
      <c r="O7" s="9"/>
      <c r="P7" s="9"/>
      <c r="Q7" s="9"/>
      <c r="R7" s="9"/>
      <c r="S7" s="9"/>
      <c r="T7" s="9"/>
      <c r="U7" s="9"/>
    </row>
    <row r="8" spans="1:21" x14ac:dyDescent="0.25">
      <c r="A8" s="9"/>
      <c r="B8" s="9"/>
      <c r="C8" s="9"/>
      <c r="D8" s="9"/>
      <c r="E8" s="9"/>
      <c r="F8" s="9"/>
      <c r="G8" s="9"/>
      <c r="H8" s="9"/>
      <c r="I8" s="9"/>
      <c r="J8" s="9"/>
      <c r="K8" s="9"/>
      <c r="L8" s="9"/>
      <c r="M8" s="9"/>
      <c r="N8" s="9"/>
      <c r="O8" s="9"/>
      <c r="P8" s="9"/>
      <c r="Q8" s="9"/>
      <c r="R8" s="9"/>
      <c r="S8" s="9"/>
      <c r="T8" s="9"/>
      <c r="U8" s="9"/>
    </row>
    <row r="9" spans="1:21" x14ac:dyDescent="0.25">
      <c r="A9" s="9"/>
      <c r="B9" s="9"/>
      <c r="C9" s="9"/>
      <c r="D9" s="9"/>
      <c r="E9" s="9"/>
      <c r="F9" s="9"/>
      <c r="G9" s="9"/>
      <c r="H9" s="9"/>
      <c r="I9" s="9"/>
      <c r="J9" s="9"/>
      <c r="K9" s="9"/>
      <c r="L9" s="9"/>
      <c r="M9" s="9"/>
      <c r="N9" s="9"/>
      <c r="O9" s="9"/>
      <c r="P9" s="9"/>
      <c r="Q9" s="9"/>
      <c r="R9" s="9"/>
      <c r="S9" s="9"/>
      <c r="T9" s="9"/>
      <c r="U9" s="9"/>
    </row>
    <row r="10" spans="1:21" x14ac:dyDescent="0.25">
      <c r="A10" s="9"/>
      <c r="B10" s="9"/>
      <c r="C10" s="9"/>
      <c r="D10" s="9"/>
      <c r="E10" s="9"/>
      <c r="F10" s="9"/>
      <c r="G10" s="9"/>
      <c r="H10" s="9"/>
      <c r="I10" s="9"/>
      <c r="J10" s="9"/>
      <c r="K10" s="9"/>
      <c r="L10" s="9"/>
      <c r="M10" s="9"/>
      <c r="N10" s="9"/>
      <c r="O10" s="9"/>
      <c r="P10" s="9"/>
      <c r="Q10" s="9"/>
      <c r="R10" s="9"/>
      <c r="S10" s="9"/>
      <c r="T10" s="9"/>
      <c r="U10" s="9"/>
    </row>
    <row r="11" spans="1:21" x14ac:dyDescent="0.25">
      <c r="A11" s="9"/>
      <c r="B11" s="9"/>
      <c r="C11" s="9"/>
      <c r="D11" s="9"/>
      <c r="E11" s="9"/>
      <c r="F11" s="9"/>
      <c r="G11" s="9"/>
      <c r="H11" s="9"/>
      <c r="I11" s="9"/>
      <c r="J11" s="9"/>
      <c r="K11" s="9"/>
      <c r="L11" s="9"/>
      <c r="M11" s="9"/>
      <c r="N11" s="9"/>
      <c r="O11" s="9"/>
      <c r="P11" s="9"/>
      <c r="Q11" s="9"/>
      <c r="R11" s="9"/>
      <c r="S11" s="9"/>
      <c r="T11" s="9"/>
      <c r="U11" s="9"/>
    </row>
    <row r="12" spans="1:21" x14ac:dyDescent="0.25">
      <c r="A12" s="9"/>
      <c r="B12" s="9"/>
      <c r="C12" s="9"/>
      <c r="D12" s="9"/>
      <c r="E12" s="9"/>
      <c r="F12" s="9"/>
      <c r="G12" s="9"/>
      <c r="H12" s="9"/>
      <c r="I12" s="9"/>
      <c r="J12" s="9"/>
      <c r="K12" s="9"/>
      <c r="L12" s="9"/>
      <c r="M12" s="9"/>
      <c r="N12" s="9"/>
      <c r="O12" s="9"/>
      <c r="P12" s="9"/>
      <c r="Q12" s="9"/>
      <c r="R12" s="9"/>
      <c r="S12" s="9"/>
      <c r="T12" s="9"/>
      <c r="U12" s="9"/>
    </row>
    <row r="13" spans="1:21" x14ac:dyDescent="0.25">
      <c r="A13" s="9"/>
      <c r="B13" s="9"/>
      <c r="C13" s="9"/>
      <c r="D13" s="9"/>
      <c r="E13" s="9"/>
      <c r="F13" s="9"/>
      <c r="G13" s="9"/>
      <c r="H13" s="9"/>
      <c r="I13" s="9"/>
      <c r="J13" s="9"/>
      <c r="K13" s="9"/>
      <c r="L13" s="9"/>
      <c r="M13" s="9"/>
      <c r="N13" s="9"/>
      <c r="O13" s="9"/>
      <c r="P13" s="9"/>
      <c r="Q13" s="9"/>
      <c r="R13" s="9"/>
      <c r="S13" s="9"/>
      <c r="T13" s="9"/>
      <c r="U13" s="9"/>
    </row>
    <row r="14" spans="1:21" x14ac:dyDescent="0.25">
      <c r="A14" s="9"/>
      <c r="B14" s="9"/>
      <c r="C14" s="9"/>
      <c r="D14" s="9"/>
      <c r="E14" s="9"/>
      <c r="F14" s="9"/>
      <c r="G14" s="9"/>
      <c r="H14" s="9"/>
      <c r="I14" s="9"/>
      <c r="J14" s="9"/>
      <c r="K14" s="9"/>
      <c r="L14" s="9"/>
      <c r="M14" s="9"/>
      <c r="N14" s="9"/>
      <c r="O14" s="9"/>
      <c r="P14" s="9"/>
      <c r="Q14" s="9"/>
      <c r="R14" s="9"/>
      <c r="S14" s="9"/>
      <c r="T14" s="9"/>
      <c r="U14" s="9"/>
    </row>
    <row r="15" spans="1:21" x14ac:dyDescent="0.25">
      <c r="A15" s="9"/>
      <c r="B15" s="9"/>
      <c r="C15" s="9"/>
      <c r="D15" s="9"/>
      <c r="E15" s="9"/>
      <c r="F15" s="9"/>
      <c r="G15" s="9"/>
      <c r="H15" s="9"/>
      <c r="I15" s="9"/>
      <c r="J15" s="9"/>
      <c r="K15" s="9"/>
      <c r="L15" s="9"/>
      <c r="M15" s="9"/>
      <c r="N15" s="9"/>
      <c r="O15" s="9"/>
      <c r="P15" s="9"/>
      <c r="Q15" s="9"/>
      <c r="R15" s="9"/>
      <c r="S15" s="9"/>
      <c r="T15" s="9"/>
      <c r="U15" s="9"/>
    </row>
    <row r="16" spans="1:21" x14ac:dyDescent="0.25">
      <c r="A16" s="9"/>
      <c r="B16" s="9"/>
      <c r="C16" s="9"/>
      <c r="D16" s="9"/>
      <c r="E16" s="9"/>
      <c r="F16" s="9"/>
      <c r="G16" s="9"/>
      <c r="H16" s="9"/>
      <c r="I16" s="9"/>
      <c r="J16" s="9"/>
      <c r="K16" s="9"/>
      <c r="L16" s="9"/>
      <c r="M16" s="9"/>
      <c r="N16" s="9"/>
      <c r="O16" s="9"/>
      <c r="P16" s="9"/>
      <c r="Q16" s="9"/>
      <c r="R16" s="9"/>
      <c r="S16" s="9"/>
      <c r="T16" s="9"/>
      <c r="U16" s="9"/>
    </row>
    <row r="17" spans="1:21" x14ac:dyDescent="0.25">
      <c r="A17" s="9"/>
      <c r="B17" s="9"/>
      <c r="C17" s="9"/>
      <c r="D17" s="9"/>
      <c r="E17" s="9"/>
      <c r="F17" s="9"/>
      <c r="G17" s="9"/>
      <c r="H17" s="9"/>
      <c r="I17" s="9"/>
      <c r="J17" s="9"/>
      <c r="K17" s="9"/>
      <c r="L17" s="9"/>
      <c r="M17" s="9"/>
      <c r="N17" s="9"/>
      <c r="O17" s="9"/>
      <c r="P17" s="9"/>
      <c r="Q17" s="9"/>
      <c r="R17" s="9"/>
      <c r="S17" s="9"/>
      <c r="T17" s="9"/>
      <c r="U17" s="9"/>
    </row>
    <row r="18" spans="1:21" x14ac:dyDescent="0.25">
      <c r="A18" s="9"/>
      <c r="B18" s="9"/>
      <c r="C18" s="9"/>
      <c r="D18" s="9"/>
      <c r="E18" s="9"/>
      <c r="F18" s="9"/>
      <c r="G18" s="9"/>
      <c r="H18" s="9"/>
      <c r="I18" s="9"/>
      <c r="J18" s="9"/>
      <c r="K18" s="9"/>
      <c r="L18" s="9"/>
      <c r="M18" s="9"/>
      <c r="N18" s="9"/>
      <c r="O18" s="9"/>
      <c r="P18" s="9"/>
      <c r="Q18" s="9"/>
      <c r="R18" s="9"/>
      <c r="S18" s="9"/>
      <c r="T18" s="9"/>
      <c r="U18" s="9"/>
    </row>
    <row r="19" spans="1:21" x14ac:dyDescent="0.25">
      <c r="A19" s="9"/>
      <c r="B19" s="9"/>
      <c r="C19" s="9"/>
      <c r="D19" s="9"/>
      <c r="E19" s="9"/>
      <c r="F19" s="9"/>
      <c r="G19" s="9"/>
      <c r="H19" s="9"/>
      <c r="I19" s="9"/>
      <c r="J19" s="9"/>
      <c r="K19" s="9"/>
      <c r="L19" s="9"/>
      <c r="M19" s="9"/>
      <c r="N19" s="9"/>
      <c r="O19" s="9"/>
      <c r="P19" s="9"/>
      <c r="Q19" s="9"/>
      <c r="R19" s="9"/>
      <c r="S19" s="9"/>
      <c r="T19" s="9"/>
      <c r="U19" s="9"/>
    </row>
    <row r="20" spans="1:21" x14ac:dyDescent="0.25">
      <c r="A20" s="9"/>
      <c r="B20" s="9"/>
      <c r="C20" s="9"/>
      <c r="D20" s="9"/>
      <c r="E20" s="9"/>
      <c r="F20" s="9"/>
      <c r="G20" s="9"/>
      <c r="H20" s="9"/>
      <c r="I20" s="9"/>
      <c r="J20" s="9"/>
      <c r="K20" s="9"/>
      <c r="L20" s="9"/>
      <c r="M20" s="9"/>
      <c r="N20" s="9"/>
      <c r="O20" s="9"/>
      <c r="P20" s="9"/>
      <c r="Q20" s="9"/>
      <c r="R20" s="9"/>
      <c r="S20" s="9"/>
      <c r="T20" s="9"/>
      <c r="U20" s="9"/>
    </row>
    <row r="21" spans="1:21" x14ac:dyDescent="0.25">
      <c r="A21" s="9"/>
      <c r="B21" s="9"/>
      <c r="C21" s="9"/>
      <c r="D21" s="9"/>
      <c r="E21" s="9"/>
      <c r="F21" s="9"/>
      <c r="G21" s="9"/>
      <c r="H21" s="9"/>
      <c r="I21" s="9"/>
      <c r="J21" s="9"/>
      <c r="K21" s="9"/>
      <c r="L21" s="9"/>
      <c r="M21" s="9"/>
      <c r="N21" s="9"/>
      <c r="O21" s="9"/>
      <c r="P21" s="9"/>
      <c r="Q21" s="9"/>
      <c r="R21" s="9"/>
      <c r="S21" s="9"/>
      <c r="T21" s="9"/>
      <c r="U21" s="9"/>
    </row>
    <row r="22" spans="1:21" x14ac:dyDescent="0.25">
      <c r="A22" s="9"/>
      <c r="B22" s="9"/>
      <c r="C22" s="9"/>
      <c r="D22" s="9"/>
      <c r="E22" s="9"/>
      <c r="F22" s="9"/>
      <c r="G22" s="9"/>
      <c r="H22" s="9"/>
      <c r="I22" s="9"/>
      <c r="J22" s="9"/>
      <c r="K22" s="9"/>
      <c r="L22" s="9"/>
      <c r="M22" s="9"/>
      <c r="N22" s="9"/>
      <c r="O22" s="9"/>
      <c r="P22" s="9"/>
      <c r="Q22" s="9"/>
      <c r="R22" s="9"/>
      <c r="S22" s="9"/>
      <c r="T22" s="9"/>
      <c r="U22" s="9"/>
    </row>
    <row r="23" spans="1:21" x14ac:dyDescent="0.25">
      <c r="A23" s="9"/>
      <c r="B23" s="9"/>
      <c r="C23" s="9"/>
      <c r="D23" s="9"/>
      <c r="E23" s="9"/>
      <c r="F23" s="9"/>
      <c r="G23" s="9"/>
      <c r="H23" s="9"/>
      <c r="I23" s="9"/>
      <c r="J23" s="9"/>
      <c r="K23" s="9"/>
      <c r="L23" s="9"/>
      <c r="M23" s="9"/>
      <c r="N23" s="9"/>
      <c r="O23" s="9"/>
      <c r="P23" s="9"/>
      <c r="Q23" s="9"/>
      <c r="R23" s="9"/>
      <c r="S23" s="9"/>
      <c r="T23" s="9"/>
      <c r="U23" s="9"/>
    </row>
    <row r="24" spans="1:21" x14ac:dyDescent="0.25">
      <c r="A24" s="9"/>
      <c r="B24" s="9"/>
      <c r="C24" s="9"/>
      <c r="D24" s="9"/>
      <c r="E24" s="9"/>
      <c r="F24" s="9"/>
      <c r="G24" s="9"/>
      <c r="H24" s="9"/>
      <c r="I24" s="9"/>
      <c r="J24" s="9"/>
      <c r="K24" s="9"/>
      <c r="L24" s="9"/>
      <c r="M24" s="9"/>
      <c r="N24" s="9"/>
      <c r="O24" s="9"/>
      <c r="P24" s="9"/>
      <c r="Q24" s="9"/>
      <c r="R24" s="9"/>
      <c r="S24" s="9"/>
      <c r="T24" s="9"/>
      <c r="U24" s="9"/>
    </row>
    <row r="25" spans="1:21" x14ac:dyDescent="0.25">
      <c r="A25" s="9"/>
      <c r="B25" s="9"/>
      <c r="C25" s="9"/>
      <c r="D25" s="9"/>
      <c r="E25" s="9"/>
      <c r="F25" s="9"/>
      <c r="G25" s="9"/>
      <c r="H25" s="9"/>
      <c r="I25" s="9"/>
      <c r="J25" s="9"/>
      <c r="K25" s="9"/>
      <c r="L25" s="9"/>
      <c r="M25" s="9"/>
      <c r="N25" s="9"/>
      <c r="O25" s="9"/>
      <c r="P25" s="9"/>
      <c r="Q25" s="9"/>
      <c r="R25" s="9"/>
      <c r="S25" s="9"/>
      <c r="T25" s="9"/>
      <c r="U25" s="9"/>
    </row>
    <row r="26" spans="1:21" x14ac:dyDescent="0.25">
      <c r="A26" s="9"/>
      <c r="B26" s="9"/>
      <c r="C26" s="9"/>
      <c r="D26" s="9"/>
      <c r="E26" s="9"/>
      <c r="F26" s="9"/>
      <c r="G26" s="9"/>
      <c r="H26" s="9"/>
      <c r="I26" s="9"/>
      <c r="J26" s="9"/>
      <c r="K26" s="9"/>
      <c r="L26" s="9"/>
      <c r="M26" s="9"/>
      <c r="N26" s="9"/>
      <c r="O26" s="9"/>
      <c r="P26" s="9"/>
      <c r="Q26" s="9"/>
      <c r="R26" s="9"/>
      <c r="S26" s="9"/>
      <c r="T26" s="9"/>
      <c r="U26" s="9"/>
    </row>
    <row r="27" spans="1:21" x14ac:dyDescent="0.25">
      <c r="A27" s="9"/>
      <c r="B27" s="9"/>
      <c r="C27" s="9"/>
      <c r="D27" s="9"/>
      <c r="E27" s="9"/>
      <c r="F27" s="9"/>
      <c r="G27" s="9"/>
      <c r="H27" s="9"/>
      <c r="I27" s="9"/>
      <c r="J27" s="9"/>
      <c r="K27" s="9"/>
      <c r="L27" s="9"/>
      <c r="M27" s="9"/>
      <c r="N27" s="9"/>
      <c r="O27" s="9"/>
      <c r="P27" s="9"/>
      <c r="Q27" s="9"/>
      <c r="R27" s="9"/>
      <c r="S27" s="9"/>
      <c r="T27" s="9"/>
      <c r="U27" s="9"/>
    </row>
    <row r="28" spans="1:21" x14ac:dyDescent="0.25">
      <c r="A28" s="9"/>
      <c r="B28" s="9"/>
      <c r="C28" s="9"/>
      <c r="D28" s="9"/>
      <c r="E28" s="9"/>
      <c r="F28" s="9"/>
      <c r="G28" s="9"/>
      <c r="H28" s="9"/>
      <c r="I28" s="9"/>
      <c r="J28" s="9"/>
      <c r="K28" s="9"/>
      <c r="L28" s="9"/>
      <c r="M28" s="9"/>
      <c r="N28" s="9"/>
      <c r="O28" s="9"/>
      <c r="P28" s="9"/>
      <c r="Q28" s="9"/>
      <c r="R28" s="9"/>
      <c r="S28" s="9"/>
      <c r="T28" s="9"/>
      <c r="U28" s="9"/>
    </row>
    <row r="29" spans="1:21" x14ac:dyDescent="0.25">
      <c r="A29" s="9"/>
      <c r="B29" s="9"/>
      <c r="C29" s="9"/>
      <c r="D29" s="9"/>
      <c r="E29" s="9"/>
      <c r="F29" s="9"/>
      <c r="G29" s="9"/>
      <c r="H29" s="9"/>
      <c r="I29" s="9"/>
      <c r="J29" s="9"/>
      <c r="K29" s="9"/>
      <c r="L29" s="9"/>
      <c r="M29" s="9"/>
      <c r="N29" s="9"/>
      <c r="O29" s="9"/>
      <c r="P29" s="9"/>
      <c r="Q29" s="9"/>
      <c r="R29" s="9"/>
      <c r="S29" s="9"/>
      <c r="T29" s="9"/>
      <c r="U29" s="9"/>
    </row>
    <row r="30" spans="1:21" x14ac:dyDescent="0.25">
      <c r="A30" s="9"/>
      <c r="B30" s="9"/>
      <c r="C30" s="9"/>
      <c r="D30" s="9"/>
      <c r="E30" s="9"/>
      <c r="F30" s="9"/>
      <c r="G30" s="9"/>
      <c r="H30" s="9"/>
      <c r="I30" s="9"/>
      <c r="J30" s="9"/>
      <c r="K30" s="9"/>
      <c r="L30" s="9"/>
      <c r="M30" s="9"/>
      <c r="N30" s="9"/>
      <c r="O30" s="9"/>
      <c r="P30" s="9"/>
      <c r="Q30" s="9"/>
      <c r="R30" s="9"/>
      <c r="S30" s="9"/>
      <c r="T30" s="9"/>
      <c r="U30" s="9"/>
    </row>
    <row r="31" spans="1:21" x14ac:dyDescent="0.25">
      <c r="A31" s="9"/>
      <c r="B31" s="9"/>
      <c r="C31" s="9"/>
      <c r="D31" s="9"/>
      <c r="E31" s="9"/>
      <c r="F31" s="9"/>
      <c r="G31" s="9"/>
      <c r="H31" s="9"/>
      <c r="I31" s="9"/>
      <c r="J31" s="9"/>
      <c r="K31" s="9"/>
      <c r="L31" s="9"/>
      <c r="M31" s="9"/>
      <c r="N31" s="9"/>
      <c r="O31" s="9"/>
      <c r="P31" s="9"/>
      <c r="Q31" s="9"/>
      <c r="R31" s="9"/>
      <c r="S31" s="9"/>
      <c r="T31" s="9"/>
      <c r="U31" s="9"/>
    </row>
    <row r="32" spans="1:21" x14ac:dyDescent="0.25">
      <c r="A32" s="9"/>
      <c r="B32" s="9"/>
      <c r="C32" s="9"/>
      <c r="D32" s="9"/>
      <c r="E32" s="9"/>
      <c r="F32" s="9"/>
      <c r="G32" s="9"/>
      <c r="H32" s="9"/>
      <c r="I32" s="9"/>
      <c r="J32" s="9"/>
      <c r="K32" s="9"/>
      <c r="L32" s="9"/>
      <c r="M32" s="9"/>
      <c r="N32" s="9"/>
      <c r="O32" s="9"/>
      <c r="P32" s="9"/>
      <c r="Q32" s="9"/>
      <c r="R32" s="9"/>
      <c r="S32" s="9"/>
      <c r="T32" s="9"/>
      <c r="U32" s="9"/>
    </row>
    <row r="33" spans="1:21" x14ac:dyDescent="0.25">
      <c r="A33" s="9"/>
      <c r="B33" s="9"/>
      <c r="C33" s="9"/>
      <c r="D33" s="9"/>
      <c r="E33" s="9"/>
      <c r="F33" s="9"/>
      <c r="G33" s="9"/>
      <c r="H33" s="9"/>
      <c r="I33" s="9"/>
      <c r="J33" s="9"/>
      <c r="K33" s="9"/>
      <c r="L33" s="9"/>
      <c r="M33" s="9"/>
      <c r="N33" s="9"/>
      <c r="O33" s="9"/>
      <c r="P33" s="9"/>
      <c r="Q33" s="9"/>
      <c r="R33" s="9"/>
      <c r="S33" s="9"/>
      <c r="T33" s="9"/>
      <c r="U33" s="9"/>
    </row>
    <row r="34" spans="1:21" x14ac:dyDescent="0.25">
      <c r="A34" s="9"/>
      <c r="B34" s="9"/>
      <c r="C34" s="9"/>
      <c r="D34" s="9"/>
      <c r="E34" s="9"/>
      <c r="F34" s="9"/>
      <c r="G34" s="9"/>
      <c r="H34" s="9"/>
      <c r="I34" s="9"/>
      <c r="J34" s="9"/>
      <c r="K34" s="9"/>
      <c r="L34" s="9"/>
      <c r="M34" s="9"/>
      <c r="N34" s="9"/>
      <c r="O34" s="9"/>
      <c r="P34" s="9"/>
      <c r="Q34" s="9"/>
      <c r="R34" s="9"/>
      <c r="S34" s="9"/>
      <c r="T34" s="9"/>
      <c r="U34"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92BF-9FFC-4607-ABC6-CD16CFC641E6}">
  <sheetPr codeName="Sheet26"/>
  <dimension ref="A4:U34"/>
  <sheetViews>
    <sheetView showRowColHeaders="0" workbookViewId="0"/>
  </sheetViews>
  <sheetFormatPr defaultRowHeight="15" x14ac:dyDescent="0.25"/>
  <sheetData>
    <row r="4" spans="1:21" x14ac:dyDescent="0.25">
      <c r="A4" s="9"/>
      <c r="B4" s="9"/>
      <c r="C4" s="9"/>
      <c r="D4" s="9"/>
      <c r="E4" s="9"/>
      <c r="F4" s="9"/>
      <c r="G4" s="9"/>
      <c r="H4" s="9"/>
      <c r="I4" s="9"/>
      <c r="J4" s="9"/>
      <c r="K4" s="9"/>
      <c r="L4" s="9"/>
      <c r="M4" s="9"/>
      <c r="N4" s="9"/>
      <c r="O4" s="9"/>
      <c r="P4" s="9"/>
      <c r="Q4" s="9"/>
      <c r="R4" s="9"/>
      <c r="S4" s="9"/>
      <c r="T4" s="9"/>
      <c r="U4" s="9"/>
    </row>
    <row r="5" spans="1:21" x14ac:dyDescent="0.25">
      <c r="A5" s="9"/>
      <c r="B5" s="9"/>
      <c r="C5" s="9"/>
      <c r="D5" s="9"/>
      <c r="E5" s="9"/>
      <c r="F5" s="9"/>
      <c r="G5" s="9"/>
      <c r="H5" s="9"/>
      <c r="I5" s="9"/>
      <c r="J5" s="9"/>
      <c r="K5" s="9"/>
      <c r="L5" s="9"/>
      <c r="M5" s="9"/>
      <c r="N5" s="9"/>
      <c r="O5" s="9"/>
      <c r="P5" s="9"/>
      <c r="Q5" s="9"/>
      <c r="R5" s="9"/>
      <c r="S5" s="9"/>
      <c r="T5" s="9"/>
      <c r="U5" s="9"/>
    </row>
    <row r="6" spans="1:21" x14ac:dyDescent="0.25">
      <c r="A6" s="9"/>
      <c r="B6" s="9"/>
      <c r="C6" s="9"/>
      <c r="D6" s="9"/>
      <c r="E6" s="9"/>
      <c r="F6" s="9"/>
      <c r="G6" s="9"/>
      <c r="H6" s="9"/>
      <c r="I6" s="9"/>
      <c r="J6" s="9"/>
      <c r="K6" s="9"/>
      <c r="L6" s="9"/>
      <c r="M6" s="9"/>
      <c r="N6" s="9"/>
      <c r="O6" s="9"/>
      <c r="P6" s="9"/>
      <c r="Q6" s="9"/>
      <c r="R6" s="9"/>
      <c r="S6" s="9"/>
      <c r="T6" s="9"/>
      <c r="U6" s="9"/>
    </row>
    <row r="7" spans="1:21" x14ac:dyDescent="0.25">
      <c r="A7" s="9"/>
      <c r="B7" s="9"/>
      <c r="C7" s="9"/>
      <c r="D7" s="9"/>
      <c r="E7" s="9"/>
      <c r="F7" s="9"/>
      <c r="G7" s="9"/>
      <c r="H7" s="9"/>
      <c r="I7" s="9"/>
      <c r="J7" s="9"/>
      <c r="K7" s="9"/>
      <c r="L7" s="9"/>
      <c r="M7" s="9"/>
      <c r="N7" s="9"/>
      <c r="O7" s="9"/>
      <c r="P7" s="9"/>
      <c r="Q7" s="9"/>
      <c r="R7" s="9"/>
      <c r="S7" s="9"/>
      <c r="T7" s="9"/>
      <c r="U7" s="9"/>
    </row>
    <row r="8" spans="1:21" x14ac:dyDescent="0.25">
      <c r="A8" s="9"/>
      <c r="B8" s="9"/>
      <c r="C8" s="9"/>
      <c r="D8" s="9"/>
      <c r="E8" s="9"/>
      <c r="F8" s="9"/>
      <c r="G8" s="9"/>
      <c r="H8" s="9"/>
      <c r="I8" s="9"/>
      <c r="J8" s="9"/>
      <c r="K8" s="9"/>
      <c r="L8" s="9"/>
      <c r="M8" s="9"/>
      <c r="N8" s="9"/>
      <c r="O8" s="9"/>
      <c r="P8" s="9"/>
      <c r="Q8" s="9"/>
      <c r="R8" s="9"/>
      <c r="S8" s="9"/>
      <c r="T8" s="9"/>
      <c r="U8" s="9"/>
    </row>
    <row r="9" spans="1:21" x14ac:dyDescent="0.25">
      <c r="A9" s="9"/>
      <c r="B9" s="9"/>
      <c r="C9" s="9"/>
      <c r="D9" s="9"/>
      <c r="E9" s="9"/>
      <c r="F9" s="9"/>
      <c r="G9" s="9"/>
      <c r="H9" s="9"/>
      <c r="I9" s="9"/>
      <c r="J9" s="9"/>
      <c r="K9" s="9"/>
      <c r="L9" s="9"/>
      <c r="M9" s="9"/>
      <c r="N9" s="9"/>
      <c r="O9" s="9"/>
      <c r="P9" s="9"/>
      <c r="Q9" s="9"/>
      <c r="R9" s="9"/>
      <c r="S9" s="9"/>
      <c r="T9" s="9"/>
      <c r="U9" s="9"/>
    </row>
    <row r="10" spans="1:21" x14ac:dyDescent="0.25">
      <c r="A10" s="9"/>
      <c r="B10" s="9"/>
      <c r="C10" s="9"/>
      <c r="D10" s="9"/>
      <c r="E10" s="9"/>
      <c r="F10" s="9"/>
      <c r="G10" s="9"/>
      <c r="H10" s="9"/>
      <c r="I10" s="9"/>
      <c r="J10" s="9"/>
      <c r="K10" s="9"/>
      <c r="L10" s="9"/>
      <c r="M10" s="9"/>
      <c r="N10" s="9"/>
      <c r="O10" s="9"/>
      <c r="P10" s="9"/>
      <c r="Q10" s="9"/>
      <c r="R10" s="9"/>
      <c r="S10" s="9"/>
      <c r="T10" s="9"/>
      <c r="U10" s="9"/>
    </row>
    <row r="11" spans="1:21" x14ac:dyDescent="0.25">
      <c r="A11" s="9"/>
      <c r="B11" s="9"/>
      <c r="C11" s="9"/>
      <c r="D11" s="9"/>
      <c r="E11" s="9"/>
      <c r="F11" s="9"/>
      <c r="G11" s="9"/>
      <c r="H11" s="9"/>
      <c r="I11" s="9"/>
      <c r="J11" s="9"/>
      <c r="K11" s="9"/>
      <c r="L11" s="9"/>
      <c r="M11" s="9"/>
      <c r="N11" s="9"/>
      <c r="O11" s="9"/>
      <c r="P11" s="9"/>
      <c r="Q11" s="9"/>
      <c r="R11" s="9"/>
      <c r="S11" s="9"/>
      <c r="T11" s="9"/>
      <c r="U11" s="9"/>
    </row>
    <row r="12" spans="1:21" x14ac:dyDescent="0.25">
      <c r="A12" s="9"/>
      <c r="B12" s="9"/>
      <c r="C12" s="9"/>
      <c r="D12" s="9"/>
      <c r="E12" s="9"/>
      <c r="F12" s="9"/>
      <c r="G12" s="9"/>
      <c r="H12" s="9"/>
      <c r="I12" s="9"/>
      <c r="J12" s="9"/>
      <c r="K12" s="9"/>
      <c r="L12" s="9"/>
      <c r="M12" s="9"/>
      <c r="N12" s="9"/>
      <c r="O12" s="9"/>
      <c r="P12" s="9"/>
      <c r="Q12" s="9"/>
      <c r="R12" s="9"/>
      <c r="S12" s="9"/>
      <c r="T12" s="9"/>
      <c r="U12" s="9"/>
    </row>
    <row r="13" spans="1:21" x14ac:dyDescent="0.25">
      <c r="A13" s="9"/>
      <c r="B13" s="9"/>
      <c r="C13" s="9"/>
      <c r="D13" s="9"/>
      <c r="E13" s="9"/>
      <c r="F13" s="9"/>
      <c r="G13" s="9"/>
      <c r="H13" s="9"/>
      <c r="I13" s="9"/>
      <c r="J13" s="9"/>
      <c r="K13" s="9"/>
      <c r="L13" s="9"/>
      <c r="M13" s="9"/>
      <c r="N13" s="9"/>
      <c r="O13" s="9"/>
      <c r="P13" s="9"/>
      <c r="Q13" s="9"/>
      <c r="R13" s="9"/>
      <c r="S13" s="9"/>
      <c r="T13" s="9"/>
      <c r="U13" s="9"/>
    </row>
    <row r="14" spans="1:21" x14ac:dyDescent="0.25">
      <c r="A14" s="9"/>
      <c r="B14" s="9"/>
      <c r="C14" s="9"/>
      <c r="D14" s="9"/>
      <c r="E14" s="9"/>
      <c r="F14" s="9"/>
      <c r="G14" s="9"/>
      <c r="H14" s="9"/>
      <c r="I14" s="9"/>
      <c r="J14" s="9"/>
      <c r="K14" s="9"/>
      <c r="L14" s="9"/>
      <c r="M14" s="9"/>
      <c r="N14" s="9"/>
      <c r="O14" s="9"/>
      <c r="P14" s="9"/>
      <c r="Q14" s="9"/>
      <c r="R14" s="9"/>
      <c r="S14" s="9"/>
      <c r="T14" s="9"/>
      <c r="U14" s="9"/>
    </row>
    <row r="15" spans="1:21" x14ac:dyDescent="0.25">
      <c r="A15" s="9"/>
      <c r="B15" s="9"/>
      <c r="C15" s="9"/>
      <c r="D15" s="9"/>
      <c r="E15" s="9"/>
      <c r="F15" s="9"/>
      <c r="G15" s="9"/>
      <c r="H15" s="9"/>
      <c r="I15" s="9"/>
      <c r="J15" s="9"/>
      <c r="K15" s="9"/>
      <c r="L15" s="9"/>
      <c r="M15" s="9"/>
      <c r="N15" s="9"/>
      <c r="O15" s="9"/>
      <c r="P15" s="9"/>
      <c r="Q15" s="9"/>
      <c r="R15" s="9"/>
      <c r="S15" s="9"/>
      <c r="T15" s="9"/>
      <c r="U15" s="9"/>
    </row>
    <row r="16" spans="1:21" x14ac:dyDescent="0.25">
      <c r="A16" s="9"/>
      <c r="B16" s="9"/>
      <c r="C16" s="9"/>
      <c r="D16" s="9"/>
      <c r="E16" s="9"/>
      <c r="F16" s="9"/>
      <c r="G16" s="9"/>
      <c r="H16" s="9"/>
      <c r="I16" s="9"/>
      <c r="J16" s="9"/>
      <c r="K16" s="9"/>
      <c r="L16" s="9"/>
      <c r="M16" s="9"/>
      <c r="N16" s="9"/>
      <c r="O16" s="9"/>
      <c r="P16" s="9"/>
      <c r="Q16" s="9"/>
      <c r="R16" s="9"/>
      <c r="S16" s="9"/>
      <c r="T16" s="9"/>
      <c r="U16" s="9"/>
    </row>
    <row r="17" spans="1:21" x14ac:dyDescent="0.25">
      <c r="A17" s="9"/>
      <c r="B17" s="9"/>
      <c r="C17" s="9"/>
      <c r="D17" s="9"/>
      <c r="E17" s="9"/>
      <c r="F17" s="9"/>
      <c r="G17" s="9"/>
      <c r="H17" s="9"/>
      <c r="I17" s="9"/>
      <c r="J17" s="9"/>
      <c r="K17" s="9"/>
      <c r="L17" s="9"/>
      <c r="M17" s="9"/>
      <c r="N17" s="9"/>
      <c r="O17" s="9"/>
      <c r="P17" s="9"/>
      <c r="Q17" s="9"/>
      <c r="R17" s="9"/>
      <c r="S17" s="9"/>
      <c r="T17" s="9"/>
      <c r="U17" s="9"/>
    </row>
    <row r="18" spans="1:21" x14ac:dyDescent="0.25">
      <c r="A18" s="9"/>
      <c r="B18" s="9"/>
      <c r="C18" s="9"/>
      <c r="D18" s="9"/>
      <c r="E18" s="9"/>
      <c r="F18" s="9"/>
      <c r="G18" s="9"/>
      <c r="H18" s="9"/>
      <c r="I18" s="9"/>
      <c r="J18" s="9"/>
      <c r="K18" s="9"/>
      <c r="L18" s="9"/>
      <c r="M18" s="9"/>
      <c r="N18" s="9"/>
      <c r="O18" s="9"/>
      <c r="P18" s="9"/>
      <c r="Q18" s="9"/>
      <c r="R18" s="9"/>
      <c r="S18" s="9"/>
      <c r="T18" s="9"/>
      <c r="U18" s="9"/>
    </row>
    <row r="19" spans="1:21" x14ac:dyDescent="0.25">
      <c r="A19" s="9"/>
      <c r="B19" s="9"/>
      <c r="C19" s="9"/>
      <c r="D19" s="9"/>
      <c r="E19" s="9"/>
      <c r="F19" s="9"/>
      <c r="G19" s="9"/>
      <c r="H19" s="9"/>
      <c r="I19" s="9"/>
      <c r="J19" s="9"/>
      <c r="K19" s="9"/>
      <c r="L19" s="9"/>
      <c r="M19" s="9"/>
      <c r="N19" s="9"/>
      <c r="O19" s="9"/>
      <c r="P19" s="9"/>
      <c r="Q19" s="9"/>
      <c r="R19" s="9"/>
      <c r="S19" s="9"/>
      <c r="T19" s="9"/>
      <c r="U19" s="9"/>
    </row>
    <row r="20" spans="1:21" x14ac:dyDescent="0.25">
      <c r="A20" s="9"/>
      <c r="B20" s="9"/>
      <c r="C20" s="9"/>
      <c r="D20" s="9"/>
      <c r="E20" s="9"/>
      <c r="F20" s="9"/>
      <c r="G20" s="9"/>
      <c r="H20" s="9"/>
      <c r="I20" s="9"/>
      <c r="J20" s="9"/>
      <c r="K20" s="9"/>
      <c r="L20" s="9"/>
      <c r="M20" s="9"/>
      <c r="N20" s="9"/>
      <c r="O20" s="9"/>
      <c r="P20" s="9"/>
      <c r="Q20" s="9"/>
      <c r="R20" s="9"/>
      <c r="S20" s="9"/>
      <c r="T20" s="9"/>
      <c r="U20" s="9"/>
    </row>
    <row r="21" spans="1:21" x14ac:dyDescent="0.25">
      <c r="A21" s="9"/>
      <c r="B21" s="9"/>
      <c r="C21" s="9"/>
      <c r="D21" s="9"/>
      <c r="E21" s="9"/>
      <c r="F21" s="9"/>
      <c r="G21" s="9"/>
      <c r="H21" s="9"/>
      <c r="I21" s="9"/>
      <c r="J21" s="9"/>
      <c r="K21" s="9"/>
      <c r="L21" s="9"/>
      <c r="M21" s="9"/>
      <c r="N21" s="9"/>
      <c r="O21" s="9"/>
      <c r="P21" s="9"/>
      <c r="Q21" s="9"/>
      <c r="R21" s="9"/>
      <c r="S21" s="9"/>
      <c r="T21" s="9"/>
      <c r="U21" s="9"/>
    </row>
    <row r="22" spans="1:21" x14ac:dyDescent="0.25">
      <c r="A22" s="9"/>
      <c r="B22" s="9"/>
      <c r="C22" s="9"/>
      <c r="D22" s="9"/>
      <c r="E22" s="9"/>
      <c r="F22" s="9"/>
      <c r="G22" s="9"/>
      <c r="H22" s="9"/>
      <c r="I22" s="9"/>
      <c r="J22" s="9"/>
      <c r="K22" s="9"/>
      <c r="L22" s="9"/>
      <c r="M22" s="9"/>
      <c r="N22" s="9"/>
      <c r="O22" s="9"/>
      <c r="P22" s="9"/>
      <c r="Q22" s="9"/>
      <c r="R22" s="9"/>
      <c r="S22" s="9"/>
      <c r="T22" s="9"/>
      <c r="U22" s="9"/>
    </row>
    <row r="23" spans="1:21" x14ac:dyDescent="0.25">
      <c r="A23" s="9"/>
      <c r="B23" s="9"/>
      <c r="C23" s="9"/>
      <c r="D23" s="9"/>
      <c r="E23" s="9"/>
      <c r="F23" s="9"/>
      <c r="G23" s="9"/>
      <c r="H23" s="9"/>
      <c r="I23" s="9"/>
      <c r="J23" s="9"/>
      <c r="K23" s="9"/>
      <c r="L23" s="9"/>
      <c r="M23" s="9"/>
      <c r="N23" s="9"/>
      <c r="O23" s="9"/>
      <c r="P23" s="9"/>
      <c r="Q23" s="9"/>
      <c r="R23" s="9"/>
      <c r="S23" s="9"/>
      <c r="T23" s="9"/>
      <c r="U23" s="9"/>
    </row>
    <row r="24" spans="1:21" x14ac:dyDescent="0.25">
      <c r="A24" s="9"/>
      <c r="B24" s="9"/>
      <c r="C24" s="9"/>
      <c r="D24" s="9"/>
      <c r="E24" s="9"/>
      <c r="F24" s="9"/>
      <c r="G24" s="9"/>
      <c r="H24" s="9"/>
      <c r="I24" s="9"/>
      <c r="J24" s="9"/>
      <c r="K24" s="9"/>
      <c r="L24" s="9"/>
      <c r="M24" s="9"/>
      <c r="N24" s="9"/>
      <c r="O24" s="9"/>
      <c r="P24" s="9"/>
      <c r="Q24" s="9"/>
      <c r="R24" s="9"/>
      <c r="S24" s="9"/>
      <c r="T24" s="9"/>
      <c r="U24" s="9"/>
    </row>
    <row r="25" spans="1:21" x14ac:dyDescent="0.25">
      <c r="A25" s="9"/>
      <c r="B25" s="9"/>
      <c r="C25" s="9"/>
      <c r="D25" s="9"/>
      <c r="E25" s="9"/>
      <c r="F25" s="9"/>
      <c r="G25" s="9"/>
      <c r="H25" s="9"/>
      <c r="I25" s="9"/>
      <c r="J25" s="9"/>
      <c r="K25" s="9"/>
      <c r="L25" s="9"/>
      <c r="M25" s="9"/>
      <c r="N25" s="9"/>
      <c r="O25" s="9"/>
      <c r="P25" s="9"/>
      <c r="Q25" s="9"/>
      <c r="R25" s="9"/>
      <c r="S25" s="9"/>
      <c r="T25" s="9"/>
      <c r="U25" s="9"/>
    </row>
    <row r="26" spans="1:21" x14ac:dyDescent="0.25">
      <c r="A26" s="9"/>
      <c r="B26" s="9"/>
      <c r="C26" s="9"/>
      <c r="D26" s="9"/>
      <c r="E26" s="9"/>
      <c r="F26" s="9"/>
      <c r="G26" s="9"/>
      <c r="H26" s="9"/>
      <c r="I26" s="9"/>
      <c r="J26" s="9"/>
      <c r="K26" s="9"/>
      <c r="L26" s="9"/>
      <c r="M26" s="9"/>
      <c r="N26" s="9"/>
      <c r="O26" s="9"/>
      <c r="P26" s="9"/>
      <c r="Q26" s="9"/>
      <c r="R26" s="9"/>
      <c r="S26" s="9"/>
      <c r="T26" s="9"/>
      <c r="U26" s="9"/>
    </row>
    <row r="27" spans="1:21" x14ac:dyDescent="0.25">
      <c r="A27" s="9"/>
      <c r="B27" s="9"/>
      <c r="C27" s="9"/>
      <c r="D27" s="9"/>
      <c r="E27" s="9"/>
      <c r="F27" s="9"/>
      <c r="G27" s="9"/>
      <c r="H27" s="9"/>
      <c r="I27" s="9"/>
      <c r="J27" s="9"/>
      <c r="K27" s="9"/>
      <c r="L27" s="9"/>
      <c r="M27" s="9"/>
      <c r="N27" s="9"/>
      <c r="O27" s="9"/>
      <c r="P27" s="9"/>
      <c r="Q27" s="9"/>
      <c r="R27" s="9"/>
      <c r="S27" s="9"/>
      <c r="T27" s="9"/>
      <c r="U27" s="9"/>
    </row>
    <row r="28" spans="1:21" x14ac:dyDescent="0.25">
      <c r="A28" s="9"/>
      <c r="B28" s="9"/>
      <c r="C28" s="9"/>
      <c r="D28" s="9"/>
      <c r="E28" s="9"/>
      <c r="F28" s="9"/>
      <c r="G28" s="9"/>
      <c r="H28" s="9"/>
      <c r="I28" s="9"/>
      <c r="J28" s="9"/>
      <c r="K28" s="9"/>
      <c r="L28" s="9"/>
      <c r="M28" s="9"/>
      <c r="N28" s="9"/>
      <c r="O28" s="9"/>
      <c r="P28" s="9"/>
      <c r="Q28" s="9"/>
      <c r="R28" s="9"/>
      <c r="S28" s="9"/>
      <c r="T28" s="9"/>
      <c r="U28" s="9"/>
    </row>
    <row r="29" spans="1:21" x14ac:dyDescent="0.25">
      <c r="A29" s="9"/>
      <c r="B29" s="9"/>
      <c r="C29" s="9"/>
      <c r="D29" s="9"/>
      <c r="E29" s="9"/>
      <c r="F29" s="9"/>
      <c r="G29" s="9"/>
      <c r="H29" s="9"/>
      <c r="I29" s="9"/>
      <c r="J29" s="9"/>
      <c r="K29" s="9"/>
      <c r="L29" s="9"/>
      <c r="M29" s="9"/>
      <c r="N29" s="9"/>
      <c r="O29" s="9"/>
      <c r="P29" s="9"/>
      <c r="Q29" s="9"/>
      <c r="R29" s="9"/>
      <c r="S29" s="9"/>
      <c r="T29" s="9"/>
      <c r="U29" s="9"/>
    </row>
    <row r="30" spans="1:21" x14ac:dyDescent="0.25">
      <c r="A30" s="9"/>
      <c r="B30" s="9"/>
      <c r="C30" s="9"/>
      <c r="D30" s="9"/>
      <c r="E30" s="9"/>
      <c r="F30" s="9"/>
      <c r="G30" s="9"/>
      <c r="H30" s="9"/>
      <c r="I30" s="9"/>
      <c r="J30" s="9"/>
      <c r="K30" s="9"/>
      <c r="L30" s="9"/>
      <c r="M30" s="9"/>
      <c r="N30" s="9"/>
      <c r="O30" s="9"/>
      <c r="P30" s="9"/>
      <c r="Q30" s="9"/>
      <c r="R30" s="9"/>
      <c r="S30" s="9"/>
      <c r="T30" s="9"/>
      <c r="U30" s="9"/>
    </row>
    <row r="31" spans="1:21" x14ac:dyDescent="0.25">
      <c r="A31" s="9"/>
      <c r="B31" s="9"/>
      <c r="C31" s="9"/>
      <c r="D31" s="9"/>
      <c r="E31" s="9"/>
      <c r="F31" s="9"/>
      <c r="G31" s="9"/>
      <c r="H31" s="9"/>
      <c r="I31" s="9"/>
      <c r="J31" s="9"/>
      <c r="K31" s="9"/>
      <c r="L31" s="9"/>
      <c r="M31" s="9"/>
      <c r="N31" s="9"/>
      <c r="O31" s="9"/>
      <c r="P31" s="9"/>
      <c r="Q31" s="9"/>
      <c r="R31" s="9"/>
      <c r="S31" s="9"/>
      <c r="T31" s="9"/>
      <c r="U31" s="9"/>
    </row>
    <row r="32" spans="1:21" x14ac:dyDescent="0.25">
      <c r="A32" s="9"/>
      <c r="B32" s="9"/>
      <c r="C32" s="9"/>
      <c r="D32" s="9"/>
      <c r="E32" s="9"/>
      <c r="F32" s="9"/>
      <c r="G32" s="9"/>
      <c r="H32" s="9"/>
      <c r="I32" s="9"/>
      <c r="J32" s="9"/>
      <c r="K32" s="9"/>
      <c r="L32" s="9"/>
      <c r="M32" s="9"/>
      <c r="N32" s="9"/>
      <c r="O32" s="9"/>
      <c r="P32" s="9"/>
      <c r="Q32" s="9"/>
      <c r="R32" s="9"/>
      <c r="S32" s="9"/>
      <c r="T32" s="9"/>
      <c r="U32" s="9"/>
    </row>
    <row r="33" spans="1:21" x14ac:dyDescent="0.25">
      <c r="A33" s="9"/>
      <c r="B33" s="9"/>
      <c r="C33" s="9"/>
      <c r="D33" s="9"/>
      <c r="E33" s="9"/>
      <c r="F33" s="9"/>
      <c r="G33" s="9"/>
      <c r="H33" s="9"/>
      <c r="I33" s="9"/>
      <c r="J33" s="9"/>
      <c r="K33" s="9"/>
      <c r="L33" s="9"/>
      <c r="M33" s="9"/>
      <c r="N33" s="9"/>
      <c r="O33" s="9"/>
      <c r="P33" s="9"/>
      <c r="Q33" s="9"/>
      <c r="R33" s="9"/>
      <c r="S33" s="9"/>
      <c r="T33" s="9"/>
      <c r="U33" s="9"/>
    </row>
    <row r="34" spans="1:21" x14ac:dyDescent="0.25">
      <c r="A34" s="9"/>
      <c r="B34" s="9"/>
      <c r="C34" s="9"/>
      <c r="D34" s="9"/>
      <c r="E34" s="9"/>
      <c r="F34" s="9"/>
      <c r="G34" s="9"/>
      <c r="H34" s="9"/>
      <c r="I34" s="9"/>
      <c r="J34" s="9"/>
      <c r="K34" s="9"/>
      <c r="L34" s="9"/>
      <c r="M34" s="9"/>
      <c r="N34" s="9"/>
      <c r="O34" s="9"/>
      <c r="P34" s="9"/>
      <c r="Q34" s="9"/>
      <c r="R34" s="9"/>
      <c r="S34" s="9"/>
      <c r="T34" s="9"/>
      <c r="U34" s="9"/>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B38E9-5A1A-49E3-B29B-A0613AFCCDED}">
  <sheetPr codeName="Sheet27"/>
  <dimension ref="A1:U34"/>
  <sheetViews>
    <sheetView showRowColHeaders="0" workbookViewId="0">
      <selection activeCell="I28" sqref="I28"/>
    </sheetView>
  </sheetViews>
  <sheetFormatPr defaultRowHeight="15" x14ac:dyDescent="0.25"/>
  <sheetData>
    <row r="1" spans="1:21" x14ac:dyDescent="0.25">
      <c r="A1" s="9"/>
      <c r="B1" s="9"/>
      <c r="C1" s="9"/>
      <c r="D1" s="9"/>
      <c r="E1" s="9"/>
      <c r="F1" s="9"/>
      <c r="G1" s="9"/>
      <c r="H1" s="9"/>
      <c r="I1" s="9"/>
      <c r="J1" s="9"/>
      <c r="K1" s="9"/>
      <c r="L1" s="9"/>
      <c r="M1" s="9"/>
      <c r="N1" s="9"/>
      <c r="O1" s="9"/>
      <c r="P1" s="9"/>
      <c r="Q1" s="9"/>
      <c r="R1" s="9"/>
      <c r="S1" s="9"/>
      <c r="T1" s="9"/>
      <c r="U1" s="9"/>
    </row>
    <row r="2" spans="1:21" x14ac:dyDescent="0.25">
      <c r="A2" s="9"/>
      <c r="B2" s="9"/>
      <c r="C2" s="9"/>
      <c r="D2" s="9"/>
      <c r="E2" s="9"/>
      <c r="F2" s="9"/>
      <c r="G2" s="9"/>
      <c r="H2" s="9"/>
      <c r="I2" s="9"/>
      <c r="J2" s="9"/>
      <c r="K2" s="9"/>
      <c r="L2" s="9"/>
      <c r="M2" s="9"/>
      <c r="N2" s="9"/>
      <c r="O2" s="9"/>
      <c r="P2" s="9"/>
      <c r="Q2" s="9"/>
      <c r="R2" s="9"/>
      <c r="S2" s="9"/>
      <c r="T2" s="9"/>
      <c r="U2" s="9"/>
    </row>
    <row r="3" spans="1:21" x14ac:dyDescent="0.25">
      <c r="A3" s="9"/>
      <c r="B3" s="9"/>
      <c r="C3" s="9"/>
      <c r="D3" s="9"/>
      <c r="E3" s="9"/>
      <c r="F3" s="9"/>
      <c r="G3" s="9"/>
      <c r="H3" s="9"/>
      <c r="I3" s="9"/>
      <c r="J3" s="9"/>
      <c r="K3" s="9"/>
      <c r="L3" s="9"/>
      <c r="M3" s="9"/>
      <c r="N3" s="9"/>
      <c r="O3" s="9"/>
      <c r="P3" s="9"/>
      <c r="Q3" s="9"/>
      <c r="R3" s="9"/>
      <c r="S3" s="9"/>
      <c r="T3" s="9"/>
      <c r="U3" s="9"/>
    </row>
    <row r="4" spans="1:21" x14ac:dyDescent="0.25">
      <c r="A4" s="9"/>
      <c r="B4" s="9"/>
      <c r="C4" s="9"/>
      <c r="D4" s="9"/>
      <c r="E4" s="9"/>
      <c r="F4" s="9"/>
      <c r="G4" s="9"/>
      <c r="H4" s="9"/>
      <c r="I4" s="9"/>
      <c r="J4" s="9"/>
      <c r="K4" s="9"/>
      <c r="L4" s="9"/>
      <c r="M4" s="9"/>
      <c r="N4" s="9"/>
      <c r="O4" s="9"/>
      <c r="P4" s="9"/>
      <c r="Q4" s="9"/>
      <c r="R4" s="9"/>
      <c r="S4" s="9"/>
      <c r="T4" s="9"/>
      <c r="U4" s="9"/>
    </row>
    <row r="5" spans="1:21" x14ac:dyDescent="0.25">
      <c r="A5" s="9"/>
      <c r="B5" s="9"/>
      <c r="C5" s="9"/>
      <c r="D5" s="9"/>
      <c r="E5" s="9"/>
      <c r="F5" s="9"/>
      <c r="G5" s="9"/>
      <c r="H5" s="9"/>
      <c r="I5" s="9"/>
      <c r="J5" s="9"/>
      <c r="K5" s="9"/>
      <c r="L5" s="9"/>
      <c r="M5" s="9"/>
      <c r="N5" s="9"/>
      <c r="O5" s="9"/>
      <c r="P5" s="9"/>
      <c r="Q5" s="9"/>
      <c r="R5" s="9"/>
      <c r="S5" s="9"/>
      <c r="T5" s="9"/>
      <c r="U5" s="9"/>
    </row>
    <row r="6" spans="1:21" x14ac:dyDescent="0.25">
      <c r="A6" s="9"/>
      <c r="B6" s="9"/>
      <c r="C6" s="9"/>
      <c r="D6" s="9"/>
      <c r="E6" s="9"/>
      <c r="F6" s="9"/>
      <c r="G6" s="9"/>
      <c r="H6" s="9"/>
      <c r="I6" s="9"/>
      <c r="J6" s="9"/>
      <c r="K6" s="9"/>
      <c r="L6" s="9"/>
      <c r="M6" s="9"/>
      <c r="N6" s="9"/>
      <c r="O6" s="9"/>
      <c r="P6" s="9"/>
      <c r="Q6" s="9"/>
      <c r="R6" s="9"/>
      <c r="S6" s="9"/>
      <c r="T6" s="9"/>
      <c r="U6" s="9"/>
    </row>
    <row r="7" spans="1:21" x14ac:dyDescent="0.25">
      <c r="A7" s="9"/>
      <c r="B7" s="9"/>
      <c r="C7" s="9"/>
      <c r="D7" s="9"/>
      <c r="E7" s="9"/>
      <c r="F7" s="9"/>
      <c r="G7" s="9"/>
      <c r="H7" s="9"/>
      <c r="I7" s="9"/>
      <c r="J7" s="9"/>
      <c r="K7" s="9"/>
      <c r="L7" s="9"/>
      <c r="M7" s="9"/>
      <c r="N7" s="9"/>
      <c r="O7" s="9"/>
      <c r="P7" s="9"/>
      <c r="Q7" s="9"/>
      <c r="R7" s="9"/>
      <c r="S7" s="9"/>
      <c r="T7" s="9"/>
      <c r="U7" s="9"/>
    </row>
    <row r="8" spans="1:21" x14ac:dyDescent="0.25">
      <c r="A8" s="9"/>
      <c r="B8" s="9"/>
      <c r="C8" s="9"/>
      <c r="D8" s="9"/>
      <c r="E8" s="9"/>
      <c r="F8" s="9"/>
      <c r="G8" s="9"/>
      <c r="H8" s="9"/>
      <c r="I8" s="9"/>
      <c r="J8" s="9"/>
      <c r="K8" s="9"/>
      <c r="L8" s="9"/>
      <c r="M8" s="9"/>
      <c r="N8" s="9"/>
      <c r="O8" s="9"/>
      <c r="P8" s="9"/>
      <c r="Q8" s="9"/>
      <c r="R8" s="9"/>
      <c r="S8" s="9"/>
      <c r="T8" s="9"/>
      <c r="U8" s="9"/>
    </row>
    <row r="9" spans="1:21" x14ac:dyDescent="0.25">
      <c r="A9" s="9"/>
      <c r="B9" s="9"/>
      <c r="C9" s="9"/>
      <c r="D9" s="9"/>
      <c r="E9" s="9"/>
      <c r="F9" s="9"/>
      <c r="G9" s="9"/>
      <c r="H9" s="9"/>
      <c r="I9" s="9"/>
      <c r="J9" s="9"/>
      <c r="K9" s="9"/>
      <c r="L9" s="9"/>
      <c r="M9" s="9"/>
      <c r="N9" s="9"/>
      <c r="O9" s="9"/>
      <c r="P9" s="9"/>
      <c r="Q9" s="9"/>
      <c r="R9" s="9"/>
      <c r="S9" s="9"/>
      <c r="T9" s="9"/>
      <c r="U9" s="9"/>
    </row>
    <row r="10" spans="1:21" x14ac:dyDescent="0.25">
      <c r="A10" s="9"/>
      <c r="B10" s="9"/>
      <c r="C10" s="9"/>
      <c r="D10" s="9"/>
      <c r="E10" s="9"/>
      <c r="F10" s="9"/>
      <c r="G10" s="9"/>
      <c r="H10" s="9"/>
      <c r="I10" s="9"/>
      <c r="J10" s="9"/>
      <c r="K10" s="9"/>
      <c r="L10" s="9"/>
      <c r="M10" s="9"/>
      <c r="N10" s="9"/>
      <c r="O10" s="9"/>
      <c r="P10" s="9"/>
      <c r="Q10" s="9"/>
      <c r="R10" s="9"/>
      <c r="S10" s="9"/>
      <c r="T10" s="9"/>
      <c r="U10" s="9"/>
    </row>
    <row r="11" spans="1:21" x14ac:dyDescent="0.25">
      <c r="A11" s="9"/>
      <c r="B11" s="9"/>
      <c r="C11" s="9"/>
      <c r="D11" s="9"/>
      <c r="E11" s="9"/>
      <c r="F11" s="9"/>
      <c r="G11" s="9"/>
      <c r="H11" s="9"/>
      <c r="I11" s="9"/>
      <c r="J11" s="9"/>
      <c r="K11" s="9"/>
      <c r="L11" s="9"/>
      <c r="M11" s="9"/>
      <c r="N11" s="9"/>
      <c r="O11" s="9"/>
      <c r="P11" s="9"/>
      <c r="Q11" s="9"/>
      <c r="R11" s="9"/>
      <c r="S11" s="9"/>
      <c r="T11" s="9"/>
      <c r="U11" s="9"/>
    </row>
    <row r="12" spans="1:21" x14ac:dyDescent="0.25">
      <c r="A12" s="9"/>
      <c r="B12" s="9"/>
      <c r="C12" s="9"/>
      <c r="D12" s="9"/>
      <c r="E12" s="9"/>
      <c r="F12" s="9"/>
      <c r="G12" s="9"/>
      <c r="H12" s="9"/>
      <c r="I12" s="9"/>
      <c r="J12" s="9"/>
      <c r="K12" s="9"/>
      <c r="L12" s="9"/>
      <c r="M12" s="9"/>
      <c r="N12" s="9"/>
      <c r="O12" s="9"/>
      <c r="P12" s="9"/>
      <c r="Q12" s="9"/>
      <c r="R12" s="9"/>
      <c r="S12" s="9"/>
      <c r="T12" s="9"/>
      <c r="U12" s="9"/>
    </row>
    <row r="13" spans="1:21" x14ac:dyDescent="0.25">
      <c r="A13" s="9"/>
      <c r="B13" s="9"/>
      <c r="C13" s="9"/>
      <c r="D13" s="9"/>
      <c r="E13" s="9"/>
      <c r="F13" s="9"/>
      <c r="G13" s="9"/>
      <c r="H13" s="9"/>
      <c r="I13" s="9"/>
      <c r="J13" s="9"/>
      <c r="K13" s="9"/>
      <c r="L13" s="9"/>
      <c r="M13" s="9"/>
      <c r="N13" s="9"/>
      <c r="O13" s="9"/>
      <c r="P13" s="9"/>
      <c r="Q13" s="9"/>
      <c r="R13" s="9"/>
      <c r="S13" s="9"/>
      <c r="T13" s="9"/>
      <c r="U13" s="9"/>
    </row>
    <row r="14" spans="1:21" x14ac:dyDescent="0.25">
      <c r="A14" s="9"/>
      <c r="B14" s="9"/>
      <c r="C14" s="9"/>
      <c r="D14" s="9"/>
      <c r="E14" s="9"/>
      <c r="F14" s="9"/>
      <c r="G14" s="9"/>
      <c r="H14" s="9"/>
      <c r="I14" s="9"/>
      <c r="J14" s="9"/>
      <c r="K14" s="9"/>
      <c r="L14" s="9"/>
      <c r="M14" s="9"/>
      <c r="N14" s="9"/>
      <c r="O14" s="9"/>
      <c r="P14" s="9"/>
      <c r="Q14" s="9"/>
      <c r="R14" s="9"/>
      <c r="S14" s="9"/>
      <c r="T14" s="9"/>
      <c r="U14" s="9"/>
    </row>
    <row r="15" spans="1:21" x14ac:dyDescent="0.25">
      <c r="A15" s="9"/>
      <c r="B15" s="9"/>
      <c r="C15" s="9"/>
      <c r="D15" s="9"/>
      <c r="E15" s="9"/>
      <c r="F15" s="9"/>
      <c r="G15" s="9"/>
      <c r="H15" s="9"/>
      <c r="I15" s="9"/>
      <c r="J15" s="9"/>
      <c r="K15" s="9"/>
      <c r="L15" s="9"/>
      <c r="M15" s="9"/>
      <c r="N15" s="9"/>
      <c r="O15" s="9"/>
      <c r="P15" s="9"/>
      <c r="Q15" s="9"/>
      <c r="R15" s="9"/>
      <c r="S15" s="9"/>
      <c r="T15" s="9"/>
      <c r="U15" s="9"/>
    </row>
    <row r="16" spans="1:21" x14ac:dyDescent="0.25">
      <c r="A16" s="9"/>
      <c r="B16" s="9"/>
      <c r="C16" s="9"/>
      <c r="D16" s="9"/>
      <c r="E16" s="9"/>
      <c r="F16" s="9"/>
      <c r="G16" s="9"/>
      <c r="H16" s="9"/>
      <c r="I16" s="9"/>
      <c r="J16" s="9"/>
      <c r="K16" s="9"/>
      <c r="L16" s="9"/>
      <c r="M16" s="9"/>
      <c r="N16" s="9"/>
      <c r="O16" s="9"/>
      <c r="P16" s="9"/>
      <c r="Q16" s="9"/>
      <c r="R16" s="9"/>
      <c r="S16" s="9"/>
      <c r="T16" s="9"/>
      <c r="U16" s="9"/>
    </row>
    <row r="17" spans="1:21" x14ac:dyDescent="0.25">
      <c r="A17" s="9"/>
      <c r="B17" s="9"/>
      <c r="C17" s="9"/>
      <c r="D17" s="9"/>
      <c r="E17" s="9"/>
      <c r="F17" s="9"/>
      <c r="G17" s="9"/>
      <c r="H17" s="9"/>
      <c r="I17" s="9"/>
      <c r="J17" s="9"/>
      <c r="K17" s="9"/>
      <c r="L17" s="9"/>
      <c r="M17" s="9"/>
      <c r="N17" s="9"/>
      <c r="O17" s="9"/>
      <c r="P17" s="9"/>
      <c r="Q17" s="9"/>
      <c r="R17" s="9"/>
      <c r="S17" s="9"/>
      <c r="T17" s="9"/>
      <c r="U17" s="9"/>
    </row>
    <row r="18" spans="1:21" x14ac:dyDescent="0.25">
      <c r="A18" s="9"/>
      <c r="B18" s="9"/>
      <c r="C18" s="9"/>
      <c r="D18" s="9"/>
      <c r="E18" s="9"/>
      <c r="F18" s="9"/>
      <c r="G18" s="9"/>
      <c r="H18" s="9"/>
      <c r="I18" s="9"/>
      <c r="J18" s="9"/>
      <c r="K18" s="9"/>
      <c r="L18" s="9"/>
      <c r="M18" s="9"/>
      <c r="N18" s="9"/>
      <c r="O18" s="9"/>
      <c r="P18" s="9"/>
      <c r="Q18" s="9"/>
      <c r="R18" s="9"/>
      <c r="S18" s="9"/>
      <c r="T18" s="9"/>
      <c r="U18" s="9"/>
    </row>
    <row r="19" spans="1:21" x14ac:dyDescent="0.25">
      <c r="A19" s="9"/>
      <c r="B19" s="9"/>
      <c r="C19" s="9"/>
      <c r="D19" s="9"/>
      <c r="E19" s="9"/>
      <c r="F19" s="9"/>
      <c r="G19" s="9"/>
      <c r="H19" s="9"/>
      <c r="I19" s="9"/>
      <c r="J19" s="9"/>
      <c r="K19" s="9"/>
      <c r="L19" s="9"/>
      <c r="M19" s="9"/>
      <c r="N19" s="9"/>
      <c r="O19" s="9"/>
      <c r="P19" s="9"/>
      <c r="Q19" s="9"/>
      <c r="R19" s="9"/>
      <c r="S19" s="9"/>
      <c r="T19" s="9"/>
      <c r="U19" s="9"/>
    </row>
    <row r="20" spans="1:21" x14ac:dyDescent="0.25">
      <c r="A20" s="9"/>
      <c r="B20" s="9"/>
      <c r="C20" s="9"/>
      <c r="D20" s="9"/>
      <c r="E20" s="9"/>
      <c r="F20" s="9"/>
      <c r="G20" s="9"/>
      <c r="H20" s="9"/>
      <c r="I20" s="9"/>
      <c r="J20" s="9"/>
      <c r="K20" s="9"/>
      <c r="L20" s="9"/>
      <c r="M20" s="9"/>
      <c r="N20" s="9"/>
      <c r="O20" s="9"/>
      <c r="P20" s="9"/>
      <c r="Q20" s="9"/>
      <c r="R20" s="9"/>
      <c r="S20" s="9"/>
      <c r="T20" s="9"/>
      <c r="U20" s="9"/>
    </row>
    <row r="21" spans="1:21" x14ac:dyDescent="0.25">
      <c r="A21" s="9"/>
      <c r="B21" s="9"/>
      <c r="C21" s="9"/>
      <c r="D21" s="9"/>
      <c r="E21" s="9"/>
      <c r="F21" s="9"/>
      <c r="G21" s="9"/>
      <c r="H21" s="9"/>
      <c r="I21" s="9"/>
      <c r="J21" s="9"/>
      <c r="K21" s="9"/>
      <c r="L21" s="9"/>
      <c r="M21" s="9"/>
      <c r="N21" s="9"/>
      <c r="O21" s="9"/>
      <c r="P21" s="9"/>
      <c r="Q21" s="9"/>
      <c r="R21" s="9"/>
      <c r="S21" s="9"/>
      <c r="T21" s="9"/>
      <c r="U21" s="9"/>
    </row>
    <row r="22" spans="1:21" x14ac:dyDescent="0.25">
      <c r="A22" s="9"/>
      <c r="B22" s="9"/>
      <c r="C22" s="9"/>
      <c r="D22" s="9"/>
      <c r="E22" s="9"/>
      <c r="F22" s="9"/>
      <c r="G22" s="9"/>
      <c r="H22" s="9"/>
      <c r="I22" s="9"/>
      <c r="J22" s="9"/>
      <c r="K22" s="9"/>
      <c r="L22" s="9"/>
      <c r="M22" s="9"/>
      <c r="N22" s="9"/>
      <c r="O22" s="9"/>
      <c r="P22" s="9"/>
      <c r="Q22" s="9"/>
      <c r="R22" s="9"/>
      <c r="S22" s="9"/>
      <c r="T22" s="9"/>
      <c r="U22" s="9"/>
    </row>
    <row r="23" spans="1:21" x14ac:dyDescent="0.25">
      <c r="A23" s="9"/>
      <c r="B23" s="9"/>
      <c r="C23" s="9"/>
      <c r="D23" s="9"/>
      <c r="E23" s="9"/>
      <c r="F23" s="9"/>
      <c r="G23" s="9" t="s">
        <v>54</v>
      </c>
      <c r="H23" s="9"/>
      <c r="I23" s="9"/>
      <c r="J23" s="9"/>
      <c r="K23" s="9"/>
      <c r="L23" s="9"/>
      <c r="M23" s="9"/>
      <c r="N23" s="9"/>
      <c r="O23" s="9"/>
      <c r="P23" s="9"/>
      <c r="Q23" s="9"/>
      <c r="R23" s="9"/>
      <c r="S23" s="9"/>
      <c r="T23" s="9"/>
      <c r="U23" s="9"/>
    </row>
    <row r="24" spans="1:21" x14ac:dyDescent="0.25">
      <c r="A24" s="9"/>
      <c r="B24" s="9"/>
      <c r="C24" s="9"/>
      <c r="D24" s="9"/>
      <c r="E24" s="9"/>
      <c r="F24" s="9"/>
      <c r="G24" s="9"/>
      <c r="H24" s="9"/>
      <c r="I24" s="9"/>
      <c r="J24" s="9"/>
      <c r="K24" s="9"/>
      <c r="L24" s="9"/>
      <c r="M24" s="9"/>
      <c r="N24" s="9"/>
      <c r="O24" s="9"/>
      <c r="P24" s="9"/>
      <c r="Q24" s="9"/>
      <c r="R24" s="9"/>
      <c r="S24" s="9"/>
      <c r="T24" s="9"/>
      <c r="U24" s="9"/>
    </row>
    <row r="25" spans="1:21" x14ac:dyDescent="0.25">
      <c r="A25" s="9"/>
      <c r="B25" s="9"/>
      <c r="C25" s="9"/>
      <c r="D25" s="9"/>
      <c r="E25" s="9"/>
      <c r="F25" s="9"/>
      <c r="G25" s="9"/>
      <c r="H25" s="9"/>
      <c r="I25" s="9"/>
      <c r="J25" s="9"/>
      <c r="K25" s="9"/>
      <c r="L25" s="9"/>
      <c r="M25" s="9"/>
      <c r="N25" s="9"/>
      <c r="O25" s="9"/>
      <c r="P25" s="9"/>
      <c r="Q25" s="9"/>
      <c r="R25" s="9"/>
      <c r="S25" s="9"/>
      <c r="T25" s="9"/>
      <c r="U25" s="9"/>
    </row>
    <row r="26" spans="1:21" x14ac:dyDescent="0.25">
      <c r="A26" s="9"/>
      <c r="B26" s="9"/>
      <c r="C26" s="9"/>
      <c r="D26" s="9"/>
      <c r="E26" s="9"/>
      <c r="F26" s="9"/>
      <c r="G26" s="9"/>
      <c r="H26" s="9"/>
      <c r="I26" s="9"/>
      <c r="J26" s="9"/>
      <c r="K26" s="9"/>
      <c r="L26" s="9"/>
      <c r="M26" s="9"/>
      <c r="N26" s="9"/>
      <c r="O26" s="9"/>
      <c r="P26" s="9"/>
      <c r="Q26" s="9"/>
      <c r="R26" s="9"/>
      <c r="S26" s="9"/>
      <c r="T26" s="9"/>
      <c r="U26" s="9"/>
    </row>
    <row r="27" spans="1:21" x14ac:dyDescent="0.25">
      <c r="A27" s="9"/>
      <c r="B27" s="9"/>
      <c r="C27" s="9"/>
      <c r="D27" s="9"/>
      <c r="E27" s="9"/>
      <c r="F27" s="9"/>
      <c r="G27" s="9"/>
      <c r="H27" s="9"/>
      <c r="I27" s="9"/>
      <c r="J27" s="9"/>
      <c r="K27" s="9"/>
      <c r="L27" s="9"/>
      <c r="M27" s="9"/>
      <c r="N27" s="9"/>
      <c r="O27" s="9"/>
      <c r="P27" s="9"/>
      <c r="Q27" s="9"/>
      <c r="R27" s="9"/>
      <c r="S27" s="9"/>
      <c r="T27" s="9"/>
      <c r="U27" s="9"/>
    </row>
    <row r="28" spans="1:21" x14ac:dyDescent="0.25">
      <c r="A28" s="9"/>
      <c r="B28" s="9"/>
      <c r="C28" s="9"/>
      <c r="D28" s="9"/>
      <c r="E28" s="9"/>
      <c r="F28" s="9"/>
      <c r="G28" s="9"/>
      <c r="H28" s="9"/>
      <c r="I28" s="9"/>
      <c r="J28" s="9"/>
      <c r="K28" s="9"/>
      <c r="L28" s="9"/>
      <c r="M28" s="9"/>
      <c r="N28" s="9"/>
      <c r="O28" s="9"/>
      <c r="P28" s="9"/>
      <c r="Q28" s="9"/>
      <c r="R28" s="9"/>
      <c r="S28" s="9"/>
      <c r="T28" s="9"/>
      <c r="U28" s="9"/>
    </row>
    <row r="29" spans="1:21" x14ac:dyDescent="0.25">
      <c r="A29" s="9"/>
      <c r="B29" s="9"/>
      <c r="C29" s="9"/>
      <c r="D29" s="9"/>
      <c r="E29" s="9"/>
      <c r="F29" s="9"/>
      <c r="G29" s="9"/>
      <c r="H29" s="9"/>
      <c r="I29" s="9"/>
      <c r="J29" s="9"/>
      <c r="K29" s="9"/>
      <c r="L29" s="9"/>
      <c r="M29" s="9"/>
      <c r="N29" s="9"/>
      <c r="O29" s="9"/>
      <c r="P29" s="9"/>
      <c r="Q29" s="9"/>
      <c r="R29" s="9"/>
      <c r="S29" s="9"/>
      <c r="T29" s="9"/>
      <c r="U29" s="9"/>
    </row>
    <row r="30" spans="1:21" x14ac:dyDescent="0.25">
      <c r="A30" s="9"/>
      <c r="B30" s="9"/>
      <c r="C30" s="9"/>
      <c r="D30" s="9"/>
      <c r="E30" s="9"/>
      <c r="F30" s="9"/>
      <c r="G30" s="9"/>
      <c r="H30" s="9"/>
      <c r="I30" s="9"/>
      <c r="J30" s="9"/>
      <c r="K30" s="9"/>
      <c r="L30" s="9"/>
      <c r="M30" s="9"/>
      <c r="N30" s="9"/>
      <c r="O30" s="9"/>
      <c r="P30" s="9"/>
      <c r="Q30" s="9"/>
      <c r="R30" s="9"/>
      <c r="S30" s="9"/>
      <c r="T30" s="9"/>
      <c r="U30" s="9"/>
    </row>
    <row r="31" spans="1:21" x14ac:dyDescent="0.25">
      <c r="A31" s="9"/>
      <c r="B31" s="9"/>
      <c r="C31" s="9"/>
      <c r="D31" s="9"/>
      <c r="E31" s="9"/>
      <c r="F31" s="9"/>
      <c r="G31" s="9"/>
      <c r="H31" s="9"/>
      <c r="I31" s="9"/>
      <c r="J31" s="9"/>
      <c r="K31" s="9"/>
      <c r="L31" s="9"/>
      <c r="M31" s="9"/>
      <c r="N31" s="9"/>
      <c r="O31" s="9"/>
      <c r="P31" s="9"/>
      <c r="Q31" s="9"/>
      <c r="R31" s="9"/>
      <c r="S31" s="9"/>
      <c r="T31" s="9"/>
      <c r="U31" s="9"/>
    </row>
    <row r="32" spans="1:21" x14ac:dyDescent="0.25">
      <c r="A32" s="9"/>
      <c r="B32" s="9"/>
      <c r="C32" s="9"/>
      <c r="D32" s="9"/>
      <c r="E32" s="9"/>
      <c r="F32" s="9"/>
      <c r="G32" s="9"/>
      <c r="H32" s="9"/>
      <c r="I32" s="9"/>
      <c r="J32" s="9"/>
      <c r="K32" s="9"/>
      <c r="L32" s="9"/>
      <c r="M32" s="9"/>
      <c r="N32" s="9"/>
      <c r="O32" s="9"/>
      <c r="P32" s="9"/>
      <c r="Q32" s="9"/>
      <c r="R32" s="9"/>
      <c r="S32" s="9"/>
      <c r="T32" s="9"/>
      <c r="U32" s="9"/>
    </row>
    <row r="33" spans="1:21" x14ac:dyDescent="0.25">
      <c r="A33" s="9"/>
      <c r="B33" s="9"/>
      <c r="C33" s="9"/>
      <c r="D33" s="9"/>
      <c r="E33" s="9"/>
      <c r="F33" s="9"/>
      <c r="G33" s="9"/>
      <c r="H33" s="9"/>
      <c r="I33" s="9"/>
      <c r="J33" s="9"/>
      <c r="K33" s="9"/>
      <c r="L33" s="9"/>
      <c r="M33" s="9"/>
      <c r="N33" s="9"/>
      <c r="O33" s="9"/>
      <c r="P33" s="9"/>
      <c r="Q33" s="9"/>
      <c r="R33" s="9"/>
      <c r="S33" s="9"/>
      <c r="T33" s="9"/>
      <c r="U33" s="9"/>
    </row>
    <row r="34" spans="1:21" x14ac:dyDescent="0.25">
      <c r="A34" s="9"/>
      <c r="B34" s="9"/>
      <c r="C34" s="9"/>
      <c r="D34" s="9"/>
      <c r="E34" s="9"/>
      <c r="F34" s="9"/>
      <c r="G34" s="9"/>
      <c r="H34" s="9"/>
      <c r="I34" s="9"/>
      <c r="J34" s="9"/>
      <c r="K34" s="9"/>
      <c r="L34" s="9"/>
      <c r="M34" s="9"/>
      <c r="N34" s="9"/>
      <c r="O34" s="9"/>
      <c r="P34" s="9"/>
      <c r="Q34" s="9"/>
      <c r="R34" s="9"/>
      <c r="S34" s="9"/>
      <c r="T34" s="9"/>
      <c r="U34" s="9"/>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D554D-AA00-41EB-97FC-24540DD9A169}">
  <sheetPr codeName="Sheet28"/>
  <dimension ref="A1:N34"/>
  <sheetViews>
    <sheetView showRowColHeaders="0" tabSelected="1" workbookViewId="0">
      <selection activeCell="A21" sqref="A21"/>
    </sheetView>
  </sheetViews>
  <sheetFormatPr defaultRowHeight="15" x14ac:dyDescent="0.25"/>
  <cols>
    <col min="1" max="1" width="20.140625" customWidth="1"/>
    <col min="2" max="2" width="49.7109375" customWidth="1"/>
    <col min="3" max="3" width="27.7109375" customWidth="1"/>
  </cols>
  <sheetData>
    <row r="1" spans="1:14" x14ac:dyDescent="0.25">
      <c r="A1" s="9"/>
      <c r="B1" s="9"/>
      <c r="C1" s="9"/>
      <c r="D1" s="9"/>
      <c r="E1" s="9"/>
      <c r="F1" s="9"/>
      <c r="G1" s="9"/>
      <c r="H1" s="9"/>
      <c r="I1" s="9"/>
      <c r="J1" s="9"/>
      <c r="K1" s="9"/>
      <c r="L1" s="9"/>
      <c r="M1" s="9"/>
      <c r="N1" s="9"/>
    </row>
    <row r="2" spans="1:14" x14ac:dyDescent="0.25">
      <c r="A2" s="9"/>
      <c r="B2" s="9"/>
      <c r="C2" s="9"/>
      <c r="D2" s="9"/>
      <c r="E2" s="9"/>
      <c r="F2" s="9"/>
      <c r="G2" s="9"/>
      <c r="H2" s="9"/>
      <c r="I2" s="9"/>
      <c r="J2" s="9"/>
      <c r="K2" s="9"/>
      <c r="L2" s="9"/>
      <c r="M2" s="9"/>
      <c r="N2" s="9"/>
    </row>
    <row r="3" spans="1:14" x14ac:dyDescent="0.25">
      <c r="A3" s="9"/>
      <c r="B3" s="9"/>
      <c r="C3" s="9"/>
      <c r="D3" s="9"/>
      <c r="E3" s="9"/>
      <c r="F3" s="9"/>
      <c r="G3" s="9"/>
      <c r="H3" s="9"/>
      <c r="I3" s="9"/>
      <c r="J3" s="9"/>
      <c r="K3" s="9"/>
      <c r="L3" s="9"/>
      <c r="M3" s="9"/>
      <c r="N3" s="9"/>
    </row>
    <row r="4" spans="1:14" x14ac:dyDescent="0.25">
      <c r="A4" s="9"/>
      <c r="B4" s="9"/>
      <c r="C4" s="9"/>
      <c r="D4" s="9"/>
      <c r="E4" s="9"/>
      <c r="F4" s="9"/>
      <c r="G4" s="9"/>
      <c r="H4" s="9"/>
      <c r="I4" s="9"/>
      <c r="J4" s="9"/>
      <c r="K4" s="9"/>
      <c r="L4" s="9"/>
      <c r="M4" s="9"/>
      <c r="N4" s="9"/>
    </row>
    <row r="5" spans="1:14" x14ac:dyDescent="0.25">
      <c r="A5" s="9"/>
      <c r="B5" s="9"/>
      <c r="C5" s="9"/>
      <c r="D5" s="9"/>
      <c r="E5" s="9"/>
      <c r="F5" s="9"/>
      <c r="G5" s="9"/>
      <c r="H5" s="9"/>
      <c r="I5" s="9"/>
      <c r="J5" s="9"/>
      <c r="K5" s="9"/>
      <c r="L5" s="9"/>
      <c r="M5" s="9"/>
      <c r="N5" s="9"/>
    </row>
    <row r="6" spans="1:14" x14ac:dyDescent="0.25">
      <c r="A6" s="9"/>
      <c r="B6" s="9"/>
      <c r="C6" s="9"/>
      <c r="D6" s="9"/>
      <c r="E6" s="9"/>
      <c r="F6" s="9"/>
      <c r="G6" s="9"/>
      <c r="H6" s="9"/>
      <c r="I6" s="9"/>
      <c r="J6" s="9"/>
      <c r="K6" s="9"/>
      <c r="L6" s="9"/>
      <c r="M6" s="9"/>
      <c r="N6" s="9"/>
    </row>
    <row r="7" spans="1:14" ht="18.75" x14ac:dyDescent="0.3">
      <c r="A7" s="16" t="s">
        <v>32</v>
      </c>
      <c r="B7" s="16" t="s">
        <v>55</v>
      </c>
      <c r="C7" s="16" t="s">
        <v>56</v>
      </c>
      <c r="D7" s="9"/>
      <c r="E7" s="9"/>
      <c r="F7" s="9"/>
      <c r="G7" s="9"/>
      <c r="H7" s="9"/>
      <c r="I7" s="9"/>
      <c r="J7" s="9"/>
      <c r="K7" s="9"/>
      <c r="L7" s="9"/>
      <c r="M7" s="9"/>
      <c r="N7" s="9"/>
    </row>
    <row r="8" spans="1:14" x14ac:dyDescent="0.25">
      <c r="A8" s="7"/>
      <c r="B8" s="7"/>
      <c r="C8" s="7"/>
      <c r="D8" s="9"/>
      <c r="E8" s="9"/>
      <c r="F8" s="9"/>
      <c r="G8" s="9"/>
      <c r="H8" s="9"/>
      <c r="I8" s="9"/>
      <c r="J8" s="9"/>
      <c r="K8" s="9"/>
      <c r="L8" s="9"/>
      <c r="M8" s="9"/>
      <c r="N8" s="9"/>
    </row>
    <row r="9" spans="1:14" x14ac:dyDescent="0.25">
      <c r="A9" s="17" t="s">
        <v>0</v>
      </c>
      <c r="B9" s="7" t="s">
        <v>57</v>
      </c>
      <c r="C9" s="7" t="s">
        <v>65</v>
      </c>
      <c r="D9" s="9"/>
      <c r="E9" s="9"/>
      <c r="F9" s="9"/>
      <c r="G9" s="9"/>
      <c r="H9" s="9"/>
      <c r="I9" s="9"/>
      <c r="J9" s="9"/>
      <c r="K9" s="9"/>
      <c r="L9" s="9"/>
      <c r="M9" s="9"/>
      <c r="N9" s="9"/>
    </row>
    <row r="10" spans="1:14" x14ac:dyDescent="0.25">
      <c r="A10" s="7"/>
      <c r="B10" s="7"/>
      <c r="C10" s="7"/>
      <c r="D10" s="9"/>
      <c r="E10" s="9"/>
      <c r="F10" s="9"/>
      <c r="G10" s="9"/>
      <c r="H10" s="9"/>
      <c r="I10" s="9"/>
      <c r="J10" s="9"/>
      <c r="K10" s="9"/>
      <c r="L10" s="9"/>
      <c r="M10" s="9"/>
      <c r="N10" s="9"/>
    </row>
    <row r="11" spans="1:14" x14ac:dyDescent="0.25">
      <c r="A11" s="18" t="s">
        <v>1</v>
      </c>
      <c r="B11" s="7" t="s">
        <v>58</v>
      </c>
      <c r="C11" s="7" t="s">
        <v>66</v>
      </c>
      <c r="D11" s="9"/>
      <c r="E11" s="9"/>
      <c r="F11" s="9"/>
      <c r="G11" s="9"/>
      <c r="H11" s="9"/>
      <c r="I11" s="9"/>
      <c r="J11" s="9"/>
      <c r="K11" s="9"/>
      <c r="L11" s="9"/>
      <c r="M11" s="9"/>
      <c r="N11" s="9"/>
    </row>
    <row r="12" spans="1:14" x14ac:dyDescent="0.25">
      <c r="A12" s="7"/>
      <c r="B12" s="7"/>
      <c r="C12" s="7"/>
      <c r="D12" s="9"/>
      <c r="E12" s="9"/>
      <c r="F12" s="9"/>
      <c r="G12" s="9"/>
      <c r="H12" s="9"/>
      <c r="I12" s="9"/>
      <c r="J12" s="9"/>
      <c r="K12" s="9"/>
      <c r="L12" s="9"/>
      <c r="M12" s="9"/>
      <c r="N12" s="9"/>
    </row>
    <row r="13" spans="1:14" x14ac:dyDescent="0.25">
      <c r="A13" s="18" t="s">
        <v>2</v>
      </c>
      <c r="B13" s="7" t="s">
        <v>59</v>
      </c>
      <c r="C13" s="7" t="s">
        <v>67</v>
      </c>
      <c r="D13" s="9"/>
      <c r="E13" s="9"/>
      <c r="F13" s="9"/>
      <c r="G13" s="9"/>
      <c r="H13" s="9"/>
      <c r="I13" s="9"/>
      <c r="J13" s="9"/>
      <c r="K13" s="9"/>
      <c r="L13" s="9"/>
      <c r="M13" s="9"/>
      <c r="N13" s="9"/>
    </row>
    <row r="14" spans="1:14" x14ac:dyDescent="0.25">
      <c r="A14" s="7"/>
      <c r="B14" s="7"/>
      <c r="C14" s="7"/>
      <c r="D14" s="9"/>
      <c r="E14" s="9"/>
      <c r="F14" s="9"/>
      <c r="G14" s="9"/>
      <c r="H14" s="9"/>
      <c r="I14" s="9"/>
      <c r="J14" s="9"/>
      <c r="K14" s="9"/>
      <c r="L14" s="9"/>
      <c r="M14" s="9"/>
      <c r="N14" s="9"/>
    </row>
    <row r="15" spans="1:14" x14ac:dyDescent="0.25">
      <c r="A15" s="18" t="s">
        <v>3</v>
      </c>
      <c r="B15" s="7" t="s">
        <v>60</v>
      </c>
      <c r="C15" s="7" t="s">
        <v>68</v>
      </c>
      <c r="D15" s="9"/>
      <c r="E15" s="9"/>
      <c r="F15" s="9"/>
      <c r="G15" s="9"/>
      <c r="H15" s="9"/>
      <c r="I15" s="9"/>
      <c r="J15" s="9"/>
      <c r="K15" s="9"/>
      <c r="L15" s="9"/>
      <c r="M15" s="9"/>
      <c r="N15" s="9"/>
    </row>
    <row r="16" spans="1:14" x14ac:dyDescent="0.25">
      <c r="A16" s="7"/>
      <c r="B16" s="7"/>
      <c r="C16" s="7"/>
      <c r="D16" s="9"/>
      <c r="E16" s="9"/>
      <c r="F16" s="9"/>
      <c r="G16" s="9"/>
      <c r="H16" s="9"/>
      <c r="I16" s="9"/>
      <c r="J16" s="9"/>
      <c r="K16" s="9"/>
      <c r="L16" s="9"/>
      <c r="M16" s="9"/>
      <c r="N16" s="9"/>
    </row>
    <row r="17" spans="1:14" x14ac:dyDescent="0.25">
      <c r="A17" s="18" t="s">
        <v>4</v>
      </c>
      <c r="B17" s="7" t="s">
        <v>61</v>
      </c>
      <c r="C17" s="7" t="s">
        <v>69</v>
      </c>
      <c r="D17" s="9"/>
      <c r="E17" s="9"/>
      <c r="F17" s="9"/>
      <c r="G17" s="9"/>
      <c r="H17" s="9"/>
      <c r="I17" s="9"/>
      <c r="J17" s="9"/>
      <c r="K17" s="9"/>
      <c r="L17" s="9"/>
      <c r="M17" s="9"/>
      <c r="N17" s="9"/>
    </row>
    <row r="18" spans="1:14" x14ac:dyDescent="0.25">
      <c r="A18" s="7"/>
      <c r="B18" s="7"/>
      <c r="C18" s="7"/>
      <c r="D18" s="9"/>
      <c r="E18" s="9"/>
      <c r="F18" s="9"/>
      <c r="G18" s="9"/>
      <c r="H18" s="9"/>
      <c r="I18" s="9"/>
      <c r="J18" s="9"/>
      <c r="K18" s="9"/>
      <c r="L18" s="9"/>
      <c r="M18" s="9"/>
      <c r="N18" s="9"/>
    </row>
    <row r="19" spans="1:14" x14ac:dyDescent="0.25">
      <c r="A19" s="18" t="s">
        <v>5</v>
      </c>
      <c r="B19" s="7" t="s">
        <v>62</v>
      </c>
      <c r="C19" s="7" t="s">
        <v>70</v>
      </c>
      <c r="D19" s="9"/>
      <c r="E19" s="9"/>
      <c r="F19" s="9"/>
      <c r="G19" s="9"/>
      <c r="H19" s="9"/>
      <c r="I19" s="9"/>
      <c r="J19" s="9"/>
      <c r="K19" s="9"/>
      <c r="L19" s="9"/>
      <c r="M19" s="9"/>
      <c r="N19" s="9"/>
    </row>
    <row r="20" spans="1:14" x14ac:dyDescent="0.25">
      <c r="A20" s="7"/>
      <c r="B20" s="7"/>
      <c r="C20" s="7"/>
      <c r="D20" s="9"/>
      <c r="E20" s="9"/>
      <c r="F20" s="9"/>
      <c r="G20" s="9"/>
      <c r="H20" s="9"/>
      <c r="I20" s="9"/>
      <c r="J20" s="9"/>
      <c r="K20" s="9"/>
      <c r="L20" s="9"/>
      <c r="M20" s="9"/>
      <c r="N20" s="9"/>
    </row>
    <row r="21" spans="1:14" x14ac:dyDescent="0.25">
      <c r="A21" s="18" t="s">
        <v>6</v>
      </c>
      <c r="B21" s="7" t="s">
        <v>63</v>
      </c>
      <c r="C21" s="7" t="s">
        <v>71</v>
      </c>
      <c r="D21" s="9"/>
      <c r="E21" s="9"/>
      <c r="F21" s="9"/>
      <c r="G21" s="9"/>
      <c r="H21" s="9"/>
      <c r="I21" s="9"/>
      <c r="J21" s="9"/>
      <c r="K21" s="9"/>
      <c r="L21" s="9"/>
      <c r="M21" s="9"/>
      <c r="N21" s="9"/>
    </row>
    <row r="22" spans="1:14" x14ac:dyDescent="0.25">
      <c r="A22" s="7"/>
      <c r="B22" s="7"/>
      <c r="C22" s="7"/>
      <c r="D22" s="9"/>
      <c r="E22" s="9"/>
      <c r="F22" s="9"/>
      <c r="G22" s="9"/>
      <c r="H22" s="9"/>
      <c r="I22" s="9"/>
      <c r="J22" s="9"/>
      <c r="K22" s="9"/>
      <c r="L22" s="9"/>
      <c r="M22" s="9"/>
      <c r="N22" s="9"/>
    </row>
    <row r="23" spans="1:14" x14ac:dyDescent="0.25">
      <c r="A23" s="19" t="s">
        <v>7</v>
      </c>
      <c r="B23" s="7" t="s">
        <v>64</v>
      </c>
      <c r="C23" s="7" t="s">
        <v>72</v>
      </c>
      <c r="D23" s="9"/>
      <c r="E23" s="9"/>
      <c r="F23" s="9"/>
      <c r="G23" s="9"/>
      <c r="H23" s="9"/>
      <c r="I23" s="9"/>
      <c r="J23" s="9"/>
      <c r="K23" s="9"/>
      <c r="L23" s="9"/>
      <c r="M23" s="9"/>
      <c r="N23" s="9"/>
    </row>
    <row r="24" spans="1:14" x14ac:dyDescent="0.25">
      <c r="A24" s="9"/>
      <c r="B24" s="9"/>
      <c r="C24" s="9"/>
      <c r="D24" s="9"/>
      <c r="E24" s="9"/>
      <c r="F24" s="9"/>
      <c r="G24" s="9"/>
      <c r="H24" s="9"/>
      <c r="I24" s="9"/>
      <c r="J24" s="9"/>
      <c r="K24" s="9"/>
      <c r="L24" s="9"/>
      <c r="M24" s="9"/>
      <c r="N24" s="9"/>
    </row>
    <row r="25" spans="1:14" x14ac:dyDescent="0.25">
      <c r="A25" s="9"/>
      <c r="B25" s="9"/>
      <c r="C25" s="9"/>
      <c r="D25" s="9"/>
      <c r="E25" s="9"/>
      <c r="F25" s="9"/>
      <c r="G25" s="9"/>
      <c r="H25" s="9"/>
      <c r="I25" s="9"/>
      <c r="J25" s="9"/>
      <c r="K25" s="9"/>
      <c r="L25" s="9"/>
      <c r="M25" s="9"/>
      <c r="N25" s="9"/>
    </row>
    <row r="26" spans="1:14" x14ac:dyDescent="0.25">
      <c r="A26" s="9"/>
      <c r="B26" s="9"/>
      <c r="C26" s="9"/>
      <c r="D26" s="9"/>
      <c r="E26" s="9"/>
      <c r="F26" s="9"/>
      <c r="G26" s="9"/>
      <c r="H26" s="9"/>
      <c r="I26" s="9"/>
      <c r="J26" s="9"/>
      <c r="K26" s="9"/>
      <c r="L26" s="9"/>
      <c r="M26" s="9"/>
      <c r="N26" s="9"/>
    </row>
    <row r="27" spans="1:14" x14ac:dyDescent="0.25">
      <c r="A27" s="9"/>
      <c r="B27" s="9"/>
      <c r="C27" s="9"/>
      <c r="D27" s="9"/>
      <c r="E27" s="9"/>
      <c r="F27" s="9"/>
      <c r="G27" s="9"/>
      <c r="H27" s="9"/>
      <c r="I27" s="9"/>
      <c r="J27" s="9"/>
      <c r="K27" s="9"/>
      <c r="L27" s="9"/>
      <c r="M27" s="9"/>
      <c r="N27" s="9"/>
    </row>
    <row r="28" spans="1:14" x14ac:dyDescent="0.25">
      <c r="A28" s="9"/>
      <c r="B28" s="9"/>
      <c r="C28" s="9"/>
      <c r="D28" s="9"/>
      <c r="E28" s="9"/>
      <c r="F28" s="9"/>
      <c r="G28" s="9"/>
      <c r="H28" s="9"/>
      <c r="I28" s="9"/>
      <c r="J28" s="9"/>
      <c r="K28" s="9"/>
      <c r="L28" s="9"/>
      <c r="M28" s="9"/>
      <c r="N28" s="9"/>
    </row>
    <row r="29" spans="1:14" x14ac:dyDescent="0.25">
      <c r="A29" s="9"/>
      <c r="B29" s="9"/>
      <c r="C29" s="9"/>
      <c r="D29" s="9"/>
      <c r="E29" s="9"/>
      <c r="F29" s="9"/>
      <c r="G29" s="9"/>
      <c r="H29" s="9"/>
      <c r="I29" s="9"/>
      <c r="J29" s="9"/>
      <c r="K29" s="9"/>
      <c r="L29" s="9"/>
      <c r="M29" s="9"/>
      <c r="N29" s="9"/>
    </row>
    <row r="30" spans="1:14" x14ac:dyDescent="0.25">
      <c r="A30" s="9"/>
      <c r="B30" s="9"/>
      <c r="C30" s="9"/>
      <c r="D30" s="9"/>
      <c r="E30" s="9"/>
      <c r="F30" s="9"/>
      <c r="G30" s="9"/>
      <c r="H30" s="9"/>
      <c r="I30" s="9"/>
      <c r="J30" s="9"/>
      <c r="K30" s="9"/>
      <c r="L30" s="9"/>
      <c r="M30" s="9"/>
      <c r="N30" s="9"/>
    </row>
    <row r="31" spans="1:14" x14ac:dyDescent="0.25">
      <c r="A31" s="9"/>
      <c r="B31" s="9"/>
      <c r="C31" s="9"/>
      <c r="D31" s="9"/>
      <c r="E31" s="9"/>
      <c r="F31" s="9"/>
      <c r="G31" s="9"/>
      <c r="H31" s="9"/>
      <c r="I31" s="9"/>
      <c r="J31" s="9"/>
      <c r="K31" s="9"/>
      <c r="L31" s="9"/>
      <c r="M31" s="9"/>
      <c r="N31" s="9"/>
    </row>
    <row r="32" spans="1:14" x14ac:dyDescent="0.25">
      <c r="A32" s="9"/>
      <c r="B32" s="9"/>
      <c r="C32" s="9"/>
      <c r="D32" s="9"/>
      <c r="E32" s="9"/>
      <c r="F32" s="9"/>
      <c r="G32" s="9"/>
      <c r="H32" s="9"/>
      <c r="I32" s="9"/>
      <c r="J32" s="9"/>
      <c r="K32" s="9"/>
      <c r="L32" s="9"/>
      <c r="M32" s="9"/>
      <c r="N32" s="9"/>
    </row>
    <row r="33" spans="1:14" x14ac:dyDescent="0.25">
      <c r="A33" s="9"/>
      <c r="B33" s="9"/>
      <c r="C33" s="9"/>
      <c r="D33" s="9"/>
      <c r="E33" s="9"/>
      <c r="F33" s="9"/>
      <c r="G33" s="9"/>
      <c r="H33" s="9"/>
      <c r="I33" s="9"/>
      <c r="J33" s="9"/>
      <c r="K33" s="9"/>
      <c r="L33" s="9"/>
      <c r="M33" s="9"/>
      <c r="N33" s="9"/>
    </row>
    <row r="34" spans="1:14" x14ac:dyDescent="0.25">
      <c r="A34" s="9"/>
      <c r="B34" s="9"/>
      <c r="C34" s="9"/>
      <c r="D34" s="9"/>
      <c r="E34" s="9"/>
      <c r="F34" s="9"/>
      <c r="G34" s="9"/>
      <c r="H34" s="9"/>
      <c r="I34" s="9"/>
      <c r="J34" s="9"/>
      <c r="K34" s="9"/>
      <c r="L34" s="9"/>
      <c r="M34" s="9"/>
      <c r="N34" s="9"/>
    </row>
  </sheetData>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0CD20-86D2-4692-A8BA-497C4B64D28A}">
  <sheetPr codeName="Sheet29"/>
  <dimension ref="A1"/>
  <sheetViews>
    <sheetView workbookViewId="0"/>
  </sheetViews>
  <sheetFormatPr defaultRowHeight="15"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B5978-FBBB-427B-8870-4EB72C1FFB07}">
  <sheetPr codeName="Sheet30"/>
  <dimension ref="A3:B15"/>
  <sheetViews>
    <sheetView workbookViewId="0">
      <selection activeCell="L10" sqref="L10"/>
    </sheetView>
  </sheetViews>
  <sheetFormatPr defaultRowHeight="15" x14ac:dyDescent="0.25"/>
  <cols>
    <col min="1" max="1" width="13.140625" bestFit="1" customWidth="1"/>
    <col min="2" max="2" width="22.28515625" bestFit="1" customWidth="1"/>
  </cols>
  <sheetData>
    <row r="3" spans="1:2" x14ac:dyDescent="0.25">
      <c r="A3" s="2" t="s">
        <v>8</v>
      </c>
      <c r="B3" t="s">
        <v>53</v>
      </c>
    </row>
    <row r="4" spans="1:2" x14ac:dyDescent="0.25">
      <c r="A4" s="3" t="s">
        <v>15</v>
      </c>
      <c r="B4">
        <v>128</v>
      </c>
    </row>
    <row r="5" spans="1:2" x14ac:dyDescent="0.25">
      <c r="A5" s="15">
        <v>1</v>
      </c>
      <c r="B5">
        <v>8</v>
      </c>
    </row>
    <row r="6" spans="1:2" x14ac:dyDescent="0.25">
      <c r="A6" s="15">
        <v>2</v>
      </c>
      <c r="B6">
        <v>14</v>
      </c>
    </row>
    <row r="7" spans="1:2" x14ac:dyDescent="0.25">
      <c r="A7" s="15">
        <v>3</v>
      </c>
      <c r="B7">
        <v>14</v>
      </c>
    </row>
    <row r="8" spans="1:2" x14ac:dyDescent="0.25">
      <c r="A8" s="15">
        <v>4</v>
      </c>
      <c r="B8">
        <v>19</v>
      </c>
    </row>
    <row r="9" spans="1:2" x14ac:dyDescent="0.25">
      <c r="A9" s="15">
        <v>5</v>
      </c>
      <c r="B9">
        <v>16</v>
      </c>
    </row>
    <row r="10" spans="1:2" x14ac:dyDescent="0.25">
      <c r="A10" s="15">
        <v>6</v>
      </c>
      <c r="B10">
        <v>10</v>
      </c>
    </row>
    <row r="11" spans="1:2" x14ac:dyDescent="0.25">
      <c r="A11" s="15">
        <v>7</v>
      </c>
      <c r="B11">
        <v>14</v>
      </c>
    </row>
    <row r="12" spans="1:2" x14ac:dyDescent="0.25">
      <c r="A12" s="15">
        <v>8</v>
      </c>
      <c r="B12">
        <v>11</v>
      </c>
    </row>
    <row r="13" spans="1:2" x14ac:dyDescent="0.25">
      <c r="A13" s="15">
        <v>9</v>
      </c>
      <c r="B13">
        <v>13</v>
      </c>
    </row>
    <row r="14" spans="1:2" x14ac:dyDescent="0.25">
      <c r="A14" s="15">
        <v>10</v>
      </c>
      <c r="B14">
        <v>9</v>
      </c>
    </row>
    <row r="15" spans="1:2" x14ac:dyDescent="0.25">
      <c r="A15" s="3" t="s">
        <v>9</v>
      </c>
      <c r="B15">
        <v>128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14262-31CF-428C-95A7-449A853061DE}">
  <sheetPr codeName="Sheet31"/>
  <dimension ref="A1"/>
  <sheetViews>
    <sheetView workbookViewId="0"/>
  </sheetViews>
  <sheetFormatPr defaultRowHeight="15" x14ac:dyDescent="0.2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C58EC-E02D-4EFF-8FA9-0338A910B977}">
  <sheetPr codeName="Sheet32"/>
  <dimension ref="A3:M11"/>
  <sheetViews>
    <sheetView workbookViewId="0">
      <selection activeCell="M9" sqref="M9"/>
    </sheetView>
  </sheetViews>
  <sheetFormatPr defaultRowHeight="15" x14ac:dyDescent="0.25"/>
  <cols>
    <col min="1" max="1" width="13.140625" bestFit="1" customWidth="1"/>
    <col min="2" max="2" width="13.5703125" bestFit="1" customWidth="1"/>
  </cols>
  <sheetData>
    <row r="3" spans="1:13" x14ac:dyDescent="0.25">
      <c r="A3" s="2" t="s">
        <v>8</v>
      </c>
      <c r="B3" t="s">
        <v>51</v>
      </c>
    </row>
    <row r="4" spans="1:13" x14ac:dyDescent="0.25">
      <c r="A4" s="3" t="s">
        <v>11</v>
      </c>
      <c r="B4">
        <v>188</v>
      </c>
    </row>
    <row r="5" spans="1:13" x14ac:dyDescent="0.25">
      <c r="A5" s="3" t="s">
        <v>12</v>
      </c>
      <c r="B5">
        <v>217</v>
      </c>
    </row>
    <row r="6" spans="1:13" x14ac:dyDescent="0.25">
      <c r="A6" s="3" t="s">
        <v>13</v>
      </c>
      <c r="B6">
        <v>258</v>
      </c>
    </row>
    <row r="7" spans="1:13" x14ac:dyDescent="0.25">
      <c r="A7" s="3" t="s">
        <v>14</v>
      </c>
      <c r="B7">
        <v>229</v>
      </c>
    </row>
    <row r="8" spans="1:13" x14ac:dyDescent="0.25">
      <c r="A8" s="3" t="s">
        <v>15</v>
      </c>
      <c r="B8">
        <v>128</v>
      </c>
    </row>
    <row r="9" spans="1:13" x14ac:dyDescent="0.25">
      <c r="A9" s="3" t="s">
        <v>9</v>
      </c>
      <c r="B9">
        <v>1020</v>
      </c>
      <c r="M9" s="14"/>
    </row>
    <row r="11" spans="1:13" x14ac:dyDescent="0.25">
      <c r="M11" s="8"/>
    </row>
  </sheetData>
  <pageMargins left="0.7" right="0.7" top="0.75" bottom="0.75" header="0.3" footer="0.3"/>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FE256-2DED-4342-8FCC-63498E0479AE}">
  <sheetPr codeName="Sheet33"/>
  <dimension ref="A3:B10"/>
  <sheetViews>
    <sheetView workbookViewId="0">
      <selection activeCell="G21" sqref="G21"/>
    </sheetView>
  </sheetViews>
  <sheetFormatPr defaultRowHeight="15" x14ac:dyDescent="0.25"/>
  <cols>
    <col min="1" max="1" width="13.140625" bestFit="1" customWidth="1"/>
    <col min="2" max="2" width="18.28515625" bestFit="1" customWidth="1"/>
    <col min="3" max="3" width="11.28515625" bestFit="1" customWidth="1"/>
    <col min="4" max="6" width="9.7109375" bestFit="1" customWidth="1"/>
    <col min="7" max="7" width="11.28515625" bestFit="1" customWidth="1"/>
  </cols>
  <sheetData>
    <row r="3" spans="1:2" x14ac:dyDescent="0.25">
      <c r="A3" s="2" t="s">
        <v>8</v>
      </c>
      <c r="B3" t="s">
        <v>52</v>
      </c>
    </row>
    <row r="4" spans="1:2" x14ac:dyDescent="0.25">
      <c r="A4" s="3" t="s">
        <v>15</v>
      </c>
      <c r="B4">
        <v>128</v>
      </c>
    </row>
    <row r="5" spans="1:2" x14ac:dyDescent="0.25">
      <c r="A5" s="15">
        <v>1</v>
      </c>
      <c r="B5">
        <v>25</v>
      </c>
    </row>
    <row r="6" spans="1:2" x14ac:dyDescent="0.25">
      <c r="A6" s="15">
        <v>2</v>
      </c>
      <c r="B6">
        <v>18</v>
      </c>
    </row>
    <row r="7" spans="1:2" x14ac:dyDescent="0.25">
      <c r="A7" s="15">
        <v>3</v>
      </c>
      <c r="B7">
        <v>37</v>
      </c>
    </row>
    <row r="8" spans="1:2" x14ac:dyDescent="0.25">
      <c r="A8" s="15">
        <v>4</v>
      </c>
      <c r="B8">
        <v>27</v>
      </c>
    </row>
    <row r="9" spans="1:2" x14ac:dyDescent="0.25">
      <c r="A9" s="15">
        <v>5</v>
      </c>
      <c r="B9">
        <v>21</v>
      </c>
    </row>
    <row r="10" spans="1:2" x14ac:dyDescent="0.25">
      <c r="A10" s="3" t="s">
        <v>9</v>
      </c>
      <c r="B10">
        <v>128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C8D5E-32A2-46AD-AE68-DCB296F60C1D}">
  <sheetPr codeName="Sheet34"/>
  <dimension ref="A3:B7"/>
  <sheetViews>
    <sheetView workbookViewId="0">
      <selection activeCell="F5" sqref="F5"/>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v>2</v>
      </c>
      <c r="B4" s="1">
        <v>713699.03003003006</v>
      </c>
    </row>
    <row r="5" spans="1:2" x14ac:dyDescent="0.25">
      <c r="A5" s="3">
        <v>1</v>
      </c>
      <c r="B5" s="1">
        <v>713288.99195710453</v>
      </c>
    </row>
    <row r="6" spans="1:2" x14ac:dyDescent="0.25">
      <c r="A6" s="3">
        <v>0</v>
      </c>
      <c r="B6" s="1">
        <v>691871.75159235671</v>
      </c>
    </row>
    <row r="7" spans="1:2" x14ac:dyDescent="0.25">
      <c r="A7" s="3" t="s">
        <v>9</v>
      </c>
      <c r="B7">
        <v>706829.70686274511</v>
      </c>
    </row>
  </sheetData>
  <pageMargins left="0.7" right="0.7" top="0.75" bottom="0.75" header="0.3" footer="0.3"/>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7CA53-88F0-438F-9845-B35B85D324B6}">
  <sheetPr codeName="Sheet35"/>
  <dimension ref="A3:B17"/>
  <sheetViews>
    <sheetView workbookViewId="0">
      <selection activeCell="B17" sqref="B17"/>
    </sheetView>
  </sheetViews>
  <sheetFormatPr defaultRowHeight="15" x14ac:dyDescent="0.25"/>
  <cols>
    <col min="1" max="1" width="13.140625" bestFit="1" customWidth="1"/>
    <col min="2" max="2" width="15.5703125" bestFit="1" customWidth="1"/>
  </cols>
  <sheetData>
    <row r="3" spans="1:2" x14ac:dyDescent="0.25">
      <c r="A3" s="2" t="s">
        <v>8</v>
      </c>
      <c r="B3" t="s">
        <v>48</v>
      </c>
    </row>
    <row r="4" spans="1:2" x14ac:dyDescent="0.25">
      <c r="A4" s="3" t="s">
        <v>17</v>
      </c>
      <c r="B4" s="1">
        <v>701946.89075630251</v>
      </c>
    </row>
    <row r="5" spans="1:2" x14ac:dyDescent="0.25">
      <c r="A5" s="3" t="s">
        <v>18</v>
      </c>
      <c r="B5" s="1">
        <v>766881.62857142859</v>
      </c>
    </row>
    <row r="6" spans="1:2" x14ac:dyDescent="0.25">
      <c r="A6" s="3" t="s">
        <v>19</v>
      </c>
      <c r="B6" s="1">
        <v>731118.21774193551</v>
      </c>
    </row>
    <row r="7" spans="1:2" x14ac:dyDescent="0.25">
      <c r="A7" s="3" t="s">
        <v>20</v>
      </c>
      <c r="B7" s="1">
        <v>743323.22131147538</v>
      </c>
    </row>
    <row r="8" spans="1:2" x14ac:dyDescent="0.25">
      <c r="A8" s="3" t="s">
        <v>21</v>
      </c>
      <c r="B8" s="1">
        <v>686320.21383647795</v>
      </c>
    </row>
    <row r="9" spans="1:2" x14ac:dyDescent="0.25">
      <c r="A9" s="3" t="s">
        <v>22</v>
      </c>
      <c r="B9" s="1">
        <v>705760.62307692308</v>
      </c>
    </row>
    <row r="10" spans="1:2" x14ac:dyDescent="0.25">
      <c r="A10" s="3" t="s">
        <v>23</v>
      </c>
      <c r="B10" s="1">
        <v>698512.36585365853</v>
      </c>
    </row>
    <row r="11" spans="1:2" x14ac:dyDescent="0.25">
      <c r="A11" s="3" t="s">
        <v>24</v>
      </c>
      <c r="B11" s="1">
        <v>643312.62318840576</v>
      </c>
    </row>
    <row r="12" spans="1:2" x14ac:dyDescent="0.25">
      <c r="A12" s="3" t="s">
        <v>9</v>
      </c>
      <c r="B12">
        <v>706829.70686274511</v>
      </c>
    </row>
    <row r="17" spans="2:2" x14ac:dyDescent="0.25">
      <c r="B17" s="9"/>
    </row>
  </sheetData>
  <pageMargins left="0.7" right="0.7" top="0.75" bottom="0.75" header="0.3" footer="0.3"/>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D2169-45BE-49CE-B617-DCBA6CC98DCF}">
  <sheetPr codeName="Sheet36"/>
  <dimension ref="A3:M9"/>
  <sheetViews>
    <sheetView workbookViewId="0">
      <selection activeCell="H21" sqref="H21"/>
    </sheetView>
  </sheetViews>
  <sheetFormatPr defaultRowHeight="15" x14ac:dyDescent="0.25"/>
  <cols>
    <col min="1" max="1" width="13.140625" bestFit="1" customWidth="1"/>
    <col min="2" max="2" width="15.5703125" bestFit="1" customWidth="1"/>
  </cols>
  <sheetData>
    <row r="3" spans="1:13" x14ac:dyDescent="0.25">
      <c r="A3" s="2" t="s">
        <v>8</v>
      </c>
      <c r="B3" t="s">
        <v>48</v>
      </c>
    </row>
    <row r="4" spans="1:13" x14ac:dyDescent="0.25">
      <c r="A4" s="3" t="s">
        <v>11</v>
      </c>
      <c r="B4" s="1">
        <v>481064.08510638296</v>
      </c>
    </row>
    <row r="5" spans="1:13" x14ac:dyDescent="0.25">
      <c r="A5" s="3" t="s">
        <v>12</v>
      </c>
      <c r="B5" s="1">
        <v>610508.35944700462</v>
      </c>
    </row>
    <row r="6" spans="1:13" x14ac:dyDescent="0.25">
      <c r="A6" s="3" t="s">
        <v>13</v>
      </c>
      <c r="B6" s="1">
        <v>729727.47286821704</v>
      </c>
    </row>
    <row r="7" spans="1:13" x14ac:dyDescent="0.25">
      <c r="A7" s="3" t="s">
        <v>14</v>
      </c>
      <c r="B7" s="1">
        <v>824671.25327510922</v>
      </c>
    </row>
    <row r="8" spans="1:13" x14ac:dyDescent="0.25">
      <c r="A8" s="3" t="s">
        <v>15</v>
      </c>
      <c r="B8" s="1">
        <v>944738.546875</v>
      </c>
    </row>
    <row r="9" spans="1:13" x14ac:dyDescent="0.25">
      <c r="A9" s="3" t="s">
        <v>9</v>
      </c>
      <c r="B9">
        <v>706829.70686274511</v>
      </c>
      <c r="M9" s="12"/>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0DEF431-217B-4814-9834-183854EEA82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house_price (2)</vt:lpstr>
      <vt:lpstr>Table1</vt:lpstr>
      <vt:lpstr>trend ch1</vt:lpstr>
      <vt:lpstr>trend ch2</vt:lpstr>
      <vt:lpstr>trend ch3</vt:lpstr>
      <vt:lpstr>trend ch4</vt:lpstr>
      <vt:lpstr>Sheet9</vt:lpstr>
      <vt:lpstr>location2</vt:lpstr>
      <vt:lpstr>dist2</vt:lpstr>
      <vt:lpstr>bedroom2</vt:lpstr>
      <vt:lpstr>area</vt:lpstr>
      <vt:lpstr>Analyze2</vt:lpstr>
      <vt:lpstr>area2</vt:lpstr>
      <vt:lpstr>Sheet1</vt:lpstr>
      <vt:lpstr>bedroom</vt:lpstr>
      <vt:lpstr>bathroom</vt:lpstr>
      <vt:lpstr>age</vt:lpstr>
      <vt:lpstr>distance</vt:lpstr>
      <vt:lpstr>parking</vt:lpstr>
      <vt:lpstr>location</vt:lpstr>
      <vt:lpstr>diff table</vt:lpstr>
      <vt:lpstr>Sheet2</vt:lpstr>
      <vt:lpstr>Sheet3</vt:lpstr>
      <vt:lpstr>Overview</vt:lpstr>
      <vt:lpstr>Sheet4</vt:lpstr>
      <vt:lpstr>Analyze</vt:lpstr>
      <vt:lpstr>Trend Analysis</vt:lpstr>
      <vt:lpstr>Key Insights</vt:lpstr>
      <vt:lpstr>Dictionary</vt:lpstr>
      <vt:lpstr>Sheet13</vt:lpstr>
      <vt:lpstr>ana Loc</vt:lpstr>
      <vt:lpstr>Sheet5</vt:lpstr>
      <vt:lpstr>ana area</vt:lpstr>
      <vt:lpstr>ana bed</vt:lpstr>
      <vt:lpstr>parking2</vt:lpstr>
      <vt:lpstr>age2</vt:lpstr>
      <vt:lpstr>ana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2026-06-29T22:59:25Z</dcterms:created>
  <dcterms:modified xsi:type="dcterms:W3CDTF">2026-08-12T21:30:14Z</dcterms:modified>
</cp:coreProperties>
</file>